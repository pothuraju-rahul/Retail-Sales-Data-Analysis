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4.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D:\Excel\"/>
    </mc:Choice>
  </mc:AlternateContent>
  <xr:revisionPtr revIDLastSave="0" documentId="13_ncr:1_{41579537-8A58-44DB-BD89-C4C5125E76F5}" xr6:coauthVersionLast="47" xr6:coauthVersionMax="47" xr10:uidLastSave="{00000000-0000-0000-0000-000000000000}"/>
  <bookViews>
    <workbookView xWindow="-110" yWindow="-110" windowWidth="19420" windowHeight="12220" firstSheet="3" activeTab="6" xr2:uid="{00000000-000D-0000-FFFF-FFFF00000000}"/>
  </bookViews>
  <sheets>
    <sheet name="Sheet3" sheetId="8" r:id="rId1"/>
    <sheet name="Retail_Sales_2025_Detailed" sheetId="1" r:id="rId2"/>
    <sheet name="Sales_OverView" sheetId="2" r:id="rId3"/>
    <sheet name="Product_Performance" sheetId="3" r:id="rId4"/>
    <sheet name="Customer_Analysis" sheetId="4" r:id="rId5"/>
    <sheet name="Regional_Sales" sheetId="5" r:id="rId6"/>
    <sheet name="Dashboards" sheetId="9" r:id="rId7"/>
  </sheets>
  <definedNames>
    <definedName name="Slicer_Payment_Method">#N/A</definedName>
    <definedName name="Slicer_Product">#N/A</definedName>
    <definedName name="Slicer_Region">#N/A</definedName>
    <definedName name="Slicer_Region1">#N/A</definedName>
    <definedName name="Slicer_Region2">#N/A</definedName>
  </definedNames>
  <calcPr calcId="191029"/>
  <pivotCaches>
    <pivotCache cacheId="9" r:id="rId8"/>
  </pivotCaches>
  <extLst>
    <ext xmlns:x14="http://schemas.microsoft.com/office/spreadsheetml/2009/9/main" uri="{BBE1A952-AA13-448e-AADC-164F8A28A991}">
      <x14:slicerCaches>
        <x14:slicerCache r:id="rId9"/>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6" i="9" l="1"/>
  <c r="B6" i="9"/>
  <c r="H6" i="9"/>
  <c r="F6" i="9"/>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alcChain>
</file>

<file path=xl/sharedStrings.xml><?xml version="1.0" encoding="utf-8"?>
<sst xmlns="http://schemas.openxmlformats.org/spreadsheetml/2006/main" count="12125" uniqueCount="4211">
  <si>
    <t>Order_ID</t>
  </si>
  <si>
    <t>Order_Date</t>
  </si>
  <si>
    <t>Customer_ID</t>
  </si>
  <si>
    <t>Product</t>
  </si>
  <si>
    <t>Units_Sold</t>
  </si>
  <si>
    <t>Unit_Price</t>
  </si>
  <si>
    <t>Total_Revenue</t>
  </si>
  <si>
    <t>Region</t>
  </si>
  <si>
    <t>Payment_Method</t>
  </si>
  <si>
    <t>ORD263D5FE2</t>
  </si>
  <si>
    <t>2025-01-01</t>
  </si>
  <si>
    <t>CUST1518</t>
  </si>
  <si>
    <t>Mobile</t>
  </si>
  <si>
    <t>North</t>
  </si>
  <si>
    <t>Credit Card</t>
  </si>
  <si>
    <t>ORDCE51FB04</t>
  </si>
  <si>
    <t>CUST2778</t>
  </si>
  <si>
    <t>Headphones</t>
  </si>
  <si>
    <t>South</t>
  </si>
  <si>
    <t>UPI</t>
  </si>
  <si>
    <t>ORDCAEAF473</t>
  </si>
  <si>
    <t>CUST8733</t>
  </si>
  <si>
    <t>Printer</t>
  </si>
  <si>
    <t>West</t>
  </si>
  <si>
    <t>Debit Card</t>
  </si>
  <si>
    <t>ORD0884C57A</t>
  </si>
  <si>
    <t>CUST1675</t>
  </si>
  <si>
    <t>ORDD0D99079</t>
  </si>
  <si>
    <t>2025-01-02</t>
  </si>
  <si>
    <t>CUST5003</t>
  </si>
  <si>
    <t>ORD244A2FCF</t>
  </si>
  <si>
    <t>CUST1345</t>
  </si>
  <si>
    <t>Tablet</t>
  </si>
  <si>
    <t>ORD36BE0598</t>
  </si>
  <si>
    <t>CUST3228</t>
  </si>
  <si>
    <t>Cash</t>
  </si>
  <si>
    <t>ORD150ADF58</t>
  </si>
  <si>
    <t>CUST2242</t>
  </si>
  <si>
    <t>Camera</t>
  </si>
  <si>
    <t>ORD2600F3C0</t>
  </si>
  <si>
    <t>2025-01-03</t>
  </si>
  <si>
    <t>CUST6911</t>
  </si>
  <si>
    <t>East</t>
  </si>
  <si>
    <t>ORDACAC5766</t>
  </si>
  <si>
    <t>CUST5980</t>
  </si>
  <si>
    <t>ORDFDF9DA37</t>
  </si>
  <si>
    <t>CUST4278</t>
  </si>
  <si>
    <t>Mouse</t>
  </si>
  <si>
    <t>ORD01BC3402</t>
  </si>
  <si>
    <t>CUST1107</t>
  </si>
  <si>
    <t>ORD795DFAF1</t>
  </si>
  <si>
    <t>2025-01-04</t>
  </si>
  <si>
    <t>CUST5746</t>
  </si>
  <si>
    <t>Monitor</t>
  </si>
  <si>
    <t>ORDEEF7DB56</t>
  </si>
  <si>
    <t>CUST1621</t>
  </si>
  <si>
    <t>Keyboard</t>
  </si>
  <si>
    <t>ORDE215374A</t>
  </si>
  <si>
    <t>CUST5189</t>
  </si>
  <si>
    <t>ORD3AC09DAC</t>
  </si>
  <si>
    <t>CUST6633</t>
  </si>
  <si>
    <t>ORD73B22B56</t>
  </si>
  <si>
    <t>CUST3679</t>
  </si>
  <si>
    <t>ORD9B7521DC</t>
  </si>
  <si>
    <t>CUST6124</t>
  </si>
  <si>
    <t>ORD4BD789A3</t>
  </si>
  <si>
    <t>CUST6866</t>
  </si>
  <si>
    <t>ORDF9CD888F</t>
  </si>
  <si>
    <t>CUST9536</t>
  </si>
  <si>
    <t>ORD2B0A324E</t>
  </si>
  <si>
    <t>2025-01-05</t>
  </si>
  <si>
    <t>CUST1327</t>
  </si>
  <si>
    <t>Laptop</t>
  </si>
  <si>
    <t>ORD2E1EDCE3</t>
  </si>
  <si>
    <t>CUST2065</t>
  </si>
  <si>
    <t>Smartwatch</t>
  </si>
  <si>
    <t>ORDC1B47291</t>
  </si>
  <si>
    <t>CUST3752</t>
  </si>
  <si>
    <t>ORDDFFEE981</t>
  </si>
  <si>
    <t>CUST2680</t>
  </si>
  <si>
    <t>ORD053FDA8F</t>
  </si>
  <si>
    <t>CUST5996</t>
  </si>
  <si>
    <t>ORD0A8D233A</t>
  </si>
  <si>
    <t>CUST7282</t>
  </si>
  <si>
    <t>ORDD4F18AE7</t>
  </si>
  <si>
    <t>2025-01-06</t>
  </si>
  <si>
    <t>CUST9254</t>
  </si>
  <si>
    <t>ORD70A9280D</t>
  </si>
  <si>
    <t>CUST4326</t>
  </si>
  <si>
    <t>ORD4D6F4583</t>
  </si>
  <si>
    <t>CUST7390</t>
  </si>
  <si>
    <t>ORD605765D3</t>
  </si>
  <si>
    <t>CUST4400</t>
  </si>
  <si>
    <t>ORD11554A6C</t>
  </si>
  <si>
    <t>2025-01-07</t>
  </si>
  <si>
    <t>CUST2378</t>
  </si>
  <si>
    <t>ORD3A8D5A39</t>
  </si>
  <si>
    <t>CUST8704</t>
  </si>
  <si>
    <t>ORD09353997</t>
  </si>
  <si>
    <t>CUST2430</t>
  </si>
  <si>
    <t>ORD127A765B</t>
  </si>
  <si>
    <t>CUST2298</t>
  </si>
  <si>
    <t>ORD597C3DD9</t>
  </si>
  <si>
    <t>CUST5866</t>
  </si>
  <si>
    <t>ORD1CDD3886</t>
  </si>
  <si>
    <t>CUST2205</t>
  </si>
  <si>
    <t>ORD468C34FB</t>
  </si>
  <si>
    <t>CUST7415</t>
  </si>
  <si>
    <t>ORD0C0FE40F</t>
  </si>
  <si>
    <t>2025-01-08</t>
  </si>
  <si>
    <t>CUST5429</t>
  </si>
  <si>
    <t>ORDB0DAB3B9</t>
  </si>
  <si>
    <t>CUST6806</t>
  </si>
  <si>
    <t>ORD225DF7C8</t>
  </si>
  <si>
    <t>CUST1688</t>
  </si>
  <si>
    <t>ORDF90A0A97</t>
  </si>
  <si>
    <t>CUST1342</t>
  </si>
  <si>
    <t>ORD3B4B3231</t>
  </si>
  <si>
    <t>CUST9295</t>
  </si>
  <si>
    <t>ORDDA5F2448</t>
  </si>
  <si>
    <t>CUST8772</t>
  </si>
  <si>
    <t>ORD588177C5</t>
  </si>
  <si>
    <t>CUST2131</t>
  </si>
  <si>
    <t>ORD7F9E5D1B</t>
  </si>
  <si>
    <t>2025-01-09</t>
  </si>
  <si>
    <t>CUST8807</t>
  </si>
  <si>
    <t>ORDC3ED567B</t>
  </si>
  <si>
    <t>CUST3812</t>
  </si>
  <si>
    <t>ORD98B50E24</t>
  </si>
  <si>
    <t>CUST6757</t>
  </si>
  <si>
    <t>ORD739BD2A2</t>
  </si>
  <si>
    <t>CUST9632</t>
  </si>
  <si>
    <t>ORD80FBAB4F</t>
  </si>
  <si>
    <t>CUST5418</t>
  </si>
  <si>
    <t>ORD5BDD9FE3</t>
  </si>
  <si>
    <t>CUST2147</t>
  </si>
  <si>
    <t>ORD27E13614</t>
  </si>
  <si>
    <t>2025-01-10</t>
  </si>
  <si>
    <t>CUST5060</t>
  </si>
  <si>
    <t>ORDB651BF6C</t>
  </si>
  <si>
    <t>CUST7535</t>
  </si>
  <si>
    <t>ORDBDC41F30</t>
  </si>
  <si>
    <t>CUST4324</t>
  </si>
  <si>
    <t>ORDE3621AF9</t>
  </si>
  <si>
    <t>CUST8088</t>
  </si>
  <si>
    <t>ORD6FDE4661</t>
  </si>
  <si>
    <t>CUST3652</t>
  </si>
  <si>
    <t>ORDE1547C6A</t>
  </si>
  <si>
    <t>2025-01-11</t>
  </si>
  <si>
    <t>CUST2160</t>
  </si>
  <si>
    <t>ORDF2B389A7</t>
  </si>
  <si>
    <t>CUST1990</t>
  </si>
  <si>
    <t>ORD78D19B90</t>
  </si>
  <si>
    <t>CUST2246</t>
  </si>
  <si>
    <t>ORD91EC7B73</t>
  </si>
  <si>
    <t>CUST8868</t>
  </si>
  <si>
    <t>ORD70FCCC53</t>
  </si>
  <si>
    <t>2025-01-12</t>
  </si>
  <si>
    <t>CUST1588</t>
  </si>
  <si>
    <t>ORD72FF5BFD</t>
  </si>
  <si>
    <t>CUST2306</t>
  </si>
  <si>
    <t>ORD327C11EE</t>
  </si>
  <si>
    <t>CUST6717</t>
  </si>
  <si>
    <t>ORDE4B8CD5C</t>
  </si>
  <si>
    <t>CUST1821</t>
  </si>
  <si>
    <t>ORDD7DAFA8F</t>
  </si>
  <si>
    <t>CUST3564</t>
  </si>
  <si>
    <t>ORDA17047D0</t>
  </si>
  <si>
    <t>2025-01-13</t>
  </si>
  <si>
    <t>CUST1752</t>
  </si>
  <si>
    <t>ORD0B38E23B</t>
  </si>
  <si>
    <t>CUST3105</t>
  </si>
  <si>
    <t>ORD8CE89230</t>
  </si>
  <si>
    <t>CUST2796</t>
  </si>
  <si>
    <t>ORDD9700C14</t>
  </si>
  <si>
    <t>CUST2393</t>
  </si>
  <si>
    <t>ORD01165F69</t>
  </si>
  <si>
    <t>2025-01-14</t>
  </si>
  <si>
    <t>CUST9796</t>
  </si>
  <si>
    <t>ORDBDEE89D6</t>
  </si>
  <si>
    <t>CUST7154</t>
  </si>
  <si>
    <t>ORD8D12605F</t>
  </si>
  <si>
    <t>CUST4191</t>
  </si>
  <si>
    <t>ORDD7F8AA8D</t>
  </si>
  <si>
    <t>CUST1009</t>
  </si>
  <si>
    <t>ORD19541464</t>
  </si>
  <si>
    <t>2025-01-15</t>
  </si>
  <si>
    <t>CUST3038</t>
  </si>
  <si>
    <t>ORD13262368</t>
  </si>
  <si>
    <t>CUST7260</t>
  </si>
  <si>
    <t>ORD986D1747</t>
  </si>
  <si>
    <t>CUST7919</t>
  </si>
  <si>
    <t>ORDAB21A1C8</t>
  </si>
  <si>
    <t>CUST6849</t>
  </si>
  <si>
    <t>ORD9D5EE5F9</t>
  </si>
  <si>
    <t>CUST5144</t>
  </si>
  <si>
    <t>ORD39FFDFFF</t>
  </si>
  <si>
    <t>CUST7306</t>
  </si>
  <si>
    <t>ORDCB7A335C</t>
  </si>
  <si>
    <t>2025-01-16</t>
  </si>
  <si>
    <t>CUST8660</t>
  </si>
  <si>
    <t>ORDB06467C3</t>
  </si>
  <si>
    <t>CUST2675</t>
  </si>
  <si>
    <t>ORDA040A589</t>
  </si>
  <si>
    <t>CUST3269</t>
  </si>
  <si>
    <t>ORD5E0E2A2B</t>
  </si>
  <si>
    <t>CUST7403</t>
  </si>
  <si>
    <t>ORD55D000E1</t>
  </si>
  <si>
    <t>CUST3547</t>
  </si>
  <si>
    <t>ORDC7589198</t>
  </si>
  <si>
    <t>CUST9558</t>
  </si>
  <si>
    <t>ORDB8C34DE9</t>
  </si>
  <si>
    <t>2025-01-17</t>
  </si>
  <si>
    <t>CUST3953</t>
  </si>
  <si>
    <t>ORDABB3308C</t>
  </si>
  <si>
    <t>CUST2792</t>
  </si>
  <si>
    <t>ORDE8591FD2</t>
  </si>
  <si>
    <t>CUST4042</t>
  </si>
  <si>
    <t>ORD9A84053B</t>
  </si>
  <si>
    <t>CUST7049</t>
  </si>
  <si>
    <t>ORDF96B167A</t>
  </si>
  <si>
    <t>CUST8317</t>
  </si>
  <si>
    <t>ORD84B9DD66</t>
  </si>
  <si>
    <t>CUST3311</t>
  </si>
  <si>
    <t>ORD1FCF6313</t>
  </si>
  <si>
    <t>CUST1855</t>
  </si>
  <si>
    <t>ORD12A6FD40</t>
  </si>
  <si>
    <t>CUST8847</t>
  </si>
  <si>
    <t>ORD89EB6A8C</t>
  </si>
  <si>
    <t>2025-01-18</t>
  </si>
  <si>
    <t>CUST3297</t>
  </si>
  <si>
    <t>ORD1876A984</t>
  </si>
  <si>
    <t>CUST3114</t>
  </si>
  <si>
    <t>ORDF8782296</t>
  </si>
  <si>
    <t>CUST7122</t>
  </si>
  <si>
    <t>ORDF5250486</t>
  </si>
  <si>
    <t>CUST1876</t>
  </si>
  <si>
    <t>ORDB598F09F</t>
  </si>
  <si>
    <t>CUST9105</t>
  </si>
  <si>
    <t>ORD0B6719D3</t>
  </si>
  <si>
    <t>CUST6158</t>
  </si>
  <si>
    <t>ORD1C4E7B75</t>
  </si>
  <si>
    <t>CUST8573</t>
  </si>
  <si>
    <t>ORD917FF53F</t>
  </si>
  <si>
    <t>2025-01-19</t>
  </si>
  <si>
    <t>CUST4545</t>
  </si>
  <si>
    <t>ORD2CDF6A9C</t>
  </si>
  <si>
    <t>CUST9924</t>
  </si>
  <si>
    <t>ORDBC9BFC0A</t>
  </si>
  <si>
    <t>CUST4466</t>
  </si>
  <si>
    <t>ORDA778C99E</t>
  </si>
  <si>
    <t>CUST8194</t>
  </si>
  <si>
    <t>ORDCD568DE4</t>
  </si>
  <si>
    <t>2025-01-20</t>
  </si>
  <si>
    <t>CUST8353</t>
  </si>
  <si>
    <t>ORD96EBFB3F</t>
  </si>
  <si>
    <t>CUST2311</t>
  </si>
  <si>
    <t>ORDFEE28802</t>
  </si>
  <si>
    <t>CUST1491</t>
  </si>
  <si>
    <t>ORD737B1E4B</t>
  </si>
  <si>
    <t>2025-01-21</t>
  </si>
  <si>
    <t>CUST4952</t>
  </si>
  <si>
    <t>ORDBFD49BA9</t>
  </si>
  <si>
    <t>CUST5333</t>
  </si>
  <si>
    <t>ORD0FD7693C</t>
  </si>
  <si>
    <t>CUST8374</t>
  </si>
  <si>
    <t>ORD1AE34AF9</t>
  </si>
  <si>
    <t>CUST8424</t>
  </si>
  <si>
    <t>ORDA8D1C199</t>
  </si>
  <si>
    <t>CUST4332</t>
  </si>
  <si>
    <t>ORD85BB7A49</t>
  </si>
  <si>
    <t>CUST2397</t>
  </si>
  <si>
    <t>ORD3A382A0B</t>
  </si>
  <si>
    <t>2025-01-22</t>
  </si>
  <si>
    <t>CUST5037</t>
  </si>
  <si>
    <t>ORD16A0C872</t>
  </si>
  <si>
    <t>CUST6430</t>
  </si>
  <si>
    <t>ORD88B18D62</t>
  </si>
  <si>
    <t>CUST9326</t>
  </si>
  <si>
    <t>ORDCAA193EC</t>
  </si>
  <si>
    <t>CUST5812</t>
  </si>
  <si>
    <t>ORD8241E9F4</t>
  </si>
  <si>
    <t>CUST2764</t>
  </si>
  <si>
    <t>ORD477A8C85</t>
  </si>
  <si>
    <t>CUST3010</t>
  </si>
  <si>
    <t>ORD5E55B904</t>
  </si>
  <si>
    <t>2025-01-23</t>
  </si>
  <si>
    <t>CUST6017</t>
  </si>
  <si>
    <t>ORD56CB38D5</t>
  </si>
  <si>
    <t>CUST3455</t>
  </si>
  <si>
    <t>ORDE7C0F167</t>
  </si>
  <si>
    <t>CUST7592</t>
  </si>
  <si>
    <t>ORD90518C74</t>
  </si>
  <si>
    <t>CUST5198</t>
  </si>
  <si>
    <t>ORDE0F4E1FD</t>
  </si>
  <si>
    <t>CUST7756</t>
  </si>
  <si>
    <t>ORD84DB081D</t>
  </si>
  <si>
    <t>CUST7842</t>
  </si>
  <si>
    <t>ORD8F019FDA</t>
  </si>
  <si>
    <t>CUST8422</t>
  </si>
  <si>
    <t>ORD8D4F2BDF</t>
  </si>
  <si>
    <t>CUST5119</t>
  </si>
  <si>
    <t>ORDB91AA539</t>
  </si>
  <si>
    <t>2025-01-24</t>
  </si>
  <si>
    <t>CUST5896</t>
  </si>
  <si>
    <t>ORD215FD7B8</t>
  </si>
  <si>
    <t>CUST2492</t>
  </si>
  <si>
    <t>ORDC8CF0C5E</t>
  </si>
  <si>
    <t>CUST4027</t>
  </si>
  <si>
    <t>ORD09D7E509</t>
  </si>
  <si>
    <t>2025-01-25</t>
  </si>
  <si>
    <t>CUST2025</t>
  </si>
  <si>
    <t>ORDFA9BC064</t>
  </si>
  <si>
    <t>CUST2943</t>
  </si>
  <si>
    <t>ORD1161D1FE</t>
  </si>
  <si>
    <t>CUST6968</t>
  </si>
  <si>
    <t>ORD57658747</t>
  </si>
  <si>
    <t>CUST5406</t>
  </si>
  <si>
    <t>ORD395349AD</t>
  </si>
  <si>
    <t>CUST3478</t>
  </si>
  <si>
    <t>ORD4931582A</t>
  </si>
  <si>
    <t>2025-01-26</t>
  </si>
  <si>
    <t>CUST6901</t>
  </si>
  <si>
    <t>ORD70A2AF60</t>
  </si>
  <si>
    <t>CUST1269</t>
  </si>
  <si>
    <t>ORD5B2BB337</t>
  </si>
  <si>
    <t>CUST8994</t>
  </si>
  <si>
    <t>ORD68785694</t>
  </si>
  <si>
    <t>2025-01-27</t>
  </si>
  <si>
    <t>CUST6129</t>
  </si>
  <si>
    <t>ORD5214014A</t>
  </si>
  <si>
    <t>CUST1757</t>
  </si>
  <si>
    <t>ORDAE39FD27</t>
  </si>
  <si>
    <t>CUST1896</t>
  </si>
  <si>
    <t>ORD7DFBF926</t>
  </si>
  <si>
    <t>CUST8119</t>
  </si>
  <si>
    <t>ORDA42C2AFE</t>
  </si>
  <si>
    <t>CUST6621</t>
  </si>
  <si>
    <t>ORDEBB0CCC7</t>
  </si>
  <si>
    <t>CUST2431</t>
  </si>
  <si>
    <t>ORD1895CAB9</t>
  </si>
  <si>
    <t>2025-01-28</t>
  </si>
  <si>
    <t>CUST3913</t>
  </si>
  <si>
    <t>ORD3F85B1F1</t>
  </si>
  <si>
    <t>CUST6959</t>
  </si>
  <si>
    <t>ORD3ACBC130</t>
  </si>
  <si>
    <t>CUST9750</t>
  </si>
  <si>
    <t>ORD42F1D647</t>
  </si>
  <si>
    <t>2025-01-29</t>
  </si>
  <si>
    <t>CUST2319</t>
  </si>
  <si>
    <t>ORDBD58B1DE</t>
  </si>
  <si>
    <t>CUST8235</t>
  </si>
  <si>
    <t>ORD4D589526</t>
  </si>
  <si>
    <t>CUST5145</t>
  </si>
  <si>
    <t>ORD2898B414</t>
  </si>
  <si>
    <t>CUST5040</t>
  </si>
  <si>
    <t>ORD2BAA2EBB</t>
  </si>
  <si>
    <t>2025-01-30</t>
  </si>
  <si>
    <t>CUST4782</t>
  </si>
  <si>
    <t>ORDBADD3F7C</t>
  </si>
  <si>
    <t>CUST8715</t>
  </si>
  <si>
    <t>ORD82B4344F</t>
  </si>
  <si>
    <t>CUST1434</t>
  </si>
  <si>
    <t>ORD032AD0EC</t>
  </si>
  <si>
    <t>CUST2872</t>
  </si>
  <si>
    <t>ORDC432FFA5</t>
  </si>
  <si>
    <t>CUST8215</t>
  </si>
  <si>
    <t>ORD02F026A6</t>
  </si>
  <si>
    <t>CUST3862</t>
  </si>
  <si>
    <t>ORDD2482FE7</t>
  </si>
  <si>
    <t>2025-01-31</t>
  </si>
  <si>
    <t>CUST4806</t>
  </si>
  <si>
    <t>ORD56FD4872</t>
  </si>
  <si>
    <t>CUST9700</t>
  </si>
  <si>
    <t>ORD4F4303C6</t>
  </si>
  <si>
    <t>CUST7541</t>
  </si>
  <si>
    <t>ORD9B63FDC6</t>
  </si>
  <si>
    <t>2025-02-01</t>
  </si>
  <si>
    <t>CUST6390</t>
  </si>
  <si>
    <t>ORD72201B0B</t>
  </si>
  <si>
    <t>CUST4746</t>
  </si>
  <si>
    <t>ORDAFBA43CB</t>
  </si>
  <si>
    <t>CUST6347</t>
  </si>
  <si>
    <t>ORD4E4398C5</t>
  </si>
  <si>
    <t>CUST1303</t>
  </si>
  <si>
    <t>ORD7B9833E2</t>
  </si>
  <si>
    <t>CUST9860</t>
  </si>
  <si>
    <t>ORDB89961AF</t>
  </si>
  <si>
    <t>CUST9986</t>
  </si>
  <si>
    <t>ORD2E34124B</t>
  </si>
  <si>
    <t>2025-02-02</t>
  </si>
  <si>
    <t>CUST3031</t>
  </si>
  <si>
    <t>ORD58DE1663</t>
  </si>
  <si>
    <t>CUST6816</t>
  </si>
  <si>
    <t>ORDD5696733</t>
  </si>
  <si>
    <t>CUST7658</t>
  </si>
  <si>
    <t>ORDB9829B12</t>
  </si>
  <si>
    <t>CUST5374</t>
  </si>
  <si>
    <t>ORD6CA60C14</t>
  </si>
  <si>
    <t>CUST1625</t>
  </si>
  <si>
    <t>ORD72C3C477</t>
  </si>
  <si>
    <t>2025-02-03</t>
  </si>
  <si>
    <t>CUST8761</t>
  </si>
  <si>
    <t>ORDD9D3A5B7</t>
  </si>
  <si>
    <t>CUST6244</t>
  </si>
  <si>
    <t>ORD3A30CCAF</t>
  </si>
  <si>
    <t>CUST6073</t>
  </si>
  <si>
    <t>ORD1484A6E9</t>
  </si>
  <si>
    <t>CUST9736</t>
  </si>
  <si>
    <t>ORDEA16FEA5</t>
  </si>
  <si>
    <t>2025-02-04</t>
  </si>
  <si>
    <t>CUST9944</t>
  </si>
  <si>
    <t>ORDE0D05009</t>
  </si>
  <si>
    <t>CUST4421</t>
  </si>
  <si>
    <t>ORD114F1DB3</t>
  </si>
  <si>
    <t>CUST3234</t>
  </si>
  <si>
    <t>ORD665045E4</t>
  </si>
  <si>
    <t>CUST6205</t>
  </si>
  <si>
    <t>ORD27C9490C</t>
  </si>
  <si>
    <t>CUST6997</t>
  </si>
  <si>
    <t>ORD0B1BDA40</t>
  </si>
  <si>
    <t>CUST6351</t>
  </si>
  <si>
    <t>ORDFDA5E459</t>
  </si>
  <si>
    <t>CUST7208</t>
  </si>
  <si>
    <t>ORD51CA2550</t>
  </si>
  <si>
    <t>CUST3664</t>
  </si>
  <si>
    <t>ORD6A7E08FA</t>
  </si>
  <si>
    <t>2025-02-05</t>
  </si>
  <si>
    <t>CUST4009</t>
  </si>
  <si>
    <t>ORDEFBBA5B6</t>
  </si>
  <si>
    <t>CUST3575</t>
  </si>
  <si>
    <t>ORD3A418053</t>
  </si>
  <si>
    <t>CUST6055</t>
  </si>
  <si>
    <t>ORD7BBB3C50</t>
  </si>
  <si>
    <t>CUST5443</t>
  </si>
  <si>
    <t>ORDB28E0F6A</t>
  </si>
  <si>
    <t>CUST9923</t>
  </si>
  <si>
    <t>ORD51C7F7DC</t>
  </si>
  <si>
    <t>2025-02-06</t>
  </si>
  <si>
    <t>CUST3568</t>
  </si>
  <si>
    <t>ORDF3084E45</t>
  </si>
  <si>
    <t>CUST7171</t>
  </si>
  <si>
    <t>ORD5C5C9945</t>
  </si>
  <si>
    <t>CUST3554</t>
  </si>
  <si>
    <t>ORD06E4A5FC</t>
  </si>
  <si>
    <t>CUST6522</t>
  </si>
  <si>
    <t>ORD24669EC6</t>
  </si>
  <si>
    <t>2025-02-07</t>
  </si>
  <si>
    <t>CUST6403</t>
  </si>
  <si>
    <t>ORD031A6C9C</t>
  </si>
  <si>
    <t>CUST4097</t>
  </si>
  <si>
    <t>ORDB496285C</t>
  </si>
  <si>
    <t>CUST9824</t>
  </si>
  <si>
    <t>ORDA7D1E2C8</t>
  </si>
  <si>
    <t>CUST7326</t>
  </si>
  <si>
    <t>ORD6A9478A2</t>
  </si>
  <si>
    <t>CUST5822</t>
  </si>
  <si>
    <t>ORD767A9D57</t>
  </si>
  <si>
    <t>2025-02-08</t>
  </si>
  <si>
    <t>CUST9504</t>
  </si>
  <si>
    <t>ORD123F58C6</t>
  </si>
  <si>
    <t>CUST9787</t>
  </si>
  <si>
    <t>ORDE47C52F9</t>
  </si>
  <si>
    <t>CUST5469</t>
  </si>
  <si>
    <t>ORD49176A0F</t>
  </si>
  <si>
    <t>CUST9847</t>
  </si>
  <si>
    <t>ORD38899E07</t>
  </si>
  <si>
    <t>CUST4257</t>
  </si>
  <si>
    <t>ORDBC3C9ABE</t>
  </si>
  <si>
    <t>CUST1964</t>
  </si>
  <si>
    <t>ORD42EF0964</t>
  </si>
  <si>
    <t>2025-02-09</t>
  </si>
  <si>
    <t>CUST5578</t>
  </si>
  <si>
    <t>ORD5082361C</t>
  </si>
  <si>
    <t>CUST9319</t>
  </si>
  <si>
    <t>ORD2CDF503D</t>
  </si>
  <si>
    <t>CUST7030</t>
  </si>
  <si>
    <t>ORD9C6FA14A</t>
  </si>
  <si>
    <t>2025-02-10</t>
  </si>
  <si>
    <t>CUST3347</t>
  </si>
  <si>
    <t>ORD557E10A3</t>
  </si>
  <si>
    <t>CUST4883</t>
  </si>
  <si>
    <t>ORD4BE9EA30</t>
  </si>
  <si>
    <t>CUST6748</t>
  </si>
  <si>
    <t>ORD9DD2858F</t>
  </si>
  <si>
    <t>2025-02-11</t>
  </si>
  <si>
    <t>CUST4573</t>
  </si>
  <si>
    <t>ORDFDB97EDE</t>
  </si>
  <si>
    <t>CUST4535</t>
  </si>
  <si>
    <t>ORDE64481DB</t>
  </si>
  <si>
    <t>CUST9772</t>
  </si>
  <si>
    <t>ORD7743EBC8</t>
  </si>
  <si>
    <t>ORD00813AAC</t>
  </si>
  <si>
    <t>ORD518A822D</t>
  </si>
  <si>
    <t>CUST3132</t>
  </si>
  <si>
    <t>ORD3BC4BE2F</t>
  </si>
  <si>
    <t>CUST1212</t>
  </si>
  <si>
    <t>ORD421A0115</t>
  </si>
  <si>
    <t>2025-02-12</t>
  </si>
  <si>
    <t>CUST5849</t>
  </si>
  <si>
    <t>ORD1D1CBA42</t>
  </si>
  <si>
    <t>CUST4102</t>
  </si>
  <si>
    <t>ORD81A4A381</t>
  </si>
  <si>
    <t>CUST1037</t>
  </si>
  <si>
    <t>ORDD9DFB027</t>
  </si>
  <si>
    <t>CUST6597</t>
  </si>
  <si>
    <t>ORD22459FD6</t>
  </si>
  <si>
    <t>CUST1302</t>
  </si>
  <si>
    <t>ORD385585AE</t>
  </si>
  <si>
    <t>ORD08DDA426</t>
  </si>
  <si>
    <t>2025-02-13</t>
  </si>
  <si>
    <t>CUST7071</t>
  </si>
  <si>
    <t>ORDCAB2E022</t>
  </si>
  <si>
    <t>CUST4843</t>
  </si>
  <si>
    <t>ORD209C96A4</t>
  </si>
  <si>
    <t>CUST4412</t>
  </si>
  <si>
    <t>ORD46121246</t>
  </si>
  <si>
    <t>2025-02-14</t>
  </si>
  <si>
    <t>CUST4962</t>
  </si>
  <si>
    <t>ORDF1E2C4FB</t>
  </si>
  <si>
    <t>CUST7115</t>
  </si>
  <si>
    <t>ORDCEA767CC</t>
  </si>
  <si>
    <t>CUST1786</t>
  </si>
  <si>
    <t>ORD4ADC1AA9</t>
  </si>
  <si>
    <t>CUST6467</t>
  </si>
  <si>
    <t>ORD65A2F711</t>
  </si>
  <si>
    <t>2025-02-15</t>
  </si>
  <si>
    <t>CUST4066</t>
  </si>
  <si>
    <t>ORD01C61D2B</t>
  </si>
  <si>
    <t>CUST4458</t>
  </si>
  <si>
    <t>ORD6A3544CF</t>
  </si>
  <si>
    <t>CUST8168</t>
  </si>
  <si>
    <t>ORD4EF1AE98</t>
  </si>
  <si>
    <t>2025-02-16</t>
  </si>
  <si>
    <t>CUST6090</t>
  </si>
  <si>
    <t>ORD4E2B4FDC</t>
  </si>
  <si>
    <t>CUST5021</t>
  </si>
  <si>
    <t>ORD4DCF9B06</t>
  </si>
  <si>
    <t>CUST7739</t>
  </si>
  <si>
    <t>ORD2F3D2779</t>
  </si>
  <si>
    <t>CUST4898</t>
  </si>
  <si>
    <t>ORDD07306E2</t>
  </si>
  <si>
    <t>CUST2495</t>
  </si>
  <si>
    <t>ORDB80CF882</t>
  </si>
  <si>
    <t>2025-02-17</t>
  </si>
  <si>
    <t>CUST5113</t>
  </si>
  <si>
    <t>ORD204212E0</t>
  </si>
  <si>
    <t>CUST7100</t>
  </si>
  <si>
    <t>ORD32E0D995</t>
  </si>
  <si>
    <t>CUST3014</t>
  </si>
  <si>
    <t>ORDA416E3E6</t>
  </si>
  <si>
    <t>CUST4118</t>
  </si>
  <si>
    <t>ORD69DA6117</t>
  </si>
  <si>
    <t>CUST8957</t>
  </si>
  <si>
    <t>ORDE3594066</t>
  </si>
  <si>
    <t>2025-02-18</t>
  </si>
  <si>
    <t>CUST4012</t>
  </si>
  <si>
    <t>ORDC6402853</t>
  </si>
  <si>
    <t>CUST7821</t>
  </si>
  <si>
    <t>ORD471A1644</t>
  </si>
  <si>
    <t>CUST3500</t>
  </si>
  <si>
    <t>ORD99BA20E5</t>
  </si>
  <si>
    <t>CUST6089</t>
  </si>
  <si>
    <t>ORD1617493C</t>
  </si>
  <si>
    <t>CUST9173</t>
  </si>
  <si>
    <t>ORDF999DD1F</t>
  </si>
  <si>
    <t>CUST1413</t>
  </si>
  <si>
    <t>ORD2ED48069</t>
  </si>
  <si>
    <t>CUST5647</t>
  </si>
  <si>
    <t>ORDEC77FCA2</t>
  </si>
  <si>
    <t>2025-02-19</t>
  </si>
  <si>
    <t>CUST6743</t>
  </si>
  <si>
    <t>ORD2F88C161</t>
  </si>
  <si>
    <t>CUST6206</t>
  </si>
  <si>
    <t>ORD8F3CF66A</t>
  </si>
  <si>
    <t>CUST8521</t>
  </si>
  <si>
    <t>ORD2D4B08D9</t>
  </si>
  <si>
    <t>CUST3826</t>
  </si>
  <si>
    <t>ORDF9ED89C9</t>
  </si>
  <si>
    <t>CUST3716</t>
  </si>
  <si>
    <t>ORD4182602C</t>
  </si>
  <si>
    <t>CUST4840</t>
  </si>
  <si>
    <t>ORD48C93E73</t>
  </si>
  <si>
    <t>CUST1606</t>
  </si>
  <si>
    <t>ORDA7094959</t>
  </si>
  <si>
    <t>2025-02-20</t>
  </si>
  <si>
    <t>CUST5837</t>
  </si>
  <si>
    <t>ORD3043270C</t>
  </si>
  <si>
    <t>CUST4988</t>
  </si>
  <si>
    <t>ORD2AEFE28A</t>
  </si>
  <si>
    <t>CUST9929</t>
  </si>
  <si>
    <t>ORD7C697687</t>
  </si>
  <si>
    <t>CUST1165</t>
  </si>
  <si>
    <t>ORD519CB025</t>
  </si>
  <si>
    <t>CUST1447</t>
  </si>
  <si>
    <t>ORDF371C4DB</t>
  </si>
  <si>
    <t>CUST1305</t>
  </si>
  <si>
    <t>ORD0321AF42</t>
  </si>
  <si>
    <t>CUST2072</t>
  </si>
  <si>
    <t>ORDB6AFE2D2</t>
  </si>
  <si>
    <t>CUST6500</t>
  </si>
  <si>
    <t>ORDB06881D4</t>
  </si>
  <si>
    <t>2025-02-21</t>
  </si>
  <si>
    <t>CUST8770</t>
  </si>
  <si>
    <t>ORD6DC9E501</t>
  </si>
  <si>
    <t>CUST7792</t>
  </si>
  <si>
    <t>ORD87AEFE5B</t>
  </si>
  <si>
    <t>CUST5681</t>
  </si>
  <si>
    <t>ORDCE5D797D</t>
  </si>
  <si>
    <t>CUST2137</t>
  </si>
  <si>
    <t>ORDCEF2D7C0</t>
  </si>
  <si>
    <t>CUST3259</t>
  </si>
  <si>
    <t>ORD009D54AD</t>
  </si>
  <si>
    <t>2025-02-22</t>
  </si>
  <si>
    <t>CUST3667</t>
  </si>
  <si>
    <t>ORDFA53CBBD</t>
  </si>
  <si>
    <t>CUST7524</t>
  </si>
  <si>
    <t>ORDA9CEEF7D</t>
  </si>
  <si>
    <t>CUST5945</t>
  </si>
  <si>
    <t>ORD19DDC26B</t>
  </si>
  <si>
    <t>CUST5340</t>
  </si>
  <si>
    <t>ORDE2520B37</t>
  </si>
  <si>
    <t>2025-02-23</t>
  </si>
  <si>
    <t>CUST2237</t>
  </si>
  <si>
    <t>ORDB975E21E</t>
  </si>
  <si>
    <t>CUST8255</t>
  </si>
  <si>
    <t>ORDCE46CE2A</t>
  </si>
  <si>
    <t>CUST5727</t>
  </si>
  <si>
    <t>ORDA673AC97</t>
  </si>
  <si>
    <t>2025-02-24</t>
  </si>
  <si>
    <t>CUST9106</t>
  </si>
  <si>
    <t>ORD2565BF7E</t>
  </si>
  <si>
    <t>CUST5641</t>
  </si>
  <si>
    <t>ORD7DC6A1E4</t>
  </si>
  <si>
    <t>CUST7423</t>
  </si>
  <si>
    <t>ORD079AD504</t>
  </si>
  <si>
    <t>CUST4534</t>
  </si>
  <si>
    <t>ORDBD172906</t>
  </si>
  <si>
    <t>CUST4649</t>
  </si>
  <si>
    <t>ORD2D482D9C</t>
  </si>
  <si>
    <t>CUST9262</t>
  </si>
  <si>
    <t>ORDDB13955E</t>
  </si>
  <si>
    <t>CUST1677</t>
  </si>
  <si>
    <t>ORD0F4AF12A</t>
  </si>
  <si>
    <t>CUST6413</t>
  </si>
  <si>
    <t>ORD78E403D0</t>
  </si>
  <si>
    <t>2025-02-25</t>
  </si>
  <si>
    <t>CUST7324</t>
  </si>
  <si>
    <t>ORDF760AE58</t>
  </si>
  <si>
    <t>CUST9490</t>
  </si>
  <si>
    <t>ORD2AEDE663</t>
  </si>
  <si>
    <t>CUST3661</t>
  </si>
  <si>
    <t>ORD8E49EC45</t>
  </si>
  <si>
    <t>CUST9121</t>
  </si>
  <si>
    <t>ORD68F3B5D2</t>
  </si>
  <si>
    <t>2025-02-26</t>
  </si>
  <si>
    <t>CUST8935</t>
  </si>
  <si>
    <t>ORDA9A9E626</t>
  </si>
  <si>
    <t>CUST5902</t>
  </si>
  <si>
    <t>ORDED403B5C</t>
  </si>
  <si>
    <t>CUST4744</t>
  </si>
  <si>
    <t>ORD69695645</t>
  </si>
  <si>
    <t>CUST4371</t>
  </si>
  <si>
    <t>ORD89A3AC40</t>
  </si>
  <si>
    <t>2025-02-27</t>
  </si>
  <si>
    <t>CUST6725</t>
  </si>
  <si>
    <t>ORDFFCF6FD1</t>
  </si>
  <si>
    <t>CUST6546</t>
  </si>
  <si>
    <t>ORDCFB7D0D6</t>
  </si>
  <si>
    <t>CUST6987</t>
  </si>
  <si>
    <t>ORDEFF6ADF8</t>
  </si>
  <si>
    <t>CUST4350</t>
  </si>
  <si>
    <t>ORDC8016DBF</t>
  </si>
  <si>
    <t>2025-02-28</t>
  </si>
  <si>
    <t>CUST4075</t>
  </si>
  <si>
    <t>ORD37A3B2B2</t>
  </si>
  <si>
    <t>CUST3497</t>
  </si>
  <si>
    <t>ORDF7275A6E</t>
  </si>
  <si>
    <t>CUST6731</t>
  </si>
  <si>
    <t>ORDDE3F4C91</t>
  </si>
  <si>
    <t>CUST3990</t>
  </si>
  <si>
    <t>ORDE2993473</t>
  </si>
  <si>
    <t>CUST8593</t>
  </si>
  <si>
    <t>ORD49222851</t>
  </si>
  <si>
    <t>CUST7317</t>
  </si>
  <si>
    <t>ORD2688D7CB</t>
  </si>
  <si>
    <t>CUST6239</t>
  </si>
  <si>
    <t>ORD49CDA555</t>
  </si>
  <si>
    <t>2025-03-01</t>
  </si>
  <si>
    <t>CUST2336</t>
  </si>
  <si>
    <t>ORD49A2ABD2</t>
  </si>
  <si>
    <t>CUST2718</t>
  </si>
  <si>
    <t>ORD0CB2D77E</t>
  </si>
  <si>
    <t>CUST3534</t>
  </si>
  <si>
    <t>ORDFAC7A61C</t>
  </si>
  <si>
    <t>ORD5396F5AC</t>
  </si>
  <si>
    <t>CUST1285</t>
  </si>
  <si>
    <t>ORD77B282CC</t>
  </si>
  <si>
    <t>CUST6274</t>
  </si>
  <si>
    <t>ORD8038AED7</t>
  </si>
  <si>
    <t>CUST8256</t>
  </si>
  <si>
    <t>ORD8A701432</t>
  </si>
  <si>
    <t>CUST7412</t>
  </si>
  <si>
    <t>ORD0DF4599F</t>
  </si>
  <si>
    <t>2025-03-02</t>
  </si>
  <si>
    <t>CUST3402</t>
  </si>
  <si>
    <t>ORD7420E262</t>
  </si>
  <si>
    <t>CUST5597</t>
  </si>
  <si>
    <t>ORD97AFA0F3</t>
  </si>
  <si>
    <t>CUST5098</t>
  </si>
  <si>
    <t>ORD7F232FBF</t>
  </si>
  <si>
    <t>CUST9674</t>
  </si>
  <si>
    <t>ORD8D9CC7CC</t>
  </si>
  <si>
    <t>CUST8564</t>
  </si>
  <si>
    <t>ORDBC129920</t>
  </si>
  <si>
    <t>CUST1932</t>
  </si>
  <si>
    <t>ORD3ABFD921</t>
  </si>
  <si>
    <t>2025-03-03</t>
  </si>
  <si>
    <t>CUST5556</t>
  </si>
  <si>
    <t>ORD956A8BCA</t>
  </si>
  <si>
    <t>CUST5507</t>
  </si>
  <si>
    <t>ORDAD114348</t>
  </si>
  <si>
    <t>CUST5528</t>
  </si>
  <si>
    <t>ORDFBC70C32</t>
  </si>
  <si>
    <t>CUST5814</t>
  </si>
  <si>
    <t>ORD07EEC09B</t>
  </si>
  <si>
    <t>CUST8064</t>
  </si>
  <si>
    <t>ORDB21564F6</t>
  </si>
  <si>
    <t>CUST5449</t>
  </si>
  <si>
    <t>ORDAF91E019</t>
  </si>
  <si>
    <t>CUST8190</t>
  </si>
  <si>
    <t>ORDAEB4BEA2</t>
  </si>
  <si>
    <t>2025-03-04</t>
  </si>
  <si>
    <t>CUST7405</t>
  </si>
  <si>
    <t>ORDD3CDA0BD</t>
  </si>
  <si>
    <t>CUST8609</t>
  </si>
  <si>
    <t>ORD231EC677</t>
  </si>
  <si>
    <t>ORDC7F82AB5</t>
  </si>
  <si>
    <t>CUST9711</t>
  </si>
  <si>
    <t>ORD4B986300</t>
  </si>
  <si>
    <t>2025-03-05</t>
  </si>
  <si>
    <t>CUST4061</t>
  </si>
  <si>
    <t>ORD4A88B488</t>
  </si>
  <si>
    <t>CUST2259</t>
  </si>
  <si>
    <t>ORDB2B5F98B</t>
  </si>
  <si>
    <t>CUST6982</t>
  </si>
  <si>
    <t>ORD9DC56A41</t>
  </si>
  <si>
    <t>CUST1761</t>
  </si>
  <si>
    <t>ORDBFB63B09</t>
  </si>
  <si>
    <t>CUST1967</t>
  </si>
  <si>
    <t>ORD9E725C37</t>
  </si>
  <si>
    <t>CUST1919</t>
  </si>
  <si>
    <t>ORD4D6C14D3</t>
  </si>
  <si>
    <t>CUST2769</t>
  </si>
  <si>
    <t>ORD7D4C3D81</t>
  </si>
  <si>
    <t>CUST9930</t>
  </si>
  <si>
    <t>ORD399571C7</t>
  </si>
  <si>
    <t>2025-03-06</t>
  </si>
  <si>
    <t>CUST9370</t>
  </si>
  <si>
    <t>ORD0403821B</t>
  </si>
  <si>
    <t>CUST5284</t>
  </si>
  <si>
    <t>ORD1D5BAE60</t>
  </si>
  <si>
    <t>CUST9974</t>
  </si>
  <si>
    <t>ORD727B176D</t>
  </si>
  <si>
    <t>CUST3169</t>
  </si>
  <si>
    <t>ORDCF879696</t>
  </si>
  <si>
    <t>CUST3082</t>
  </si>
  <si>
    <t>ORD2652FA72</t>
  </si>
  <si>
    <t>CUST8736</t>
  </si>
  <si>
    <t>ORDE6AC36B3</t>
  </si>
  <si>
    <t>CUST6007</t>
  </si>
  <si>
    <t>ORD60796C66</t>
  </si>
  <si>
    <t>CUST4497</t>
  </si>
  <si>
    <t>ORDF734F97A</t>
  </si>
  <si>
    <t>2025-03-07</t>
  </si>
  <si>
    <t>CUST2194</t>
  </si>
  <si>
    <t>ORD85F0A5FE</t>
  </si>
  <si>
    <t>CUST1314</t>
  </si>
  <si>
    <t>ORD472F54B3</t>
  </si>
  <si>
    <t>CUST1520</t>
  </si>
  <si>
    <t>ORD2A560A05</t>
  </si>
  <si>
    <t>CUST1915</t>
  </si>
  <si>
    <t>ORD563B956B</t>
  </si>
  <si>
    <t>CUST7587</t>
  </si>
  <si>
    <t>ORDD572AC6D</t>
  </si>
  <si>
    <t>CUST2369</t>
  </si>
  <si>
    <t>ORD6A449D42</t>
  </si>
  <si>
    <t>2025-03-08</t>
  </si>
  <si>
    <t>CUST1780</t>
  </si>
  <si>
    <t>ORD0B7BFEC0</t>
  </si>
  <si>
    <t>CUST3935</t>
  </si>
  <si>
    <t>ORDC6C6E922</t>
  </si>
  <si>
    <t>CUST5183</t>
  </si>
  <si>
    <t>ORDB378F7EE</t>
  </si>
  <si>
    <t>CUST6662</t>
  </si>
  <si>
    <t>ORD800BE538</t>
  </si>
  <si>
    <t>CUST4104</t>
  </si>
  <si>
    <t>ORD73EC283B</t>
  </si>
  <si>
    <t>CUST8273</t>
  </si>
  <si>
    <t>ORDBA897A99</t>
  </si>
  <si>
    <t>CUST1872</t>
  </si>
  <si>
    <t>ORDFB22635E</t>
  </si>
  <si>
    <t>CUST7144</t>
  </si>
  <si>
    <t>ORDDA7A06DF</t>
  </si>
  <si>
    <t>2025-03-09</t>
  </si>
  <si>
    <t>CUST7864</t>
  </si>
  <si>
    <t>ORDBF8A2577</t>
  </si>
  <si>
    <t>CUST9463</t>
  </si>
  <si>
    <t>ORDC4CE8782</t>
  </si>
  <si>
    <t>CUST7483</t>
  </si>
  <si>
    <t>ORD414F8B85</t>
  </si>
  <si>
    <t>CUST3735</t>
  </si>
  <si>
    <t>ORD38AD812A</t>
  </si>
  <si>
    <t>CUST8227</t>
  </si>
  <si>
    <t>ORD7E8FFE2E</t>
  </si>
  <si>
    <t>CUST6123</t>
  </si>
  <si>
    <t>ORD9B2114EF</t>
  </si>
  <si>
    <t>CUST7114</t>
  </si>
  <si>
    <t>ORD7F883D11</t>
  </si>
  <si>
    <t>CUST7250</t>
  </si>
  <si>
    <t>ORDBA2AC394</t>
  </si>
  <si>
    <t>2025-03-10</t>
  </si>
  <si>
    <t>CUST9406</t>
  </si>
  <si>
    <t>ORDAE1EA523</t>
  </si>
  <si>
    <t>CUST9719</t>
  </si>
  <si>
    <t>ORD96DB8408</t>
  </si>
  <si>
    <t>CUST6916</t>
  </si>
  <si>
    <t>ORD9F9ED399</t>
  </si>
  <si>
    <t>CUST4834</t>
  </si>
  <si>
    <t>ORD5CEF6D75</t>
  </si>
  <si>
    <t>CUST5726</t>
  </si>
  <si>
    <t>ORDBE0AE71A</t>
  </si>
  <si>
    <t>CUST1310</t>
  </si>
  <si>
    <t>ORD5BBC8D9A</t>
  </si>
  <si>
    <t>CUST3370</t>
  </si>
  <si>
    <t>ORD31E1155F</t>
  </si>
  <si>
    <t>CUST1011</t>
  </si>
  <si>
    <t>ORD1A0F4076</t>
  </si>
  <si>
    <t>2025-03-11</t>
  </si>
  <si>
    <t>CUST7431</t>
  </si>
  <si>
    <t>ORDDF79997A</t>
  </si>
  <si>
    <t>CUST1560</t>
  </si>
  <si>
    <t>ORDA15C21E8</t>
  </si>
  <si>
    <t>CUST8322</t>
  </si>
  <si>
    <t>ORDD1EC21BF</t>
  </si>
  <si>
    <t>CUST3397</t>
  </si>
  <si>
    <t>ORD6AF3A3A7</t>
  </si>
  <si>
    <t>CUST2999</t>
  </si>
  <si>
    <t>ORDFCCBD8F4</t>
  </si>
  <si>
    <t>CUST8272</t>
  </si>
  <si>
    <t>ORD6C815A6B</t>
  </si>
  <si>
    <t>2025-03-12</t>
  </si>
  <si>
    <t>CUST5479</t>
  </si>
  <si>
    <t>ORDEA0F0C3B</t>
  </si>
  <si>
    <t>CUST9308</t>
  </si>
  <si>
    <t>ORDC9A6715E</t>
  </si>
  <si>
    <t>CUST3223</t>
  </si>
  <si>
    <t>ORD9C8D74E6</t>
  </si>
  <si>
    <t>CUST1134</t>
  </si>
  <si>
    <t>ORD7FD1FA20</t>
  </si>
  <si>
    <t>CUST6408</t>
  </si>
  <si>
    <t>ORD9796706C</t>
  </si>
  <si>
    <t>CUST2757</t>
  </si>
  <si>
    <t>ORD6B042F26</t>
  </si>
  <si>
    <t>CUST9395</t>
  </si>
  <si>
    <t>ORD64320E5A</t>
  </si>
  <si>
    <t>2025-03-13</t>
  </si>
  <si>
    <t>CUST1065</t>
  </si>
  <si>
    <t>ORD0B3C5E74</t>
  </si>
  <si>
    <t>CUST1235</t>
  </si>
  <si>
    <t>ORDEF895536</t>
  </si>
  <si>
    <t>CUST2666</t>
  </si>
  <si>
    <t>ORD1F71F3C1</t>
  </si>
  <si>
    <t>CUST1918</t>
  </si>
  <si>
    <t>ORD7A0EFAAB</t>
  </si>
  <si>
    <t>2025-03-14</t>
  </si>
  <si>
    <t>CUST8062</t>
  </si>
  <si>
    <t>ORD6464AF64</t>
  </si>
  <si>
    <t>CUST5002</t>
  </si>
  <si>
    <t>ORD7B678F3B</t>
  </si>
  <si>
    <t>CUST2996</t>
  </si>
  <si>
    <t>ORDCC8CE547</t>
  </si>
  <si>
    <t>CUST3134</t>
  </si>
  <si>
    <t>ORD7C021D20</t>
  </si>
  <si>
    <t>2025-03-15</t>
  </si>
  <si>
    <t>CUST7434</t>
  </si>
  <si>
    <t>ORD94C08ED6</t>
  </si>
  <si>
    <t>CUST8410</t>
  </si>
  <si>
    <t>ORD11702D4F</t>
  </si>
  <si>
    <t>CUST4461</t>
  </si>
  <si>
    <t>ORD526AE856</t>
  </si>
  <si>
    <t>CUST3551</t>
  </si>
  <si>
    <t>ORD250CF546</t>
  </si>
  <si>
    <t>CUST6702</t>
  </si>
  <si>
    <t>ORD2F59346E</t>
  </si>
  <si>
    <t>CUST9357</t>
  </si>
  <si>
    <t>ORD4A02CFB0</t>
  </si>
  <si>
    <t>CUST5774</t>
  </si>
  <si>
    <t>ORDAB484701</t>
  </si>
  <si>
    <t>CUST8639</t>
  </si>
  <si>
    <t>ORDA2593376</t>
  </si>
  <si>
    <t>2025-03-16</t>
  </si>
  <si>
    <t>CUST8878</t>
  </si>
  <si>
    <t>ORDB5880C6E</t>
  </si>
  <si>
    <t>CUST1600</t>
  </si>
  <si>
    <t>ORD9ECC8814</t>
  </si>
  <si>
    <t>CUST9695</t>
  </si>
  <si>
    <t>ORDEC85F2E7</t>
  </si>
  <si>
    <t>2025-03-17</t>
  </si>
  <si>
    <t>CUST9870</t>
  </si>
  <si>
    <t>ORD10216B74</t>
  </si>
  <si>
    <t>CUST2520</t>
  </si>
  <si>
    <t>ORDF02882DD</t>
  </si>
  <si>
    <t>CUST8667</t>
  </si>
  <si>
    <t>ORDC19AA2DA</t>
  </si>
  <si>
    <t>CUST1558</t>
  </si>
  <si>
    <t>ORD202FCBF0</t>
  </si>
  <si>
    <t>CUST4010</t>
  </si>
  <si>
    <t>ORD3FDE178F</t>
  </si>
  <si>
    <t>2025-03-18</t>
  </si>
  <si>
    <t>CUST2022</t>
  </si>
  <si>
    <t>ORD3FBA50E5</t>
  </si>
  <si>
    <t>CUST8382</t>
  </si>
  <si>
    <t>ORD693B91F8</t>
  </si>
  <si>
    <t>CUST1538</t>
  </si>
  <si>
    <t>ORDED75C8C8</t>
  </si>
  <si>
    <t>CUST3760</t>
  </si>
  <si>
    <t>ORDC7C09274</t>
  </si>
  <si>
    <t>CUST3928</t>
  </si>
  <si>
    <t>ORD4D2B86B1</t>
  </si>
  <si>
    <t>ORD0C2E7D56</t>
  </si>
  <si>
    <t>CUST5692</t>
  </si>
  <si>
    <t>ORD5A844684</t>
  </si>
  <si>
    <t>2025-03-19</t>
  </si>
  <si>
    <t>CUST5656</t>
  </si>
  <si>
    <t>ORD562FF58F</t>
  </si>
  <si>
    <t>CUST7571</t>
  </si>
  <si>
    <t>ORD0E76510B</t>
  </si>
  <si>
    <t>CUST7758</t>
  </si>
  <si>
    <t>ORDBC04E0BE</t>
  </si>
  <si>
    <t>CUST1873</t>
  </si>
  <si>
    <t>ORDEF79AC44</t>
  </si>
  <si>
    <t>CUST1668</t>
  </si>
  <si>
    <t>ORDB1B84192</t>
  </si>
  <si>
    <t>CUST3451</t>
  </si>
  <si>
    <t>ORD64ABD054</t>
  </si>
  <si>
    <t>2025-03-20</t>
  </si>
  <si>
    <t>CUST2079</t>
  </si>
  <si>
    <t>ORD67B56D2F</t>
  </si>
  <si>
    <t>CUST2940</t>
  </si>
  <si>
    <t>ORDD39CF45A</t>
  </si>
  <si>
    <t>CUST6839</t>
  </si>
  <si>
    <t>ORD450D20A3</t>
  </si>
  <si>
    <t>CUST9145</t>
  </si>
  <si>
    <t>ORD0B6B412D</t>
  </si>
  <si>
    <t>2025-03-21</t>
  </si>
  <si>
    <t>CUST4033</t>
  </si>
  <si>
    <t>ORD219118DF</t>
  </si>
  <si>
    <t>CUST8777</t>
  </si>
  <si>
    <t>ORD22F999AC</t>
  </si>
  <si>
    <t>CUST4416</t>
  </si>
  <si>
    <t>ORD45C079F8</t>
  </si>
  <si>
    <t>CUST6334</t>
  </si>
  <si>
    <t>ORD9F6B9F06</t>
  </si>
  <si>
    <t>2025-03-22</t>
  </si>
  <si>
    <t>CUST6290</t>
  </si>
  <si>
    <t>ORD8C605F16</t>
  </si>
  <si>
    <t>CUST5953</t>
  </si>
  <si>
    <t>ORD2868BB63</t>
  </si>
  <si>
    <t>CUST1266</t>
  </si>
  <si>
    <t>ORD78EB7B74</t>
  </si>
  <si>
    <t>2025-03-23</t>
  </si>
  <si>
    <t>CUST5687</t>
  </si>
  <si>
    <t>ORDEEC1018A</t>
  </si>
  <si>
    <t>CUST9721</t>
  </si>
  <si>
    <t>ORD8A9674F5</t>
  </si>
  <si>
    <t>CUST3351</t>
  </si>
  <si>
    <t>ORD911FBAB3</t>
  </si>
  <si>
    <t>CUST3963</t>
  </si>
  <si>
    <t>ORD6711F184</t>
  </si>
  <si>
    <t>CUST2253</t>
  </si>
  <si>
    <t>ORDA80531CF</t>
  </si>
  <si>
    <t>CUST9907</t>
  </si>
  <si>
    <t>ORDB3515039</t>
  </si>
  <si>
    <t>CUST3924</t>
  </si>
  <si>
    <t>ORD22FA7DD4</t>
  </si>
  <si>
    <t>2025-03-24</t>
  </si>
  <si>
    <t>ORD2C81A3E8</t>
  </si>
  <si>
    <t>CUST3582</t>
  </si>
  <si>
    <t>ORD6CFFAD9F</t>
  </si>
  <si>
    <t>CUST3476</t>
  </si>
  <si>
    <t>ORD5BDDAD0E</t>
  </si>
  <si>
    <t>CUST2754</t>
  </si>
  <si>
    <t>ORD33BF749B</t>
  </si>
  <si>
    <t>CUST8121</t>
  </si>
  <si>
    <t>ORD370DCBA5</t>
  </si>
  <si>
    <t>CUST1456</t>
  </si>
  <si>
    <t>ORD692FC201</t>
  </si>
  <si>
    <t>CUST4519</t>
  </si>
  <si>
    <t>ORDE49A77FF</t>
  </si>
  <si>
    <t>2025-03-25</t>
  </si>
  <si>
    <t>CUST1599</t>
  </si>
  <si>
    <t>ORDC008A136</t>
  </si>
  <si>
    <t>CUST4597</t>
  </si>
  <si>
    <t>ORD730DA4F0</t>
  </si>
  <si>
    <t>CUST7471</t>
  </si>
  <si>
    <t>ORDB29D838B</t>
  </si>
  <si>
    <t>CUST6965</t>
  </si>
  <si>
    <t>ORD9BA43CB5</t>
  </si>
  <si>
    <t>CUST1463</t>
  </si>
  <si>
    <t>ORDF55A8631</t>
  </si>
  <si>
    <t>CUST3247</t>
  </si>
  <si>
    <t>ORD728E1A9B</t>
  </si>
  <si>
    <t>CUST3999</t>
  </si>
  <si>
    <t>ORDF91FC278</t>
  </si>
  <si>
    <t>ORDADC74256</t>
  </si>
  <si>
    <t>2025-03-26</t>
  </si>
  <si>
    <t>CUST7165</t>
  </si>
  <si>
    <t>ORD65A07989</t>
  </si>
  <si>
    <t>ORDF7A718E2</t>
  </si>
  <si>
    <t>CUST2191</t>
  </si>
  <si>
    <t>ORDCA7ACF9A</t>
  </si>
  <si>
    <t>ORD81F9FC4A</t>
  </si>
  <si>
    <t>CUST9263</t>
  </si>
  <si>
    <t>ORD6F2EFEB4</t>
  </si>
  <si>
    <t>2025-03-27</t>
  </si>
  <si>
    <t>ORD52F0BD9D</t>
  </si>
  <si>
    <t>CUST7201</t>
  </si>
  <si>
    <t>ORDBD3C6CA8</t>
  </si>
  <si>
    <t>CUST3278</t>
  </si>
  <si>
    <t>ORD7F52FA81</t>
  </si>
  <si>
    <t>CUST1020</t>
  </si>
  <si>
    <t>ORD1BD76023</t>
  </si>
  <si>
    <t>CUST9609</t>
  </si>
  <si>
    <t>ORD2921CD17</t>
  </si>
  <si>
    <t>CUST8890</t>
  </si>
  <si>
    <t>ORD59B72EC7</t>
  </si>
  <si>
    <t>CUST7491</t>
  </si>
  <si>
    <t>ORDBC5807E5</t>
  </si>
  <si>
    <t>CUST7414</t>
  </si>
  <si>
    <t>ORDB786532D</t>
  </si>
  <si>
    <t>2025-03-28</t>
  </si>
  <si>
    <t>CUST5525</t>
  </si>
  <si>
    <t>ORDD277BAC1</t>
  </si>
  <si>
    <t>CUST9255</t>
  </si>
  <si>
    <t>ORDDDF36F31</t>
  </si>
  <si>
    <t>CUST4667</t>
  </si>
  <si>
    <t>ORD04A653A4</t>
  </si>
  <si>
    <t>CUST3239</t>
  </si>
  <si>
    <t>ORD8D3AF4A8</t>
  </si>
  <si>
    <t>CUST7293</t>
  </si>
  <si>
    <t>ORD5F0AEA94</t>
  </si>
  <si>
    <t>CUST2911</t>
  </si>
  <si>
    <t>ORD6BDF9C14</t>
  </si>
  <si>
    <t>ORDDEF652B2</t>
  </si>
  <si>
    <t>CUST1831</t>
  </si>
  <si>
    <t>ORD60A0A451</t>
  </si>
  <si>
    <t>2025-03-29</t>
  </si>
  <si>
    <t>CUST9612</t>
  </si>
  <si>
    <t>ORDD3899FE0</t>
  </si>
  <si>
    <t>CUST7512</t>
  </si>
  <si>
    <t>ORD3D7B1EA0</t>
  </si>
  <si>
    <t>CUST6802</t>
  </si>
  <si>
    <t>ORD4AFF3D58</t>
  </si>
  <si>
    <t>CUST8930</t>
  </si>
  <si>
    <t>ORD48D8F22E</t>
  </si>
  <si>
    <t>CUST9741</t>
  </si>
  <si>
    <t>ORD89E926B3</t>
  </si>
  <si>
    <t>CUST9251</t>
  </si>
  <si>
    <t>ORDBFDDBD67</t>
  </si>
  <si>
    <t>CUST6070</t>
  </si>
  <si>
    <t>ORD5469ABC1</t>
  </si>
  <si>
    <t>2025-03-30</t>
  </si>
  <si>
    <t>CUST5527</t>
  </si>
  <si>
    <t>ORDDB0F18DD</t>
  </si>
  <si>
    <t>ORD7503FD4A</t>
  </si>
  <si>
    <t>CUST1693</t>
  </si>
  <si>
    <t>ORDBED956AA</t>
  </si>
  <si>
    <t>CUST7600</t>
  </si>
  <si>
    <t>ORDFE9EA92E</t>
  </si>
  <si>
    <t>CUST3801</t>
  </si>
  <si>
    <t>ORD6F94B7D8</t>
  </si>
  <si>
    <t>CUST5024</t>
  </si>
  <si>
    <t>ORD28D9A37E</t>
  </si>
  <si>
    <t>CUST2335</t>
  </si>
  <si>
    <t>ORD84DACD49</t>
  </si>
  <si>
    <t>CUST7958</t>
  </si>
  <si>
    <t>ORDAD31D630</t>
  </si>
  <si>
    <t>2025-03-31</t>
  </si>
  <si>
    <t>CUST9803</t>
  </si>
  <si>
    <t>ORD37111268</t>
  </si>
  <si>
    <t>CUST8249</t>
  </si>
  <si>
    <t>ORD19804739</t>
  </si>
  <si>
    <t>CUST3841</t>
  </si>
  <si>
    <t>ORD042E50DE</t>
  </si>
  <si>
    <t>CUST6476</t>
  </si>
  <si>
    <t>ORD8EE68A76</t>
  </si>
  <si>
    <t>CUST9180</t>
  </si>
  <si>
    <t>ORD74974D25</t>
  </si>
  <si>
    <t>2025-04-01</t>
  </si>
  <si>
    <t>CUST5164</t>
  </si>
  <si>
    <t>ORD5420AE3A</t>
  </si>
  <si>
    <t>CUST3434</t>
  </si>
  <si>
    <t>ORDB35AAD96</t>
  </si>
  <si>
    <t>CUST7402</t>
  </si>
  <si>
    <t>ORDB446489E</t>
  </si>
  <si>
    <t>2025-04-02</t>
  </si>
  <si>
    <t>CUST8299</t>
  </si>
  <si>
    <t>ORDD38BE3A5</t>
  </si>
  <si>
    <t>CUST6710</t>
  </si>
  <si>
    <t>ORDE03F9A97</t>
  </si>
  <si>
    <t>CUST4793</t>
  </si>
  <si>
    <t>ORDF79C3439</t>
  </si>
  <si>
    <t>CUST8915</t>
  </si>
  <si>
    <t>ORDCB7ED251</t>
  </si>
  <si>
    <t>CUST5988</t>
  </si>
  <si>
    <t>ORDA6427D9D</t>
  </si>
  <si>
    <t>CUST3439</t>
  </si>
  <si>
    <t>ORDA278BDD7</t>
  </si>
  <si>
    <t>CUST1734</t>
  </si>
  <si>
    <t>ORD6B2FC232</t>
  </si>
  <si>
    <t>2025-04-03</t>
  </si>
  <si>
    <t>CUST8404</t>
  </si>
  <si>
    <t>ORD809C27D3</t>
  </si>
  <si>
    <t>CUST6676</t>
  </si>
  <si>
    <t>ORD1A19EEDC</t>
  </si>
  <si>
    <t>CUST2344</t>
  </si>
  <si>
    <t>ORD06A98C1C</t>
  </si>
  <si>
    <t>CUST7811</t>
  </si>
  <si>
    <t>ORD4BEE6862</t>
  </si>
  <si>
    <t>CUST3851</t>
  </si>
  <si>
    <t>ORD49C611D1</t>
  </si>
  <si>
    <t>CUST8301</t>
  </si>
  <si>
    <t>ORDC193641B</t>
  </si>
  <si>
    <t>CUST5567</t>
  </si>
  <si>
    <t>ORDEB2484D6</t>
  </si>
  <si>
    <t>CUST6234</t>
  </si>
  <si>
    <t>ORD98D47AA2</t>
  </si>
  <si>
    <t>2025-04-04</t>
  </si>
  <si>
    <t>CUST7761</t>
  </si>
  <si>
    <t>ORD12483A45</t>
  </si>
  <si>
    <t>CUST4364</t>
  </si>
  <si>
    <t>ORD3BD7CB00</t>
  </si>
  <si>
    <t>CUST4019</t>
  </si>
  <si>
    <t>ORDC9FD77A4</t>
  </si>
  <si>
    <t>CUST1324</t>
  </si>
  <si>
    <t>ORD8B6F9079</t>
  </si>
  <si>
    <t>CUST6043</t>
  </si>
  <si>
    <t>ORDB2843096</t>
  </si>
  <si>
    <t>CUST8397</t>
  </si>
  <si>
    <t>ORD8A8A9A23</t>
  </si>
  <si>
    <t>CUST2238</t>
  </si>
  <si>
    <t>ORDE7B35E75</t>
  </si>
  <si>
    <t>CUST6652</t>
  </si>
  <si>
    <t>ORDC976E1B9</t>
  </si>
  <si>
    <t>2025-04-05</t>
  </si>
  <si>
    <t>CUST8278</t>
  </si>
  <si>
    <t>ORDAF8ED7E7</t>
  </si>
  <si>
    <t>CUST2325</t>
  </si>
  <si>
    <t>ORD9DA2440C</t>
  </si>
  <si>
    <t>CUST7439</t>
  </si>
  <si>
    <t>ORD26F4AFDC</t>
  </si>
  <si>
    <t>CUST7655</t>
  </si>
  <si>
    <t>ORDB2727A15</t>
  </si>
  <si>
    <t>CUST5520</t>
  </si>
  <si>
    <t>ORD63A2D31A</t>
  </si>
  <si>
    <t>CUST9615</t>
  </si>
  <si>
    <t>ORD51F9DFD5</t>
  </si>
  <si>
    <t>CUST4163</t>
  </si>
  <si>
    <t>ORD99446B84</t>
  </si>
  <si>
    <t>CUST2389</t>
  </si>
  <si>
    <t>ORDC3557682</t>
  </si>
  <si>
    <t>2025-04-06</t>
  </si>
  <si>
    <t>CUST2588</t>
  </si>
  <si>
    <t>ORD594823C5</t>
  </si>
  <si>
    <t>ORD8F8CD72C</t>
  </si>
  <si>
    <t>CUST3122</t>
  </si>
  <si>
    <t>ORDB95D89A9</t>
  </si>
  <si>
    <t>CUST6010</t>
  </si>
  <si>
    <t>ORDD7EA27D2</t>
  </si>
  <si>
    <t>CUST9235</t>
  </si>
  <si>
    <t>ORD9C3DF274</t>
  </si>
  <si>
    <t>CUST1585</t>
  </si>
  <si>
    <t>ORD6108811D</t>
  </si>
  <si>
    <t>CUST9602</t>
  </si>
  <si>
    <t>ORD8ADA1581</t>
  </si>
  <si>
    <t>2025-04-07</t>
  </si>
  <si>
    <t>CUST9474</t>
  </si>
  <si>
    <t>ORD47D0338A</t>
  </si>
  <si>
    <t>CUST3174</t>
  </si>
  <si>
    <t>ORDA8D570EF</t>
  </si>
  <si>
    <t>CUST8821</t>
  </si>
  <si>
    <t>ORDBB3A0954</t>
  </si>
  <si>
    <t>CUST1117</t>
  </si>
  <si>
    <t>ORDE37A1684</t>
  </si>
  <si>
    <t>CUST3449</t>
  </si>
  <si>
    <t>ORD4186E71A</t>
  </si>
  <si>
    <t>2025-04-08</t>
  </si>
  <si>
    <t>CUST4244</t>
  </si>
  <si>
    <t>ORDC24A04CD</t>
  </si>
  <si>
    <t>CUST6827</t>
  </si>
  <si>
    <t>ORDEC2A5756</t>
  </si>
  <si>
    <t>CUST6434</t>
  </si>
  <si>
    <t>ORD1ECC16C2</t>
  </si>
  <si>
    <t>CUST4025</t>
  </si>
  <si>
    <t>ORD684975AD</t>
  </si>
  <si>
    <t>CUST5720</t>
  </si>
  <si>
    <t>ORDF871B696</t>
  </si>
  <si>
    <t>CUST3083</t>
  </si>
  <si>
    <t>ORD099F656F</t>
  </si>
  <si>
    <t>CUST9510</t>
  </si>
  <si>
    <t>ORDE20CA546</t>
  </si>
  <si>
    <t>ORD458313F1</t>
  </si>
  <si>
    <t>2025-04-09</t>
  </si>
  <si>
    <t>CUST1863</t>
  </si>
  <si>
    <t>ORDDDEA8AD2</t>
  </si>
  <si>
    <t>CUST7386</t>
  </si>
  <si>
    <t>ORD9CC67FEF</t>
  </si>
  <si>
    <t>CUST3700</t>
  </si>
  <si>
    <t>ORD9DB3AAD3</t>
  </si>
  <si>
    <t>CUST9147</t>
  </si>
  <si>
    <t>ORD1E8C20AA</t>
  </si>
  <si>
    <t>ORD99C02DA8</t>
  </si>
  <si>
    <t>2025-04-10</t>
  </si>
  <si>
    <t>CUST8105</t>
  </si>
  <si>
    <t>ORD20BBECB5</t>
  </si>
  <si>
    <t>CUST3249</t>
  </si>
  <si>
    <t>ORD02E934B3</t>
  </si>
  <si>
    <t>CUST4224</t>
  </si>
  <si>
    <t>ORDF8F67916</t>
  </si>
  <si>
    <t>ORD9414239A</t>
  </si>
  <si>
    <t>CUST9231</t>
  </si>
  <si>
    <t>ORD93568D60</t>
  </si>
  <si>
    <t>CUST6530</t>
  </si>
  <si>
    <t>ORDEEA6F5CA</t>
  </si>
  <si>
    <t>CUST7468</t>
  </si>
  <si>
    <t>ORD29AB7AAD</t>
  </si>
  <si>
    <t>CUST8828</t>
  </si>
  <si>
    <t>ORD8660CD0A</t>
  </si>
  <si>
    <t>2025-04-11</t>
  </si>
  <si>
    <t>CUST6470</t>
  </si>
  <si>
    <t>ORDA52BA87A</t>
  </si>
  <si>
    <t>CUST1077</t>
  </si>
  <si>
    <t>ORD31D76D8B</t>
  </si>
  <si>
    <t>ORD8D65256F</t>
  </si>
  <si>
    <t>CUST1402</t>
  </si>
  <si>
    <t>ORDBFA81C8C</t>
  </si>
  <si>
    <t>CUST3790</t>
  </si>
  <si>
    <t>ORD6A6D6523</t>
  </si>
  <si>
    <t>CUST4905</t>
  </si>
  <si>
    <t>ORD96F8449B</t>
  </si>
  <si>
    <t>ORD2FD86B1E</t>
  </si>
  <si>
    <t>2025-04-12</t>
  </si>
  <si>
    <t>CUST4604</t>
  </si>
  <si>
    <t>ORDA6DDA9CA</t>
  </si>
  <si>
    <t>CUST3250</t>
  </si>
  <si>
    <t>ORD619961FE</t>
  </si>
  <si>
    <t>ORDD2EC5958</t>
  </si>
  <si>
    <t>CUST7066</t>
  </si>
  <si>
    <t>ORD5F67ABEF</t>
  </si>
  <si>
    <t>CUST9836</t>
  </si>
  <si>
    <t>ORD052E8E14</t>
  </si>
  <si>
    <t>CUST8632</t>
  </si>
  <si>
    <t>ORD56D27E52</t>
  </si>
  <si>
    <t>CUST3666</t>
  </si>
  <si>
    <t>ORD60B10879</t>
  </si>
  <si>
    <t>2025-04-13</t>
  </si>
  <si>
    <t>CUST6251</t>
  </si>
  <si>
    <t>ORD6C834195</t>
  </si>
  <si>
    <t>CUST5124</t>
  </si>
  <si>
    <t>ORDF3357CB7</t>
  </si>
  <si>
    <t>CUST3226</t>
  </si>
  <si>
    <t>ORD8FB91493</t>
  </si>
  <si>
    <t>2025-04-14</t>
  </si>
  <si>
    <t>CUST8217</t>
  </si>
  <si>
    <t>ORD1B082092</t>
  </si>
  <si>
    <t>CUST2739</t>
  </si>
  <si>
    <t>ORD39C4A2B1</t>
  </si>
  <si>
    <t>CUST8987</t>
  </si>
  <si>
    <t>ORD59372A15</t>
  </si>
  <si>
    <t>2025-04-15</t>
  </si>
  <si>
    <t>CUST1189</t>
  </si>
  <si>
    <t>ORD8EBC04E3</t>
  </si>
  <si>
    <t>CUST1926</t>
  </si>
  <si>
    <t>ORD5873B6BB</t>
  </si>
  <si>
    <t>CUST8696</t>
  </si>
  <si>
    <t>ORD10B035C3</t>
  </si>
  <si>
    <t>CUST5380</t>
  </si>
  <si>
    <t>ORDD5A09081</t>
  </si>
  <si>
    <t>2025-04-16</t>
  </si>
  <si>
    <t>CUST3560</t>
  </si>
  <si>
    <t>ORD54D25A48</t>
  </si>
  <si>
    <t>CUST6078</t>
  </si>
  <si>
    <t>ORDCCDB01FA</t>
  </si>
  <si>
    <t>CUST4347</t>
  </si>
  <si>
    <t>ORD84742577</t>
  </si>
  <si>
    <t>CUST1552</t>
  </si>
  <si>
    <t>ORD2CE8B6C4</t>
  </si>
  <si>
    <t>CUST6768</t>
  </si>
  <si>
    <t>ORD0CB67890</t>
  </si>
  <si>
    <t>CUST3799</t>
  </si>
  <si>
    <t>ORD6437C3FE</t>
  </si>
  <si>
    <t>CUST8363</t>
  </si>
  <si>
    <t>ORD5E4ABE6B</t>
  </si>
  <si>
    <t>CUST5398</t>
  </si>
  <si>
    <t>ORD2A2DC80C</t>
  </si>
  <si>
    <t>2025-04-17</t>
  </si>
  <si>
    <t>ORD1254684B</t>
  </si>
  <si>
    <t>CUST4997</t>
  </si>
  <si>
    <t>ORDBE9A4CC8</t>
  </si>
  <si>
    <t>CUST1247</t>
  </si>
  <si>
    <t>ORD5F72BE8F</t>
  </si>
  <si>
    <t>CUST1315</t>
  </si>
  <si>
    <t>ORDB63277A0</t>
  </si>
  <si>
    <t>CUST7786</t>
  </si>
  <si>
    <t>ORDE75CAC9A</t>
  </si>
  <si>
    <t>CUST7120</t>
  </si>
  <si>
    <t>ORDF4245941</t>
  </si>
  <si>
    <t>2025-04-18</t>
  </si>
  <si>
    <t>CUST4139</t>
  </si>
  <si>
    <t>ORDDB11EBEA</t>
  </si>
  <si>
    <t>CUST2376</t>
  </si>
  <si>
    <t>ORD2F2E9302</t>
  </si>
  <si>
    <t>CUST8644</t>
  </si>
  <si>
    <t>ORD4F04BB25</t>
  </si>
  <si>
    <t>2025-04-19</t>
  </si>
  <si>
    <t>CUST2239</t>
  </si>
  <si>
    <t>ORDEBC0EB6F</t>
  </si>
  <si>
    <t>CUST4151</t>
  </si>
  <si>
    <t>ORD5EFB05AF</t>
  </si>
  <si>
    <t>CUST3040</t>
  </si>
  <si>
    <t>ORDFA247F6F</t>
  </si>
  <si>
    <t>ORDEB30D49F</t>
  </si>
  <si>
    <t>CUST9041</t>
  </si>
  <si>
    <t>ORD3E09A4C9</t>
  </si>
  <si>
    <t>CUST8379</t>
  </si>
  <si>
    <t>ORDB4D00695</t>
  </si>
  <si>
    <t>CUST2304</t>
  </si>
  <si>
    <t>ORD80FF521E</t>
  </si>
  <si>
    <t>2025-04-20</t>
  </si>
  <si>
    <t>CUST6233</t>
  </si>
  <si>
    <t>ORDD76607A9</t>
  </si>
  <si>
    <t>CUST7873</t>
  </si>
  <si>
    <t>ORD1E9CB514</t>
  </si>
  <si>
    <t>CUST1524</t>
  </si>
  <si>
    <t>ORDB5A499D6</t>
  </si>
  <si>
    <t>CUST1676</t>
  </si>
  <si>
    <t>ORDAE55F201</t>
  </si>
  <si>
    <t>CUST7987</t>
  </si>
  <si>
    <t>ORD3B59959B</t>
  </si>
  <si>
    <t>CUST1602</t>
  </si>
  <si>
    <t>ORDE1BEBCE1</t>
  </si>
  <si>
    <t>CUST8205</t>
  </si>
  <si>
    <t>ORDF6D3447C</t>
  </si>
  <si>
    <t>2025-04-21</t>
  </si>
  <si>
    <t>CUST7708</t>
  </si>
  <si>
    <t>ORD81CB024E</t>
  </si>
  <si>
    <t>CUST7496</t>
  </si>
  <si>
    <t>ORD83C5158D</t>
  </si>
  <si>
    <t>CUST3705</t>
  </si>
  <si>
    <t>ORD65AC6DF7</t>
  </si>
  <si>
    <t>CUST7482</t>
  </si>
  <si>
    <t>ORD183594D1</t>
  </si>
  <si>
    <t>2025-04-22</t>
  </si>
  <si>
    <t>CUST2664</t>
  </si>
  <si>
    <t>ORD0CB99856</t>
  </si>
  <si>
    <t>CUST2593</t>
  </si>
  <si>
    <t>ORD4C3604A9</t>
  </si>
  <si>
    <t>CUST9566</t>
  </si>
  <si>
    <t>ORDF6BE9643</t>
  </si>
  <si>
    <t>CUST7142</t>
  </si>
  <si>
    <t>ORD139713A1</t>
  </si>
  <si>
    <t>CUST6329</t>
  </si>
  <si>
    <t>ORDDC333FAE</t>
  </si>
  <si>
    <t>2025-04-23</t>
  </si>
  <si>
    <t>CUST9444</t>
  </si>
  <si>
    <t>ORD68943EC0</t>
  </si>
  <si>
    <t>CUST6286</t>
  </si>
  <si>
    <t>ORD8945AB95</t>
  </si>
  <si>
    <t>CUST5631</t>
  </si>
  <si>
    <t>ORD3BD912C8</t>
  </si>
  <si>
    <t>CUST4908</t>
  </si>
  <si>
    <t>ORDF6049F3F</t>
  </si>
  <si>
    <t>CUST3890</t>
  </si>
  <si>
    <t>ORD6947DE06</t>
  </si>
  <si>
    <t>CUST2665</t>
  </si>
  <si>
    <t>ORD10C7C988</t>
  </si>
  <si>
    <t>ORDBCCC12D9</t>
  </si>
  <si>
    <t>2025-04-24</t>
  </si>
  <si>
    <t>CUST7727</t>
  </si>
  <si>
    <t>ORDDC38AAC7</t>
  </si>
  <si>
    <t>CUST3151</t>
  </si>
  <si>
    <t>ORDB4B032A1</t>
  </si>
  <si>
    <t>CUST4306</t>
  </si>
  <si>
    <t>ORDB2AC8DC3</t>
  </si>
  <si>
    <t>CUST8391</t>
  </si>
  <si>
    <t>ORD327CEA10</t>
  </si>
  <si>
    <t>CUST6818</t>
  </si>
  <si>
    <t>ORD5E7D02BD</t>
  </si>
  <si>
    <t>CUST4907</t>
  </si>
  <si>
    <t>ORDEEA763F4</t>
  </si>
  <si>
    <t>CUST1908</t>
  </si>
  <si>
    <t>ORD4CC51ED5</t>
  </si>
  <si>
    <t>2025-04-25</t>
  </si>
  <si>
    <t>CUST2681</t>
  </si>
  <si>
    <t>ORD8E0C12E4</t>
  </si>
  <si>
    <t>CUST3283</t>
  </si>
  <si>
    <t>ORD016BAC0A</t>
  </si>
  <si>
    <t>CUST9515</t>
  </si>
  <si>
    <t>ORDD9EB70F7</t>
  </si>
  <si>
    <t>ORDADBB986D</t>
  </si>
  <si>
    <t>2025-04-26</t>
  </si>
  <si>
    <t>CUST3218</t>
  </si>
  <si>
    <t>ORD7165D07C</t>
  </si>
  <si>
    <t>ORD51325A30</t>
  </si>
  <si>
    <t>CUST4607</t>
  </si>
  <si>
    <t>ORD5CF209BA</t>
  </si>
  <si>
    <t>CUST9933</t>
  </si>
  <si>
    <t>ORD2AF730D7</t>
  </si>
  <si>
    <t>CUST3452</t>
  </si>
  <si>
    <t>ORD179140D6</t>
  </si>
  <si>
    <t>2025-04-27</t>
  </si>
  <si>
    <t>CUST8023</t>
  </si>
  <si>
    <t>ORDBA8FDC2A</t>
  </si>
  <si>
    <t>CUST5619</t>
  </si>
  <si>
    <t>ORD827F833F</t>
  </si>
  <si>
    <t>ORD86138848</t>
  </si>
  <si>
    <t>CUST1903</t>
  </si>
  <si>
    <t>ORDC2C9BEB8</t>
  </si>
  <si>
    <t>CUST4837</t>
  </si>
  <si>
    <t>ORDEF9AC912</t>
  </si>
  <si>
    <t>2025-04-28</t>
  </si>
  <si>
    <t>CUST4393</t>
  </si>
  <si>
    <t>ORD2A6C2DE0</t>
  </si>
  <si>
    <t>CUST8951</t>
  </si>
  <si>
    <t>ORD75CC7EE5</t>
  </si>
  <si>
    <t>CUST9516</t>
  </si>
  <si>
    <t>ORDA82CA8B5</t>
  </si>
  <si>
    <t>CUST1672</t>
  </si>
  <si>
    <t>ORD2E2A9AEA</t>
  </si>
  <si>
    <t>2025-04-29</t>
  </si>
  <si>
    <t>CUST6921</t>
  </si>
  <si>
    <t>ORDDB2EC11E</t>
  </si>
  <si>
    <t>CUST4654</t>
  </si>
  <si>
    <t>ORDC96C798E</t>
  </si>
  <si>
    <t>CUST7462</t>
  </si>
  <si>
    <t>ORD0FAE2DB2</t>
  </si>
  <si>
    <t>CUST4702</t>
  </si>
  <si>
    <t>ORD1E3299CE</t>
  </si>
  <si>
    <t>CUST5880</t>
  </si>
  <si>
    <t>ORD18706427</t>
  </si>
  <si>
    <t>2025-04-30</t>
  </si>
  <si>
    <t>CUST5965</t>
  </si>
  <si>
    <t>ORDAB7FE39A</t>
  </si>
  <si>
    <t>CUST9636</t>
  </si>
  <si>
    <t>ORDBCE26211</t>
  </si>
  <si>
    <t>CUST5940</t>
  </si>
  <si>
    <t>ORD688DD311</t>
  </si>
  <si>
    <t>CUST1569</t>
  </si>
  <si>
    <t>ORD4D2AE9B2</t>
  </si>
  <si>
    <t>CUST6276</t>
  </si>
  <si>
    <t>ORDEF923443</t>
  </si>
  <si>
    <t>CUST4330</t>
  </si>
  <si>
    <t>ORD3A86FD0F</t>
  </si>
  <si>
    <t>CUST6744</t>
  </si>
  <si>
    <t>ORDBFBB01BD</t>
  </si>
  <si>
    <t>2025-05-01</t>
  </si>
  <si>
    <t>ORDB51CB58D</t>
  </si>
  <si>
    <t>CUST4555</t>
  </si>
  <si>
    <t>ORDBBBBCF38</t>
  </si>
  <si>
    <t>CUST9529</t>
  </si>
  <si>
    <t>ORDC435DCD3</t>
  </si>
  <si>
    <t>CUST7558</t>
  </si>
  <si>
    <t>ORDDB779545</t>
  </si>
  <si>
    <t>2025-05-02</t>
  </si>
  <si>
    <t>CUST8657</t>
  </si>
  <si>
    <t>ORDBDFE3E1C</t>
  </si>
  <si>
    <t>CUST6122</t>
  </si>
  <si>
    <t>ORD6F1592B6</t>
  </si>
  <si>
    <t>CUST5882</t>
  </si>
  <si>
    <t>ORDB766BEFC</t>
  </si>
  <si>
    <t>ORD5AAEF5F2</t>
  </si>
  <si>
    <t>CUST8626</t>
  </si>
  <si>
    <t>ORD638E7141</t>
  </si>
  <si>
    <t>CUST4536</t>
  </si>
  <si>
    <t>ORDDB4ACE66</t>
  </si>
  <si>
    <t>CUST9747</t>
  </si>
  <si>
    <t>ORD25A2DE81</t>
  </si>
  <si>
    <t>CUST3268</t>
  </si>
  <si>
    <t>ORD9CBE9ECE</t>
  </si>
  <si>
    <t>2025-05-03</t>
  </si>
  <si>
    <t>CUST8458</t>
  </si>
  <si>
    <t>ORD3C8313CB</t>
  </si>
  <si>
    <t>CUST8515</t>
  </si>
  <si>
    <t>ORD73282678</t>
  </si>
  <si>
    <t>CUST6636</t>
  </si>
  <si>
    <t>ORDB0D0E6CE</t>
  </si>
  <si>
    <t>CUST9116</t>
  </si>
  <si>
    <t>ORDE1045E75</t>
  </si>
  <si>
    <t>2025-05-04</t>
  </si>
  <si>
    <t>CUST8959</t>
  </si>
  <si>
    <t>ORDCB1D427A</t>
  </si>
  <si>
    <t>CUST9998</t>
  </si>
  <si>
    <t>ORD46B166E6</t>
  </si>
  <si>
    <t>ORD0FCF455B</t>
  </si>
  <si>
    <t>CUST9044</t>
  </si>
  <si>
    <t>ORD98C0BB2C</t>
  </si>
  <si>
    <t>CUST9061</t>
  </si>
  <si>
    <t>ORD9D0AB9C3</t>
  </si>
  <si>
    <t>CUST7329</t>
  </si>
  <si>
    <t>ORDD2846310</t>
  </si>
  <si>
    <t>CUST8386</t>
  </si>
  <si>
    <t>ORD218B5418</t>
  </si>
  <si>
    <t>2025-05-05</t>
  </si>
  <si>
    <t>CUST2360</t>
  </si>
  <si>
    <t>ORD58C2A10A</t>
  </si>
  <si>
    <t>CUST5029</t>
  </si>
  <si>
    <t>ORDAC96AE8A</t>
  </si>
  <si>
    <t>ORDF8562C6B</t>
  </si>
  <si>
    <t>CUST9854</t>
  </si>
  <si>
    <t>ORDD37B95B6</t>
  </si>
  <si>
    <t>2025-05-06</t>
  </si>
  <si>
    <t>CUST1199</t>
  </si>
  <si>
    <t>ORD04D84767</t>
  </si>
  <si>
    <t>CUST4757</t>
  </si>
  <si>
    <t>ORD3666773B</t>
  </si>
  <si>
    <t>CUST5815</t>
  </si>
  <si>
    <t>ORDB854194B</t>
  </si>
  <si>
    <t>CUST7511</t>
  </si>
  <si>
    <t>ORDB4F5A214</t>
  </si>
  <si>
    <t>CUST2908</t>
  </si>
  <si>
    <t>ORD7903DC52</t>
  </si>
  <si>
    <t>CUST7277</t>
  </si>
  <si>
    <t>ORD57A58D21</t>
  </si>
  <si>
    <t>CUST2023</t>
  </si>
  <si>
    <t>ORD1EE47DF6</t>
  </si>
  <si>
    <t>CUST2579</t>
  </si>
  <si>
    <t>ORD2A9C7CAD</t>
  </si>
  <si>
    <t>2025-05-07</t>
  </si>
  <si>
    <t>CUST3084</t>
  </si>
  <si>
    <t>ORDDA674279</t>
  </si>
  <si>
    <t>CUST1198</t>
  </si>
  <si>
    <t>ORD1FEBC5AA</t>
  </si>
  <si>
    <t>CUST2040</t>
  </si>
  <si>
    <t>ORD2F2ECD8B</t>
  </si>
  <si>
    <t>CUST3563</t>
  </si>
  <si>
    <t>ORD46B48661</t>
  </si>
  <si>
    <t>CUST4695</t>
  </si>
  <si>
    <t>ORDB6F11743</t>
  </si>
  <si>
    <t>2025-05-08</t>
  </si>
  <si>
    <t>CUST6642</t>
  </si>
  <si>
    <t>ORD2019858F</t>
  </si>
  <si>
    <t>CUST8650</t>
  </si>
  <si>
    <t>ORD50A76B03</t>
  </si>
  <si>
    <t>CUST6892</t>
  </si>
  <si>
    <t>ORD0E0F79ED</t>
  </si>
  <si>
    <t>2025-05-09</t>
  </si>
  <si>
    <t>CUST1535</t>
  </si>
  <si>
    <t>ORD49CE5515</t>
  </si>
  <si>
    <t>CUST6895</t>
  </si>
  <si>
    <t>ORD6E4F2FCF</t>
  </si>
  <si>
    <t>CUST5881</t>
  </si>
  <si>
    <t>ORDB16DCEEF</t>
  </si>
  <si>
    <t>2025-05-10</t>
  </si>
  <si>
    <t>CUST9947</t>
  </si>
  <si>
    <t>ORDC3AA370C</t>
  </si>
  <si>
    <t>CUST5499</t>
  </si>
  <si>
    <t>ORD23887110</t>
  </si>
  <si>
    <t>CUST3970</t>
  </si>
  <si>
    <t>ORD192F053E</t>
  </si>
  <si>
    <t>CUST3750</t>
  </si>
  <si>
    <t>ORD114D17F3</t>
  </si>
  <si>
    <t>ORD7F5ED789</t>
  </si>
  <si>
    <t>ORDCA4C4FE7</t>
  </si>
  <si>
    <t>CUST7976</t>
  </si>
  <si>
    <t>ORDAA54E18B</t>
  </si>
  <si>
    <t>2025-05-11</t>
  </si>
  <si>
    <t>CUST3419</t>
  </si>
  <si>
    <t>ORD737B2D59</t>
  </si>
  <si>
    <t>ORD3A667DE5</t>
  </si>
  <si>
    <t>CUST7828</t>
  </si>
  <si>
    <t>ORD5438E6B6</t>
  </si>
  <si>
    <t>CUST8195</t>
  </si>
  <si>
    <t>ORDB16CD226</t>
  </si>
  <si>
    <t>CUST1248</t>
  </si>
  <si>
    <t>ORD3B7B4F02</t>
  </si>
  <si>
    <t>CUST2478</t>
  </si>
  <si>
    <t>ORD8EB0265E</t>
  </si>
  <si>
    <t>CUST8786</t>
  </si>
  <si>
    <t>ORD724188CE</t>
  </si>
  <si>
    <t>CUST2732</t>
  </si>
  <si>
    <t>ORDC6196171</t>
  </si>
  <si>
    <t>2025-05-12</t>
  </si>
  <si>
    <t>ORD38311943</t>
  </si>
  <si>
    <t>CUST7573</t>
  </si>
  <si>
    <t>ORD88FF76D3</t>
  </si>
  <si>
    <t>CUST4225</t>
  </si>
  <si>
    <t>ORD1728BF25</t>
  </si>
  <si>
    <t>ORD7D5D138D</t>
  </si>
  <si>
    <t>CUST1061</t>
  </si>
  <si>
    <t>ORD85EB645C</t>
  </si>
  <si>
    <t>2025-05-13</t>
  </si>
  <si>
    <t>CUST4059</t>
  </si>
  <si>
    <t>ORD68AF445D</t>
  </si>
  <si>
    <t>CUST2587</t>
  </si>
  <si>
    <t>ORD8E84CC2C</t>
  </si>
  <si>
    <t>CUST8160</t>
  </si>
  <si>
    <t>ORDAB533128</t>
  </si>
  <si>
    <t>CUST9785</t>
  </si>
  <si>
    <t>ORD779D7AB3</t>
  </si>
  <si>
    <t>CUST1760</t>
  </si>
  <si>
    <t>ORD24485299</t>
  </si>
  <si>
    <t>ORD40056B8A</t>
  </si>
  <si>
    <t>2025-05-14</t>
  </si>
  <si>
    <t>CUST2388</t>
  </si>
  <si>
    <t>ORDDFADF49C</t>
  </si>
  <si>
    <t>CUST7506</t>
  </si>
  <si>
    <t>ORDCDCD9B9F</t>
  </si>
  <si>
    <t>CUST8859</t>
  </si>
  <si>
    <t>ORD95CAFED9</t>
  </si>
  <si>
    <t>CUST5071</t>
  </si>
  <si>
    <t>ORDB7935D92</t>
  </si>
  <si>
    <t>2025-05-15</t>
  </si>
  <si>
    <t>CUST7895</t>
  </si>
  <si>
    <t>ORD785CD1A1</t>
  </si>
  <si>
    <t>CUST8827</t>
  </si>
  <si>
    <t>ORD09706B1A</t>
  </si>
  <si>
    <t>CUST6176</t>
  </si>
  <si>
    <t>ORD890E767D</t>
  </si>
  <si>
    <t>CUST5685</t>
  </si>
  <si>
    <t>ORD0DD53C72</t>
  </si>
  <si>
    <t>2025-05-16</t>
  </si>
  <si>
    <t>CUST6924</t>
  </si>
  <si>
    <t>ORD58479AB7</t>
  </si>
  <si>
    <t>CUST8522</t>
  </si>
  <si>
    <t>ORDADE4C1E1</t>
  </si>
  <si>
    <t>CUST7986</t>
  </si>
  <si>
    <t>ORD75714C9E</t>
  </si>
  <si>
    <t>ORD1CC7783F</t>
  </si>
  <si>
    <t>2025-05-17</t>
  </si>
  <si>
    <t>CUST7021</t>
  </si>
  <si>
    <t>ORDBB59800B</t>
  </si>
  <si>
    <t>CUST6493</t>
  </si>
  <si>
    <t>ORD9A14A6D3</t>
  </si>
  <si>
    <t>ORD60A80D31</t>
  </si>
  <si>
    <t>ORD8CCFFE02</t>
  </si>
  <si>
    <t>CUST6571</t>
  </si>
  <si>
    <t>ORD123AC817</t>
  </si>
  <si>
    <t>2025-05-18</t>
  </si>
  <si>
    <t>ORD1128B83C</t>
  </si>
  <si>
    <t>CUST6615</t>
  </si>
  <si>
    <t>ORDF46911DF</t>
  </si>
  <si>
    <t>CUST5600</t>
  </si>
  <si>
    <t>ORD4B6BA542</t>
  </si>
  <si>
    <t>CUST1383</t>
  </si>
  <si>
    <t>ORD96C02503</t>
  </si>
  <si>
    <t>CUST8359</t>
  </si>
  <si>
    <t>ORD1CAFBA4B</t>
  </si>
  <si>
    <t>CUST2950</t>
  </si>
  <si>
    <t>ORDFABC9671</t>
  </si>
  <si>
    <t>CUST6014</t>
  </si>
  <si>
    <t>ORDB6B911CC</t>
  </si>
  <si>
    <t>2025-05-19</t>
  </si>
  <si>
    <t>CUST4732</t>
  </si>
  <si>
    <t>ORD07462BC9</t>
  </si>
  <si>
    <t>CUST4943</t>
  </si>
  <si>
    <t>ORD06E83A1B</t>
  </si>
  <si>
    <t>CUST5918</t>
  </si>
  <si>
    <t>ORD81F728F7</t>
  </si>
  <si>
    <t>CUST3431</t>
  </si>
  <si>
    <t>ORD4D8787E7</t>
  </si>
  <si>
    <t>CUST4663</t>
  </si>
  <si>
    <t>ORD5D4D7A74</t>
  </si>
  <si>
    <t>CUST9896</t>
  </si>
  <si>
    <t>ORD53B179FA</t>
  </si>
  <si>
    <t>2025-05-20</t>
  </si>
  <si>
    <t>CUST2585</t>
  </si>
  <si>
    <t>ORD82F708EE</t>
  </si>
  <si>
    <t>CUST7054</t>
  </si>
  <si>
    <t>ORD752D513B</t>
  </si>
  <si>
    <t>CUST9398</t>
  </si>
  <si>
    <t>ORDA4B0BCC5</t>
  </si>
  <si>
    <t>CUST7778</t>
  </si>
  <si>
    <t>ORD84769387</t>
  </si>
  <si>
    <t>2025-05-21</t>
  </si>
  <si>
    <t>CUST9890</t>
  </si>
  <si>
    <t>ORD47D1B397</t>
  </si>
  <si>
    <t>CUST9234</t>
  </si>
  <si>
    <t>ORDD8E63C4F</t>
  </si>
  <si>
    <t>CUST5298</t>
  </si>
  <si>
    <t>ORD5465A718</t>
  </si>
  <si>
    <t>2025-05-22</t>
  </si>
  <si>
    <t>CUST7555</t>
  </si>
  <si>
    <t>ORD6537B1B2</t>
  </si>
  <si>
    <t>CUST7678</t>
  </si>
  <si>
    <t>ORD888325E0</t>
  </si>
  <si>
    <t>CUST3579</t>
  </si>
  <si>
    <t>ORD748F767F</t>
  </si>
  <si>
    <t>CUST5243</t>
  </si>
  <si>
    <t>ORDBB0F05BA</t>
  </si>
  <si>
    <t>CUST5511</t>
  </si>
  <si>
    <t>ORD21A31965</t>
  </si>
  <si>
    <t>2025-05-23</t>
  </si>
  <si>
    <t>CUST8425</t>
  </si>
  <si>
    <t>ORDEA3BAB2A</t>
  </si>
  <si>
    <t>CUST3961</t>
  </si>
  <si>
    <t>ORDC21EBB90</t>
  </si>
  <si>
    <t>CUST1877</t>
  </si>
  <si>
    <t>ORDE7508725</t>
  </si>
  <si>
    <t>CUST4975</t>
  </si>
  <si>
    <t>ORDBE072527</t>
  </si>
  <si>
    <t>CUST4891</t>
  </si>
  <si>
    <t>ORDD50DAC28</t>
  </si>
  <si>
    <t>2025-05-24</t>
  </si>
  <si>
    <t>CUST7956</t>
  </si>
  <si>
    <t>ORD1A9306AB</t>
  </si>
  <si>
    <t>CUST3310</t>
  </si>
  <si>
    <t>ORD810DEEDD</t>
  </si>
  <si>
    <t>CUST4832</t>
  </si>
  <si>
    <t>ORD79F62A6E</t>
  </si>
  <si>
    <t>2025-05-25</t>
  </si>
  <si>
    <t>CUST8498</t>
  </si>
  <si>
    <t>ORDC77E1FDA</t>
  </si>
  <si>
    <t>CUST2829</t>
  </si>
  <si>
    <t>ORD78C129B7</t>
  </si>
  <si>
    <t>CUST9894</t>
  </si>
  <si>
    <t>ORD95B2F396</t>
  </si>
  <si>
    <t>CUST9071</t>
  </si>
  <si>
    <t>ORD8D7429BD</t>
  </si>
  <si>
    <t>CUST2728</t>
  </si>
  <si>
    <t>ORDE48FF99F</t>
  </si>
  <si>
    <t>2025-05-26</t>
  </si>
  <si>
    <t>CUST7197</t>
  </si>
  <si>
    <t>ORD94251D19</t>
  </si>
  <si>
    <t>CUST5593</t>
  </si>
  <si>
    <t>ORDC48349AD</t>
  </si>
  <si>
    <t>CUST8403</t>
  </si>
  <si>
    <t>ORDE7EC55BF</t>
  </si>
  <si>
    <t>CUST7822</t>
  </si>
  <si>
    <t>ORD8EF04401</t>
  </si>
  <si>
    <t>CUST1099</t>
  </si>
  <si>
    <t>ORD2A0BD16D</t>
  </si>
  <si>
    <t>CUST8398</t>
  </si>
  <si>
    <t>ORD7A7CB01E</t>
  </si>
  <si>
    <t>CUST2115</t>
  </si>
  <si>
    <t>ORD870C4BB2</t>
  </si>
  <si>
    <t>CUST3396</t>
  </si>
  <si>
    <t>ORD863B9001</t>
  </si>
  <si>
    <t>2025-05-27</t>
  </si>
  <si>
    <t>CUST1726</t>
  </si>
  <si>
    <t>ORDCE68D5CC</t>
  </si>
  <si>
    <t>CUST4807</t>
  </si>
  <si>
    <t>ORD2CC4BDB9</t>
  </si>
  <si>
    <t>CUST3772</t>
  </si>
  <si>
    <t>ORDD8096658</t>
  </si>
  <si>
    <t>CUST3723</t>
  </si>
  <si>
    <t>ORDD15504C6</t>
  </si>
  <si>
    <t>CUST2882</t>
  </si>
  <si>
    <t>ORDC6570184</t>
  </si>
  <si>
    <t>CUST5212</t>
  </si>
  <si>
    <t>ORDA21E1566</t>
  </si>
  <si>
    <t>CUST5830</t>
  </si>
  <si>
    <t>ORDF752A006</t>
  </si>
  <si>
    <t>CUST5405</t>
  </si>
  <si>
    <t>ORD14992FA2</t>
  </si>
  <si>
    <t>2025-05-28</t>
  </si>
  <si>
    <t>ORD30D06B6D</t>
  </si>
  <si>
    <t>CUST7131</t>
  </si>
  <si>
    <t>ORD5EB9FE13</t>
  </si>
  <si>
    <t>CUST6906</t>
  </si>
  <si>
    <t>ORD7A9A5589</t>
  </si>
  <si>
    <t>CUST2651</t>
  </si>
  <si>
    <t>ORDA02C7D1F</t>
  </si>
  <si>
    <t>CUST1950</t>
  </si>
  <si>
    <t>ORDFA39DF35</t>
  </si>
  <si>
    <t>CUST4841</t>
  </si>
  <si>
    <t>ORDB8804EC6</t>
  </si>
  <si>
    <t>2025-05-29</t>
  </si>
  <si>
    <t>CUST5442</t>
  </si>
  <si>
    <t>ORD7810FCE1</t>
  </si>
  <si>
    <t>CUST1130</t>
  </si>
  <si>
    <t>ORD030F9CEB</t>
  </si>
  <si>
    <t>CUST9627</t>
  </si>
  <si>
    <t>ORD6A353B80</t>
  </si>
  <si>
    <t>CUST5382</t>
  </si>
  <si>
    <t>ORD10F617E9</t>
  </si>
  <si>
    <t>CUST8834</t>
  </si>
  <si>
    <t>ORDDFA074B7</t>
  </si>
  <si>
    <t>CUST3782</t>
  </si>
  <si>
    <t>ORD7E767DA6</t>
  </si>
  <si>
    <t>2025-05-30</t>
  </si>
  <si>
    <t>CUST7928</t>
  </si>
  <si>
    <t>ORDEF6CCFFD</t>
  </si>
  <si>
    <t>CUST8451</t>
  </si>
  <si>
    <t>ORDDC90FF27</t>
  </si>
  <si>
    <t>CUST9008</t>
  </si>
  <si>
    <t>ORD21272D21</t>
  </si>
  <si>
    <t>CUST6836</t>
  </si>
  <si>
    <t>ORDB5A8B9C2</t>
  </si>
  <si>
    <t>CUST2868</t>
  </si>
  <si>
    <t>ORD057390BD</t>
  </si>
  <si>
    <t>2025-05-31</t>
  </si>
  <si>
    <t>CUST1694</t>
  </si>
  <si>
    <t>ORDAF386FC3</t>
  </si>
  <si>
    <t>CUST7065</t>
  </si>
  <si>
    <t>ORDCD2E666F</t>
  </si>
  <si>
    <t>CUST2471</t>
  </si>
  <si>
    <t>ORD3F44A6D5</t>
  </si>
  <si>
    <t>CUST2723</t>
  </si>
  <si>
    <t>ORD7488BD1C</t>
  </si>
  <si>
    <t>CUST6869</t>
  </si>
  <si>
    <t>ORDDC917702</t>
  </si>
  <si>
    <t>2025-06-01</t>
  </si>
  <si>
    <t>CUST6316</t>
  </si>
  <si>
    <t>ORD3CB0D804</t>
  </si>
  <si>
    <t>CUST3792</t>
  </si>
  <si>
    <t>ORD4A244BC7</t>
  </si>
  <si>
    <t>CUST1576</t>
  </si>
  <si>
    <t>ORD7D3F2526</t>
  </si>
  <si>
    <t>CUST2299</t>
  </si>
  <si>
    <t>ORD11FDC1E7</t>
  </si>
  <si>
    <t>CUST7711</t>
  </si>
  <si>
    <t>ORDA13B5B62</t>
  </si>
  <si>
    <t>CUST2282</t>
  </si>
  <si>
    <t>ORD3CAF2A04</t>
  </si>
  <si>
    <t>2025-06-02</t>
  </si>
  <si>
    <t>CUST4329</t>
  </si>
  <si>
    <t>ORDD5FEEC1D</t>
  </si>
  <si>
    <t>CUST9360</t>
  </si>
  <si>
    <t>ORDED57092E</t>
  </si>
  <si>
    <t>CUST9786</t>
  </si>
  <si>
    <t>ORD54A3D74F</t>
  </si>
  <si>
    <t>CUST5066</t>
  </si>
  <si>
    <t>ORD42387724</t>
  </si>
  <si>
    <t>CUST9407</t>
  </si>
  <si>
    <t>ORD5C93094E</t>
  </si>
  <si>
    <t>CUST4138</t>
  </si>
  <si>
    <t>ORD3FB7D9F9</t>
  </si>
  <si>
    <t>CUST9165</t>
  </si>
  <si>
    <t>ORD8041AB76</t>
  </si>
  <si>
    <t>2025-06-03</t>
  </si>
  <si>
    <t>CUST6843</t>
  </si>
  <si>
    <t>ORDEBDA0837</t>
  </si>
  <si>
    <t>CUST7823</t>
  </si>
  <si>
    <t>ORD78C047AA</t>
  </si>
  <si>
    <t>CUST7526</t>
  </si>
  <si>
    <t>ORD05B39379</t>
  </si>
  <si>
    <t>CUST1637</t>
  </si>
  <si>
    <t>ORD126D63EA</t>
  </si>
  <si>
    <t>ORDB9D3BF56</t>
  </si>
  <si>
    <t>2025-06-04</t>
  </si>
  <si>
    <t>CUST2509</t>
  </si>
  <si>
    <t>ORD50F50363</t>
  </si>
  <si>
    <t>CUST1959</t>
  </si>
  <si>
    <t>ORD73B5885A</t>
  </si>
  <si>
    <t>CUST9774</t>
  </si>
  <si>
    <t>ORDEA4BAED6</t>
  </si>
  <si>
    <t>CUST6988</t>
  </si>
  <si>
    <t>ORD17B4CD98</t>
  </si>
  <si>
    <t>CUST8756</t>
  </si>
  <si>
    <t>ORDA4A87660</t>
  </si>
  <si>
    <t>CUST3950</t>
  </si>
  <si>
    <t>ORDF63F5D25</t>
  </si>
  <si>
    <t>CUST9154</t>
  </si>
  <si>
    <t>ORD1B723ACA</t>
  </si>
  <si>
    <t>2025-06-05</t>
  </si>
  <si>
    <t>CUST9780</t>
  </si>
  <si>
    <t>ORD425B1CBA</t>
  </si>
  <si>
    <t>CUST9366</t>
  </si>
  <si>
    <t>ORD5B7CFBD0</t>
  </si>
  <si>
    <t>CUST5607</t>
  </si>
  <si>
    <t>ORDCDC0C881</t>
  </si>
  <si>
    <t>CUST8050</t>
  </si>
  <si>
    <t>ORD2CCFB41C</t>
  </si>
  <si>
    <t>2025-06-06</t>
  </si>
  <si>
    <t>CUST9833</t>
  </si>
  <si>
    <t>ORD9AB64D78</t>
  </si>
  <si>
    <t>CUST3634</t>
  </si>
  <si>
    <t>ORDBBC3E1F5</t>
  </si>
  <si>
    <t>CUST9889</t>
  </si>
  <si>
    <t>ORD59A65E3C</t>
  </si>
  <si>
    <t>CUST9618</t>
  </si>
  <si>
    <t>ORD0B6C8A10</t>
  </si>
  <si>
    <t>CUST5053</t>
  </si>
  <si>
    <t>ORDBD9D1414</t>
  </si>
  <si>
    <t>CUST6194</t>
  </si>
  <si>
    <t>ORD108A757F</t>
  </si>
  <si>
    <t>2025-06-07</t>
  </si>
  <si>
    <t>CUST6011</t>
  </si>
  <si>
    <t>ORD32A7C35E</t>
  </si>
  <si>
    <t>CUST1483</t>
  </si>
  <si>
    <t>ORDB0350CD1</t>
  </si>
  <si>
    <t>CUST2948</t>
  </si>
  <si>
    <t>ORD2D2BE770</t>
  </si>
  <si>
    <t>CUST4474</t>
  </si>
  <si>
    <t>ORD58CF35A4</t>
  </si>
  <si>
    <t>CUST8145</t>
  </si>
  <si>
    <t>ORDF3C8CF4A</t>
  </si>
  <si>
    <t>CUST8040</t>
  </si>
  <si>
    <t>ORDDFC27240</t>
  </si>
  <si>
    <t>ORD010A5BD7</t>
  </si>
  <si>
    <t>2025-06-08</t>
  </si>
  <si>
    <t>CUST1827</t>
  </si>
  <si>
    <t>ORD2E086EFE</t>
  </si>
  <si>
    <t>CUST4662</t>
  </si>
  <si>
    <t>ORDE89B394C</t>
  </si>
  <si>
    <t>CUST4795</t>
  </si>
  <si>
    <t>ORD486D7D98</t>
  </si>
  <si>
    <t>CUST3294</t>
  </si>
  <si>
    <t>ORD18DE6BEF</t>
  </si>
  <si>
    <t>CUST3183</t>
  </si>
  <si>
    <t>ORD8DD8A326</t>
  </si>
  <si>
    <t>2025-06-09</t>
  </si>
  <si>
    <t>CUST9149</t>
  </si>
  <si>
    <t>ORDEE09EDE5</t>
  </si>
  <si>
    <t>CUST8682</t>
  </si>
  <si>
    <t>ORD96308B04</t>
  </si>
  <si>
    <t>CUST6429</t>
  </si>
  <si>
    <t>ORD4A7D5EB5</t>
  </si>
  <si>
    <t>CUST8324</t>
  </si>
  <si>
    <t>ORD93691A8B</t>
  </si>
  <si>
    <t>CUST9583</t>
  </si>
  <si>
    <t>ORD69067B16</t>
  </si>
  <si>
    <t>CUST8912</t>
  </si>
  <si>
    <t>ORD175E76F3</t>
  </si>
  <si>
    <t>2025-06-10</t>
  </si>
  <si>
    <t>ORD0A2E8839</t>
  </si>
  <si>
    <t>CUST1595</t>
  </si>
  <si>
    <t>ORDEEE1F3F5</t>
  </si>
  <si>
    <t>CUST8387</t>
  </si>
  <si>
    <t>ORD7106E9E2</t>
  </si>
  <si>
    <t>CUST7013</t>
  </si>
  <si>
    <t>ORD0C1C1C8A</t>
  </si>
  <si>
    <t>CUST3368</t>
  </si>
  <si>
    <t>ORD8904806A</t>
  </si>
  <si>
    <t>CUST7174</t>
  </si>
  <si>
    <t>ORDEB1296FB</t>
  </si>
  <si>
    <t>2025-06-11</t>
  </si>
  <si>
    <t>CUST5018</t>
  </si>
  <si>
    <t>ORD1BAAB01F</t>
  </si>
  <si>
    <t>CUST6518</t>
  </si>
  <si>
    <t>ORDF476A89F</t>
  </si>
  <si>
    <t>CUST9223</t>
  </si>
  <si>
    <t>ORD2B816519</t>
  </si>
  <si>
    <t>2025-06-12</t>
  </si>
  <si>
    <t>CUST2616</t>
  </si>
  <si>
    <t>ORDDF8D601A</t>
  </si>
  <si>
    <t>CUST8708</t>
  </si>
  <si>
    <t>ORD8708F6E7</t>
  </si>
  <si>
    <t>ORD02C5F788</t>
  </si>
  <si>
    <t>CUST1743</t>
  </si>
  <si>
    <t>ORD613D39B7</t>
  </si>
  <si>
    <t>CUST8681</t>
  </si>
  <si>
    <t>ORD878CEF71</t>
  </si>
  <si>
    <t>CUST6945</t>
  </si>
  <si>
    <t>ORDC2146309</t>
  </si>
  <si>
    <t>2025-06-13</t>
  </si>
  <si>
    <t>CUST7005</t>
  </si>
  <si>
    <t>ORDFBE2DC86</t>
  </si>
  <si>
    <t>ORDA0BBE987</t>
  </si>
  <si>
    <t>CUST9033</t>
  </si>
  <si>
    <t>ORDE44769BE</t>
  </si>
  <si>
    <t>2025-06-14</t>
  </si>
  <si>
    <t>CUST9331</t>
  </si>
  <si>
    <t>ORD1040BAA2</t>
  </si>
  <si>
    <t>CUST9142</t>
  </si>
  <si>
    <t>ORD9B0491FB</t>
  </si>
  <si>
    <t>CUST2617</t>
  </si>
  <si>
    <t>ORDE7F1F0DE</t>
  </si>
  <si>
    <t>CUST2846</t>
  </si>
  <si>
    <t>ORD9F643AE1</t>
  </si>
  <si>
    <t>2025-06-15</t>
  </si>
  <si>
    <t>CUST4212</t>
  </si>
  <si>
    <t>ORDDE78084E</t>
  </si>
  <si>
    <t>CUST9199</t>
  </si>
  <si>
    <t>ORD19C153F8</t>
  </si>
  <si>
    <t>CUST7731</t>
  </si>
  <si>
    <t>ORD5F6E97E6</t>
  </si>
  <si>
    <t>2025-06-16</t>
  </si>
  <si>
    <t>CUST2361</t>
  </si>
  <si>
    <t>ORDCBF027C9</t>
  </si>
  <si>
    <t>CUST5978</t>
  </si>
  <si>
    <t>ORDB4051948</t>
  </si>
  <si>
    <t>CUST9285</t>
  </si>
  <si>
    <t>ORDE9224185</t>
  </si>
  <si>
    <t>2025-06-17</t>
  </si>
  <si>
    <t>CUST2391</t>
  </si>
  <si>
    <t>ORD713D1B5F</t>
  </si>
  <si>
    <t>CUST3381</t>
  </si>
  <si>
    <t>ORD40ADE82C</t>
  </si>
  <si>
    <t>CUST4772</t>
  </si>
  <si>
    <t>ORD13D9B6B2</t>
  </si>
  <si>
    <t>CUST8003</t>
  </si>
  <si>
    <t>ORD8BCEF493</t>
  </si>
  <si>
    <t>CUST7424</t>
  </si>
  <si>
    <t>ORD595B2AD1</t>
  </si>
  <si>
    <t>2025-06-18</t>
  </si>
  <si>
    <t>CUST3070</t>
  </si>
  <si>
    <t>ORD5609D41D</t>
  </si>
  <si>
    <t>CUST1387</t>
  </si>
  <si>
    <t>ORDE1F02627</t>
  </si>
  <si>
    <t>CUST3693</t>
  </si>
  <si>
    <t>ORD6DC674AA</t>
  </si>
  <si>
    <t>CUST3837</t>
  </si>
  <si>
    <t>ORD370DAA2C</t>
  </si>
  <si>
    <t>CUST8139</t>
  </si>
  <si>
    <t>ORDC2585D97</t>
  </si>
  <si>
    <t>CUST4143</t>
  </si>
  <si>
    <t>ORD265BAC9F</t>
  </si>
  <si>
    <t>CUST1223</t>
  </si>
  <si>
    <t>ORD05174C0A</t>
  </si>
  <si>
    <t>2025-06-19</t>
  </si>
  <si>
    <t>CUST6172</t>
  </si>
  <si>
    <t>ORD20907431</t>
  </si>
  <si>
    <t>CUST2700</t>
  </si>
  <si>
    <t>ORD18E72984</t>
  </si>
  <si>
    <t>CUST7770</t>
  </si>
  <si>
    <t>ORDA349CEA3</t>
  </si>
  <si>
    <t>2025-06-20</t>
  </si>
  <si>
    <t>CUST8418</t>
  </si>
  <si>
    <t>ORDBD12C96C</t>
  </si>
  <si>
    <t>ORD559EADB0</t>
  </si>
  <si>
    <t>CUST9586</t>
  </si>
  <si>
    <t>ORD2874DAB7</t>
  </si>
  <si>
    <t>CUST1438</t>
  </si>
  <si>
    <t>ORDD3338A35</t>
  </si>
  <si>
    <t>2025-06-21</t>
  </si>
  <si>
    <t>CUST1488</t>
  </si>
  <si>
    <t>ORDB02CEC8D</t>
  </si>
  <si>
    <t>CUST6001</t>
  </si>
  <si>
    <t>ORDB28C21FA</t>
  </si>
  <si>
    <t>CUST3562</t>
  </si>
  <si>
    <t>ORDA6E13C90</t>
  </si>
  <si>
    <t>CUST7215</t>
  </si>
  <si>
    <t>ORD04CA2196</t>
  </si>
  <si>
    <t>CUST9288</t>
  </si>
  <si>
    <t>ORD23451885</t>
  </si>
  <si>
    <t>ORD370C4EE8</t>
  </si>
  <si>
    <t>CUST3376</t>
  </si>
  <si>
    <t>ORD85970287</t>
  </si>
  <si>
    <t>2025-06-22</t>
  </si>
  <si>
    <t>CUST2068</t>
  </si>
  <si>
    <t>ORD1C158A01</t>
  </si>
  <si>
    <t>CUST3272</t>
  </si>
  <si>
    <t>ORDBA360C2F</t>
  </si>
  <si>
    <t>CUST1643</t>
  </si>
  <si>
    <t>ORDAB803FC5</t>
  </si>
  <si>
    <t>CUST3756</t>
  </si>
  <si>
    <t>ORD24BCBA3E</t>
  </si>
  <si>
    <t>CUST7852</t>
  </si>
  <si>
    <t>ORDADE817B8</t>
  </si>
  <si>
    <t>2025-06-23</t>
  </si>
  <si>
    <t>CUST5769</t>
  </si>
  <si>
    <t>ORD213BD3D7</t>
  </si>
  <si>
    <t>CUST4445</t>
  </si>
  <si>
    <t>ORD569D8F48</t>
  </si>
  <si>
    <t>CUST9062</t>
  </si>
  <si>
    <t>ORD870D7146</t>
  </si>
  <si>
    <t>CUST7813</t>
  </si>
  <si>
    <t>ORD5B5BE799</t>
  </si>
  <si>
    <t>CUST2905</t>
  </si>
  <si>
    <t>ORD98649C90</t>
  </si>
  <si>
    <t>CUST2504</t>
  </si>
  <si>
    <t>ORDD4946BA9</t>
  </si>
  <si>
    <t>CUST3222</t>
  </si>
  <si>
    <t>ORDAF64E58A</t>
  </si>
  <si>
    <t>2025-06-24</t>
  </si>
  <si>
    <t>CUST9393</t>
  </si>
  <si>
    <t>ORD4C8A126E</t>
  </si>
  <si>
    <t>CUST4153</t>
  </si>
  <si>
    <t>ORD691D3914</t>
  </si>
  <si>
    <t>ORDF50DE2EF</t>
  </si>
  <si>
    <t>CUST3727</t>
  </si>
  <si>
    <t>ORD7015DEEA</t>
  </si>
  <si>
    <t>CUST3791</t>
  </si>
  <si>
    <t>ORD6B3FFF39</t>
  </si>
  <si>
    <t>2025-06-25</t>
  </si>
  <si>
    <t>CUST7374</t>
  </si>
  <si>
    <t>ORD538414C8</t>
  </si>
  <si>
    <t>CUST9409</t>
  </si>
  <si>
    <t>ORDB909E560</t>
  </si>
  <si>
    <t>CUST5160</t>
  </si>
  <si>
    <t>ORDC1C645BD</t>
  </si>
  <si>
    <t>CUST1033</t>
  </si>
  <si>
    <t>ORD62681464</t>
  </si>
  <si>
    <t>CUST9956</t>
  </si>
  <si>
    <t>ORD97DC845C</t>
  </si>
  <si>
    <t>CUST4469</t>
  </si>
  <si>
    <t>ORDAFD7CD85</t>
  </si>
  <si>
    <t>2025-06-26</t>
  </si>
  <si>
    <t>CUST9446</t>
  </si>
  <si>
    <t>ORD7E02C0B2</t>
  </si>
  <si>
    <t>ORD61C8EF20</t>
  </si>
  <si>
    <t>CUST1577</t>
  </si>
  <si>
    <t>ORD144BCFBC</t>
  </si>
  <si>
    <t>CUST1622</t>
  </si>
  <si>
    <t>ORDE1F24466</t>
  </si>
  <si>
    <t>2025-06-27</t>
  </si>
  <si>
    <t>ORDA6C5D853</t>
  </si>
  <si>
    <t>ORDE5E2CCF1</t>
  </si>
  <si>
    <t>CUST3260</t>
  </si>
  <si>
    <t>ORD328650EB</t>
  </si>
  <si>
    <t>CUST6588</t>
  </si>
  <si>
    <t>ORD10B9D303</t>
  </si>
  <si>
    <t>CUST7159</t>
  </si>
  <si>
    <t>ORD50CD794C</t>
  </si>
  <si>
    <t>CUST7950</t>
  </si>
  <si>
    <t>ORD3E27DF94</t>
  </si>
  <si>
    <t>CUST4099</t>
  </si>
  <si>
    <t>ORD96764DBD</t>
  </si>
  <si>
    <t>CUST6232</t>
  </si>
  <si>
    <t>ORD2FCA1AE6</t>
  </si>
  <si>
    <t>2025-06-28</t>
  </si>
  <si>
    <t>CUST3363</t>
  </si>
  <si>
    <t>ORDDE49977F</t>
  </si>
  <si>
    <t>CUST3985</t>
  </si>
  <si>
    <t>ORD1494E5E9</t>
  </si>
  <si>
    <t>CUST9939</t>
  </si>
  <si>
    <t>ORD90F848CB</t>
  </si>
  <si>
    <t>CUST9153</t>
  </si>
  <si>
    <t>ORD128C44F7</t>
  </si>
  <si>
    <t>CUST7654</t>
  </si>
  <si>
    <t>ORD4734BEEA</t>
  </si>
  <si>
    <t>CUST6632</t>
  </si>
  <si>
    <t>ORD94EA14B0</t>
  </si>
  <si>
    <t>CUST8179</t>
  </si>
  <si>
    <t>ORDC3DFB2B5</t>
  </si>
  <si>
    <t>2025-06-29</t>
  </si>
  <si>
    <t>CUST4730</t>
  </si>
  <si>
    <t>ORDCE3099A4</t>
  </si>
  <si>
    <t>CUST5311</t>
  </si>
  <si>
    <t>ORDC24C166C</t>
  </si>
  <si>
    <t>CUST6909</t>
  </si>
  <si>
    <t>ORDC0EDC3B7</t>
  </si>
  <si>
    <t>CUST7047</t>
  </si>
  <si>
    <t>ORDFF690104</t>
  </si>
  <si>
    <t>2025-06-30</t>
  </si>
  <si>
    <t>ORD527088C3</t>
  </si>
  <si>
    <t>CUST7863</t>
  </si>
  <si>
    <t>ORDB4737475</t>
  </si>
  <si>
    <t>CUST6369</t>
  </si>
  <si>
    <t>ORD3141C0A3</t>
  </si>
  <si>
    <t>CUST4014</t>
  </si>
  <si>
    <t>ORD79FE191C</t>
  </si>
  <si>
    <t>CUST3279</t>
  </si>
  <si>
    <t>ORDA81B141E</t>
  </si>
  <si>
    <t>CUST2280</t>
  </si>
  <si>
    <t>ORD28205658</t>
  </si>
  <si>
    <t>CUST5791</t>
  </si>
  <si>
    <t>ORD906F461F</t>
  </si>
  <si>
    <t>2025-07-01</t>
  </si>
  <si>
    <t>CUST7028</t>
  </si>
  <si>
    <t>ORD4E3B520C</t>
  </si>
  <si>
    <t>CUST4644</t>
  </si>
  <si>
    <t>ORDD32246C8</t>
  </si>
  <si>
    <t>CUST3633</t>
  </si>
  <si>
    <t>ORD3CFBA17D</t>
  </si>
  <si>
    <t>CUST2363</t>
  </si>
  <si>
    <t>ORDF099C04C</t>
  </si>
  <si>
    <t>CUST6643</t>
  </si>
  <si>
    <t>ORD604CD72A</t>
  </si>
  <si>
    <t>CUST9108</t>
  </si>
  <si>
    <t>ORD3D8B1F25</t>
  </si>
  <si>
    <t>2025-07-02</t>
  </si>
  <si>
    <t>CUST3823</t>
  </si>
  <si>
    <t>ORDCE70FE6D</t>
  </si>
  <si>
    <t>CUST1128</t>
  </si>
  <si>
    <t>ORD640FB40C</t>
  </si>
  <si>
    <t>CUST1629</t>
  </si>
  <si>
    <t>ORDCF35756B</t>
  </si>
  <si>
    <t>CUST7790</t>
  </si>
  <si>
    <t>ORDFD019280</t>
  </si>
  <si>
    <t>CUST7220</t>
  </si>
  <si>
    <t>ORD3A8ED21F</t>
  </si>
  <si>
    <t>CUST2603</t>
  </si>
  <si>
    <t>ORD54A258ED</t>
  </si>
  <si>
    <t>2025-07-03</t>
  </si>
  <si>
    <t>CUST4485</t>
  </si>
  <si>
    <t>ORD99F59E08</t>
  </si>
  <si>
    <t>CUST6645</t>
  </si>
  <si>
    <t>ORDD9BFF552</t>
  </si>
  <si>
    <t>CUST2015</t>
  </si>
  <si>
    <t>ORD7B7ED2D6</t>
  </si>
  <si>
    <t>CUST5804</t>
  </si>
  <si>
    <t>ORD081BE318</t>
  </si>
  <si>
    <t>CUST6342</t>
  </si>
  <si>
    <t>ORDCCA838DE</t>
  </si>
  <si>
    <t>CUST2091</t>
  </si>
  <si>
    <t>ORDA7AC65CE</t>
  </si>
  <si>
    <t>CUST4327</t>
  </si>
  <si>
    <t>ORD3931D722</t>
  </si>
  <si>
    <t>CUST8329</t>
  </si>
  <si>
    <t>ORD796EFBBC</t>
  </si>
  <si>
    <t>2025-07-04</t>
  </si>
  <si>
    <t>ORD6DE22440</t>
  </si>
  <si>
    <t>CUST6152</t>
  </si>
  <si>
    <t>ORDA8108A6F</t>
  </si>
  <si>
    <t>CUST9792</t>
  </si>
  <si>
    <t>ORD5FCE3658</t>
  </si>
  <si>
    <t>CUST8058</t>
  </si>
  <si>
    <t>ORDD0430937</t>
  </si>
  <si>
    <t>CUST3514</t>
  </si>
  <si>
    <t>ORD3F8F06AE</t>
  </si>
  <si>
    <t>CUST3585</t>
  </si>
  <si>
    <t>ORDC98F80F2</t>
  </si>
  <si>
    <t>CUST1555</t>
  </si>
  <si>
    <t>ORD6336796B</t>
  </si>
  <si>
    <t>CUST5906</t>
  </si>
  <si>
    <t>ORDFCA1AB2F</t>
  </si>
  <si>
    <t>2025-07-05</t>
  </si>
  <si>
    <t>CUST5352</t>
  </si>
  <si>
    <t>ORDB8A64FAF</t>
  </si>
  <si>
    <t>CUST5633</t>
  </si>
  <si>
    <t>ORD4E59AE92</t>
  </si>
  <si>
    <t>CUST7191</t>
  </si>
  <si>
    <t>ORD82A8FF47</t>
  </si>
  <si>
    <t>CUST7834</t>
  </si>
  <si>
    <t>ORDD797E367</t>
  </si>
  <si>
    <t>2025-07-06</t>
  </si>
  <si>
    <t>CUST1183</t>
  </si>
  <si>
    <t>ORD17BB57DE</t>
  </si>
  <si>
    <t>ORD6050662B</t>
  </si>
  <si>
    <t>CUST3054</t>
  </si>
  <si>
    <t>ORD637EBF87</t>
  </si>
  <si>
    <t>ORD748EC261</t>
  </si>
  <si>
    <t>2025-07-07</t>
  </si>
  <si>
    <t>CUST1728</t>
  </si>
  <si>
    <t>ORD716F6015</t>
  </si>
  <si>
    <t>CUST8619</t>
  </si>
  <si>
    <t>ORD46D44D38</t>
  </si>
  <si>
    <t>CUST9112</t>
  </si>
  <si>
    <t>ORD070958CC</t>
  </si>
  <si>
    <t>2025-07-08</t>
  </si>
  <si>
    <t>CUST3361</t>
  </si>
  <si>
    <t>ORDE44F7F8E</t>
  </si>
  <si>
    <t>CUST2214</t>
  </si>
  <si>
    <t>ORD71DDF4FD</t>
  </si>
  <si>
    <t>CUST1719</t>
  </si>
  <si>
    <t>ORDBF208CBC</t>
  </si>
  <si>
    <t>2025-07-09</t>
  </si>
  <si>
    <t>CUST3420</t>
  </si>
  <si>
    <t>ORD5F5A0800</t>
  </si>
  <si>
    <t>ORDDB0485EA</t>
  </si>
  <si>
    <t>CUST1749</t>
  </si>
  <si>
    <t>ORD134F0B1C</t>
  </si>
  <si>
    <t>CUST9501</t>
  </si>
  <si>
    <t>ORD7DBADA53</t>
  </si>
  <si>
    <t>CUST3067</t>
  </si>
  <si>
    <t>ORD0ADE9646</t>
  </si>
  <si>
    <t>CUST8033</t>
  </si>
  <si>
    <t>ORDB6857E60</t>
  </si>
  <si>
    <t>CUST9699</t>
  </si>
  <si>
    <t>ORDCC270E80</t>
  </si>
  <si>
    <t>CUST1921</t>
  </si>
  <si>
    <t>ORDF85873EB</t>
  </si>
  <si>
    <t>2025-07-10</t>
  </si>
  <si>
    <t>CUST9378</t>
  </si>
  <si>
    <t>ORDD5E4DDC5</t>
  </si>
  <si>
    <t>CUST2605</t>
  </si>
  <si>
    <t>ORD4E69714E</t>
  </si>
  <si>
    <t>CUST2416</t>
  </si>
  <si>
    <t>ORDF55333BB</t>
  </si>
  <si>
    <t>CUST2685</t>
  </si>
  <si>
    <t>ORD0909C790</t>
  </si>
  <si>
    <t>CUST4627</t>
  </si>
  <si>
    <t>ORD37F22BE5</t>
  </si>
  <si>
    <t>2025-07-11</t>
  </si>
  <si>
    <t>CUST1669</t>
  </si>
  <si>
    <t>ORD674F26AE</t>
  </si>
  <si>
    <t>CUST2894</t>
  </si>
  <si>
    <t>ORD3EFB70E2</t>
  </si>
  <si>
    <t>CUST9592</t>
  </si>
  <si>
    <t>ORDE60A1A41</t>
  </si>
  <si>
    <t>CUST6712</t>
  </si>
  <si>
    <t>ORD15B6DDE6</t>
  </si>
  <si>
    <t>CUST3921</t>
  </si>
  <si>
    <t>ORD8CAE4E02</t>
  </si>
  <si>
    <t>CUST9844</t>
  </si>
  <si>
    <t>ORD2F2121FF</t>
  </si>
  <si>
    <t>CUST3853</t>
  </si>
  <si>
    <t>ORD04250062</t>
  </si>
  <si>
    <t>CUST3658</t>
  </si>
  <si>
    <t>ORD845387A6</t>
  </si>
  <si>
    <t>2025-07-12</t>
  </si>
  <si>
    <t>CUST2570</t>
  </si>
  <si>
    <t>ORDE0663024</t>
  </si>
  <si>
    <t>CUST8259</t>
  </si>
  <si>
    <t>ORDF934D936</t>
  </si>
  <si>
    <t>CUST7836</t>
  </si>
  <si>
    <t>ORDCE35F373</t>
  </si>
  <si>
    <t>CUST1882</t>
  </si>
  <si>
    <t>ORD31390562</t>
  </si>
  <si>
    <t>ORD759CB0CF</t>
  </si>
  <si>
    <t>ORDE8C10FB5</t>
  </si>
  <si>
    <t>CUST5258</t>
  </si>
  <si>
    <t>ORD0F7B5BB2</t>
  </si>
  <si>
    <t>CUST5407</t>
  </si>
  <si>
    <t>ORDF9F99385</t>
  </si>
  <si>
    <t>2025-07-13</t>
  </si>
  <si>
    <t>CUST6885</t>
  </si>
  <si>
    <t>ORDEAD88399</t>
  </si>
  <si>
    <t>CUST2046</t>
  </si>
  <si>
    <t>ORDB75A4D5F</t>
  </si>
  <si>
    <t>CUST7252</t>
  </si>
  <si>
    <t>ORD4544F1BC</t>
  </si>
  <si>
    <t>CUST2456</t>
  </si>
  <si>
    <t>ORD1D315D73</t>
  </si>
  <si>
    <t>CUST3794</t>
  </si>
  <si>
    <t>ORD5F939C1E</t>
  </si>
  <si>
    <t>2025-07-14</t>
  </si>
  <si>
    <t>CUST7923</t>
  </si>
  <si>
    <t>ORD808495C5</t>
  </si>
  <si>
    <t>CUST7656</t>
  </si>
  <si>
    <t>ORD72EAC6C0</t>
  </si>
  <si>
    <t>CUST8211</t>
  </si>
  <si>
    <t>ORD28BDA628</t>
  </si>
  <si>
    <t>CUST4513</t>
  </si>
  <si>
    <t>ORD9892CAE4</t>
  </si>
  <si>
    <t>2025-07-15</t>
  </si>
  <si>
    <t>ORDC11573B6</t>
  </si>
  <si>
    <t>CUST3032</t>
  </si>
  <si>
    <t>ORD4C2B17E2</t>
  </si>
  <si>
    <t>ORD3C475B7B</t>
  </si>
  <si>
    <t>CUST3646</t>
  </si>
  <si>
    <t>ORDD56763DB</t>
  </si>
  <si>
    <t>CUST7391</t>
  </si>
  <si>
    <t>ORDD94643EE</t>
  </si>
  <si>
    <t>CUST1454</t>
  </si>
  <si>
    <t>ORD6A957D8C</t>
  </si>
  <si>
    <t>CUST4134</t>
  </si>
  <si>
    <t>ORDA4AEF527</t>
  </si>
  <si>
    <t>2025-07-16</t>
  </si>
  <si>
    <t>CUST4812</t>
  </si>
  <si>
    <t>ORD6D486E26</t>
  </si>
  <si>
    <t>ORDF04AC202</t>
  </si>
  <si>
    <t>CUST3475</t>
  </si>
  <si>
    <t>ORDB961BEAD</t>
  </si>
  <si>
    <t>CUST7791</t>
  </si>
  <si>
    <t>ORDF4D9357C</t>
  </si>
  <si>
    <t>CUST8865</t>
  </si>
  <si>
    <t>ORD942BA00F</t>
  </si>
  <si>
    <t>2025-07-17</t>
  </si>
  <si>
    <t>CUST8953</t>
  </si>
  <si>
    <t>ORD27B2ED8D</t>
  </si>
  <si>
    <t>CUST5185</t>
  </si>
  <si>
    <t>ORDE0C8490A</t>
  </si>
  <si>
    <t>CUST6635</t>
  </si>
  <si>
    <t>ORDF30ABEF0</t>
  </si>
  <si>
    <t>2025-07-18</t>
  </si>
  <si>
    <t>CUST8258</t>
  </si>
  <si>
    <t>ORD77EC8EBD</t>
  </si>
  <si>
    <t>CUST6680</t>
  </si>
  <si>
    <t>ORDCC7AB190</t>
  </si>
  <si>
    <t>CUST6372</t>
  </si>
  <si>
    <t>ORD91AC16DA</t>
  </si>
  <si>
    <t>ORD451F5B8D</t>
  </si>
  <si>
    <t>ORD6B06769D</t>
  </si>
  <si>
    <t>CUST4885</t>
  </si>
  <si>
    <t>ORDA8FFCC21</t>
  </si>
  <si>
    <t>2025-07-19</t>
  </si>
  <si>
    <t>CUST2000</t>
  </si>
  <si>
    <t>ORD60289A86</t>
  </si>
  <si>
    <t>CUST3206</t>
  </si>
  <si>
    <t>ORD11223A8B</t>
  </si>
  <si>
    <t>CUST3590</t>
  </si>
  <si>
    <t>ORDDD569578</t>
  </si>
  <si>
    <t>ORD0F083F63</t>
  </si>
  <si>
    <t>CUST4363</t>
  </si>
  <si>
    <t>ORDFF9E6C71</t>
  </si>
  <si>
    <t>ORD388BDD39</t>
  </si>
  <si>
    <t>2025-07-20</t>
  </si>
  <si>
    <t>CUST9606</t>
  </si>
  <si>
    <t>ORD0897F739</t>
  </si>
  <si>
    <t>CUST5753</t>
  </si>
  <si>
    <t>ORD2581DE54</t>
  </si>
  <si>
    <t>CUST1836</t>
  </si>
  <si>
    <t>ORDAF261EC7</t>
  </si>
  <si>
    <t>CUST8071</t>
  </si>
  <si>
    <t>ORDE36589D4</t>
  </si>
  <si>
    <t>CUST8695</t>
  </si>
  <si>
    <t>ORDD51A3F65</t>
  </si>
  <si>
    <t>CUST8833</t>
  </si>
  <si>
    <t>ORDAC9C6143</t>
  </si>
  <si>
    <t>2025-07-21</t>
  </si>
  <si>
    <t>CUST8081</t>
  </si>
  <si>
    <t>ORDF226F850</t>
  </si>
  <si>
    <t>ORDAFBD14D3</t>
  </si>
  <si>
    <t>ORDFC924F92</t>
  </si>
  <si>
    <t>ORD8D38A4EE</t>
  </si>
  <si>
    <t>ORD86CA491E</t>
  </si>
  <si>
    <t>CUST2881</t>
  </si>
  <si>
    <t>ORD90FEFB18</t>
  </si>
  <si>
    <t>CUST4650</t>
  </si>
  <si>
    <t>ORD080DDCA0</t>
  </si>
  <si>
    <t>2025-07-22</t>
  </si>
  <si>
    <t>CUST2851</t>
  </si>
  <si>
    <t>ORD34A4F6AA</t>
  </si>
  <si>
    <t>CUST4926</t>
  </si>
  <si>
    <t>ORD1F6BE90D</t>
  </si>
  <si>
    <t>CUST1806</t>
  </si>
  <si>
    <t>ORDAE65DAE6</t>
  </si>
  <si>
    <t>CUST7180</t>
  </si>
  <si>
    <t>ORD41659D3D</t>
  </si>
  <si>
    <t>CUST5278</t>
  </si>
  <si>
    <t>ORDD3019359</t>
  </si>
  <si>
    <t>CUST8680</t>
  </si>
  <si>
    <t>ORD5941330E</t>
  </si>
  <si>
    <t>CUST7515</t>
  </si>
  <si>
    <t>ORD55718292</t>
  </si>
  <si>
    <t>2025-07-23</t>
  </si>
  <si>
    <t>ORDEA2BEBC4</t>
  </si>
  <si>
    <t>CUST1765</t>
  </si>
  <si>
    <t>ORDF74E3FC5</t>
  </si>
  <si>
    <t>CUST9088</t>
  </si>
  <si>
    <t>ORD85E87453</t>
  </si>
  <si>
    <t>CUST8207</t>
  </si>
  <si>
    <t>ORDBD12175E</t>
  </si>
  <si>
    <t>CUST7647</t>
  </si>
  <si>
    <t>ORD298361D5</t>
  </si>
  <si>
    <t>CUST4935</t>
  </si>
  <si>
    <t>ORD08EC8E68</t>
  </si>
  <si>
    <t>ORD813CDDF8</t>
  </si>
  <si>
    <t>CUST5879</t>
  </si>
  <si>
    <t>ORD8716EFBB</t>
  </si>
  <si>
    <t>2025-07-24</t>
  </si>
  <si>
    <t>CUST3334</t>
  </si>
  <si>
    <t>ORDF069BD4C</t>
  </si>
  <si>
    <t>CUST9422</t>
  </si>
  <si>
    <t>ORD29303820</t>
  </si>
  <si>
    <t>CUST5191</t>
  </si>
  <si>
    <t>ORD499167D0</t>
  </si>
  <si>
    <t>CUST3513</t>
  </si>
  <si>
    <t>ORD7FD8050A</t>
  </si>
  <si>
    <t>CUST4174</t>
  </si>
  <si>
    <t>ORD6DC8BBCB</t>
  </si>
  <si>
    <t>2025-07-25</t>
  </si>
  <si>
    <t>CUST2139</t>
  </si>
  <si>
    <t>ORD2803D032</t>
  </si>
  <si>
    <t>CUST7384</t>
  </si>
  <si>
    <t>ORD9D1E82F5</t>
  </si>
  <si>
    <t>CUST4368</t>
  </si>
  <si>
    <t>ORD529158C3</t>
  </si>
  <si>
    <t>CUST2232</t>
  </si>
  <si>
    <t>ORDAE06E363</t>
  </si>
  <si>
    <t>CUST1654</t>
  </si>
  <si>
    <t>ORDECD3CE7A</t>
  </si>
  <si>
    <t>CUST4447</t>
  </si>
  <si>
    <t>ORDDDD0AFDD</t>
  </si>
  <si>
    <t>CUST4979</t>
  </si>
  <si>
    <t>ORD9674BDB4</t>
  </si>
  <si>
    <t>2025-07-26</t>
  </si>
  <si>
    <t>ORD4BD241E6</t>
  </si>
  <si>
    <t>CUST7754</t>
  </si>
  <si>
    <t>ORDAE06CF47</t>
  </si>
  <si>
    <t>ORD58D925DC</t>
  </si>
  <si>
    <t>CUST3445</t>
  </si>
  <si>
    <t>ORD8360E307</t>
  </si>
  <si>
    <t>2025-07-27</t>
  </si>
  <si>
    <t>CUST2377</t>
  </si>
  <si>
    <t>ORDD3B3CC7B</t>
  </si>
  <si>
    <t>CUST1530</t>
  </si>
  <si>
    <t>ORD10E43794</t>
  </si>
  <si>
    <t>CUST2791</t>
  </si>
  <si>
    <t>ORDC0BEE34F</t>
  </si>
  <si>
    <t>ORDC3C3F5AD</t>
  </si>
  <si>
    <t>2025-07-28</t>
  </si>
  <si>
    <t>CUST3121</t>
  </si>
  <si>
    <t>ORD94569928</t>
  </si>
  <si>
    <t>CUST3096</t>
  </si>
  <si>
    <t>ORD5B36DAE5</t>
  </si>
  <si>
    <t>CUST3443</t>
  </si>
  <si>
    <t>ORDEEC97B27</t>
  </si>
  <si>
    <t>CUST9829</t>
  </si>
  <si>
    <t>ORDB752052E</t>
  </si>
  <si>
    <t>CUST7627</t>
  </si>
  <si>
    <t>ORD31E0100D</t>
  </si>
  <si>
    <t>CUST3125</t>
  </si>
  <si>
    <t>ORDFD4100F7</t>
  </si>
  <si>
    <t>CUST7729</t>
  </si>
  <si>
    <t>ORD5E9A886C</t>
  </si>
  <si>
    <t>CUST4155</t>
  </si>
  <si>
    <t>ORDB9AD62E4</t>
  </si>
  <si>
    <t>2025-07-29</t>
  </si>
  <si>
    <t>CUST9396</t>
  </si>
  <si>
    <t>ORD30545B5E</t>
  </si>
  <si>
    <t>ORD853E27A3</t>
  </si>
  <si>
    <t>CUST5232</t>
  </si>
  <si>
    <t>ORD2041ED25</t>
  </si>
  <si>
    <t>2025-07-30</t>
  </si>
  <si>
    <t>CUST7926</t>
  </si>
  <si>
    <t>ORD0477221A</t>
  </si>
  <si>
    <t>CUST1840</t>
  </si>
  <si>
    <t>ORD0F3AE8C1</t>
  </si>
  <si>
    <t>CUST1261</t>
  </si>
  <si>
    <t>ORD1382717A</t>
  </si>
  <si>
    <t>ORD36197AA6</t>
  </si>
  <si>
    <t>CUST9050</t>
  </si>
  <si>
    <t>ORDF8C0EF27</t>
  </si>
  <si>
    <t>CUST7139</t>
  </si>
  <si>
    <t>ORDFF9E85A7</t>
  </si>
  <si>
    <t>2025-07-31</t>
  </si>
  <si>
    <t>CUST1127</t>
  </si>
  <si>
    <t>ORD401E71F9</t>
  </si>
  <si>
    <t>CUST5672</t>
  </si>
  <si>
    <t>ORD29E70E31</t>
  </si>
  <si>
    <t>CUST6304</t>
  </si>
  <si>
    <t>ORD53282B76</t>
  </si>
  <si>
    <t>CUST3369</t>
  </si>
  <si>
    <t>ORD7D2BB224</t>
  </si>
  <si>
    <t>CUST1401</t>
  </si>
  <si>
    <t>ORDD6B4FF5D</t>
  </si>
  <si>
    <t>2025-08-01</t>
  </si>
  <si>
    <t>ORDA172EAA4</t>
  </si>
  <si>
    <t>CUST1088</t>
  </si>
  <si>
    <t>ORD20B354B1</t>
  </si>
  <si>
    <t>CUST1055</t>
  </si>
  <si>
    <t>ORDA299FB8A</t>
  </si>
  <si>
    <t>CUST2676</t>
  </si>
  <si>
    <t>ORDAD558D73</t>
  </si>
  <si>
    <t>2025-08-02</t>
  </si>
  <si>
    <t>CUST7348</t>
  </si>
  <si>
    <t>ORD6E66EE41</t>
  </si>
  <si>
    <t>CUST8918</t>
  </si>
  <si>
    <t>ORD58C026C3</t>
  </si>
  <si>
    <t>CUST4996</t>
  </si>
  <si>
    <t>ORD359497A5</t>
  </si>
  <si>
    <t>CUST9438</t>
  </si>
  <si>
    <t>ORD25FD5905</t>
  </si>
  <si>
    <t>CUST7295</t>
  </si>
  <si>
    <t>ORDCD6EF3F0</t>
  </si>
  <si>
    <t>CUST4015</t>
  </si>
  <si>
    <t>ORDCF7BED32</t>
  </si>
  <si>
    <t>2025-08-03</t>
  </si>
  <si>
    <t>ORDF36CCF36</t>
  </si>
  <si>
    <t>CUST4747</t>
  </si>
  <si>
    <t>ORD99DBBDA9</t>
  </si>
  <si>
    <t>ORDA0639FDD</t>
  </si>
  <si>
    <t>CUST7951</t>
  </si>
  <si>
    <t>ORD08369647</t>
  </si>
  <si>
    <t>CUST4904</t>
  </si>
  <si>
    <t>ORD3BFAA436</t>
  </si>
  <si>
    <t>CUST5461</t>
  </si>
  <si>
    <t>ORDCFC76661</t>
  </si>
  <si>
    <t>CUST6440</t>
  </si>
  <si>
    <t>ORD4F346BE8</t>
  </si>
  <si>
    <t>ORD1D7D2621</t>
  </si>
  <si>
    <t>2025-08-04</t>
  </si>
  <si>
    <t>CUST5463</t>
  </si>
  <si>
    <t>ORD49ABB083</t>
  </si>
  <si>
    <t>CUST5860</t>
  </si>
  <si>
    <t>ORDFAFD90FE</t>
  </si>
  <si>
    <t>CUST8355</t>
  </si>
  <si>
    <t>ORDD5EF4771</t>
  </si>
  <si>
    <t>2025-08-05</t>
  </si>
  <si>
    <t>CUST4900</t>
  </si>
  <si>
    <t>ORDD337EAC7</t>
  </si>
  <si>
    <t>CUST7059</t>
  </si>
  <si>
    <t>ORD9B6B1081</t>
  </si>
  <si>
    <t>CUST2117</t>
  </si>
  <si>
    <t>ORDCF25BFF5</t>
  </si>
  <si>
    <t>ORDF47D5B13</t>
  </si>
  <si>
    <t>CUST6713</t>
  </si>
  <si>
    <t>ORDD7AFF27E</t>
  </si>
  <si>
    <t>CUST6681</t>
  </si>
  <si>
    <t>ORDDADBBACA</t>
  </si>
  <si>
    <t>CUST5424</t>
  </si>
  <si>
    <t>ORDF7CABB87</t>
  </si>
  <si>
    <t>2025-08-06</t>
  </si>
  <si>
    <t>CUST4612</t>
  </si>
  <si>
    <t>ORDB7A2B72D</t>
  </si>
  <si>
    <t>ORD8D768E00</t>
  </si>
  <si>
    <t>CUST9339</t>
  </si>
  <si>
    <t>ORD7922BDEE</t>
  </si>
  <si>
    <t>ORD0B6A82E2</t>
  </si>
  <si>
    <t>CUST8856</t>
  </si>
  <si>
    <t>ORD9D0E19BC</t>
  </si>
  <si>
    <t>2025-08-07</t>
  </si>
  <si>
    <t>CUST7479</t>
  </si>
  <si>
    <t>ORD10E2A37E</t>
  </si>
  <si>
    <t>CUST4749</t>
  </si>
  <si>
    <t>ORD69B7AB75</t>
  </si>
  <si>
    <t>ORD6A692EC2</t>
  </si>
  <si>
    <t>ORD1AADA42C</t>
  </si>
  <si>
    <t>CUST2657</t>
  </si>
  <si>
    <t>ORDAC0D5471</t>
  </si>
  <si>
    <t>ORD2EF2B84A</t>
  </si>
  <si>
    <t>CUST3927</t>
  </si>
  <si>
    <t>ORD3BA2B362</t>
  </si>
  <si>
    <t>2025-08-08</t>
  </si>
  <si>
    <t>CUST6221</t>
  </si>
  <si>
    <t>ORD53024126</t>
  </si>
  <si>
    <t>CUST2858</t>
  </si>
  <si>
    <t>ORDF9CF904C</t>
  </si>
  <si>
    <t>CUST7297</t>
  </si>
  <si>
    <t>ORDF669E4D9</t>
  </si>
  <si>
    <t>ORD83E321C1</t>
  </si>
  <si>
    <t>CUST4643</t>
  </si>
  <si>
    <t>ORDAB2D106E</t>
  </si>
  <si>
    <t>CUST5743</t>
  </si>
  <si>
    <t>ORD3B7055CC</t>
  </si>
  <si>
    <t>CUST1803</t>
  </si>
  <si>
    <t>ORDFCC4472F</t>
  </si>
  <si>
    <t>2025-08-09</t>
  </si>
  <si>
    <t>CUST9749</t>
  </si>
  <si>
    <t>ORDB44DA278</t>
  </si>
  <si>
    <t>CUST4441</t>
  </si>
  <si>
    <t>ORDCA9EA729</t>
  </si>
  <si>
    <t>CUST1436</t>
  </si>
  <si>
    <t>ORDE114A354</t>
  </si>
  <si>
    <t>CUST4753</t>
  </si>
  <si>
    <t>ORDBC3B593D</t>
  </si>
  <si>
    <t>CUST8357</t>
  </si>
  <si>
    <t>ORD499FEA84</t>
  </si>
  <si>
    <t>CUST8595</t>
  </si>
  <si>
    <t>ORDB1702BC7</t>
  </si>
  <si>
    <t>CUST1337</t>
  </si>
  <si>
    <t>ORD2818688D</t>
  </si>
  <si>
    <t>CUST8795</t>
  </si>
  <si>
    <t>ORD68EEF512</t>
  </si>
  <si>
    <t>2025-08-10</t>
  </si>
  <si>
    <t>CUST9017</t>
  </si>
  <si>
    <t>ORDBD32B02E</t>
  </si>
  <si>
    <t>CUST1254</t>
  </si>
  <si>
    <t>ORD68816BC8</t>
  </si>
  <si>
    <t>CUST8001</t>
  </si>
  <si>
    <t>ORD0D0DF124</t>
  </si>
  <si>
    <t>CUST9925</t>
  </si>
  <si>
    <t>ORD6B06769C</t>
  </si>
  <si>
    <t>CUST7998</t>
  </si>
  <si>
    <t>ORDB550A1E8</t>
  </si>
  <si>
    <t>CUST3865</t>
  </si>
  <si>
    <t>ORD8E4F984B</t>
  </si>
  <si>
    <t>2025-08-11</t>
  </si>
  <si>
    <t>CUST3748</t>
  </si>
  <si>
    <t>ORD2740AD57</t>
  </si>
  <si>
    <t>CUST3346</t>
  </si>
  <si>
    <t>ORD1C971EF3</t>
  </si>
  <si>
    <t>CUST8104</t>
  </si>
  <si>
    <t>ORD51E7ACCA</t>
  </si>
  <si>
    <t>CUST1242</t>
  </si>
  <si>
    <t>ORD14367782</t>
  </si>
  <si>
    <t>ORDA2C502DA</t>
  </si>
  <si>
    <t>CUST6981</t>
  </si>
  <si>
    <t>ORD73F02C9A</t>
  </si>
  <si>
    <t>CUST5415</t>
  </si>
  <si>
    <t>ORD4AD3719D</t>
  </si>
  <si>
    <t>2025-08-12</t>
  </si>
  <si>
    <t>CUST7280</t>
  </si>
  <si>
    <t>ORD03462F75</t>
  </si>
  <si>
    <t>CUST8232</t>
  </si>
  <si>
    <t>ORD5760040B</t>
  </si>
  <si>
    <t>CUST3639</t>
  </si>
  <si>
    <t>ORD123C3E0C</t>
  </si>
  <si>
    <t>CUST6051</t>
  </si>
  <si>
    <t>ORD0CFD856C</t>
  </si>
  <si>
    <t>ORD52FE0B3C</t>
  </si>
  <si>
    <t>CUST7817</t>
  </si>
  <si>
    <t>ORDD02D855B</t>
  </si>
  <si>
    <t>2025-08-13</t>
  </si>
  <si>
    <t>CUST6022</t>
  </si>
  <si>
    <t>ORD52B3E319</t>
  </si>
  <si>
    <t>CUST1792</t>
  </si>
  <si>
    <t>ORDCFB464AB</t>
  </si>
  <si>
    <t>CUST8627</t>
  </si>
  <si>
    <t>ORD1070E2EB</t>
  </si>
  <si>
    <t>CUST6412</t>
  </si>
  <si>
    <t>ORD9666E938</t>
  </si>
  <si>
    <t>CUST9818</t>
  </si>
  <si>
    <t>ORD8A153BFC</t>
  </si>
  <si>
    <t>2025-08-14</t>
  </si>
  <si>
    <t>CUST5825</t>
  </si>
  <si>
    <t>ORD426847B4</t>
  </si>
  <si>
    <t>ORD654590BE</t>
  </si>
  <si>
    <t>CUST4096</t>
  </si>
  <si>
    <t>ORD77B6FE60</t>
  </si>
  <si>
    <t>2025-08-15</t>
  </si>
  <si>
    <t>CUST5222</t>
  </si>
  <si>
    <t>ORD9904BABB</t>
  </si>
  <si>
    <t>CUST4642</t>
  </si>
  <si>
    <t>ORD7E7C1AD1</t>
  </si>
  <si>
    <t>ORD5DD338A5</t>
  </si>
  <si>
    <t>CUST5467</t>
  </si>
  <si>
    <t>ORD2EED86F2</t>
  </si>
  <si>
    <t>2025-08-16</t>
  </si>
  <si>
    <t>ORD8FE9CECE</t>
  </si>
  <si>
    <t>ORD7BD8B76D</t>
  </si>
  <si>
    <t>ORDC33C93E0</t>
  </si>
  <si>
    <t>2025-08-17</t>
  </si>
  <si>
    <t>CUST4430</t>
  </si>
  <si>
    <t>ORD9931C1EF</t>
  </si>
  <si>
    <t>CUST2528</t>
  </si>
  <si>
    <t>ORDCD216A8B</t>
  </si>
  <si>
    <t>CUST9011</t>
  </si>
  <si>
    <t>ORD7A36FE19</t>
  </si>
  <si>
    <t>CUST8036</t>
  </si>
  <si>
    <t>ORD69558082</t>
  </si>
  <si>
    <t>CUST8544</t>
  </si>
  <si>
    <t>ORDEF4DFB55</t>
  </si>
  <si>
    <t>CUST1251</t>
  </si>
  <si>
    <t>ORD5461622C</t>
  </si>
  <si>
    <t>CUST7841</t>
  </si>
  <si>
    <t>ORD0F8624F0</t>
  </si>
  <si>
    <t>CUST3872</t>
  </si>
  <si>
    <t>ORDAE02EA35</t>
  </si>
  <si>
    <t>2025-08-18</t>
  </si>
  <si>
    <t>CUST1564</t>
  </si>
  <si>
    <t>ORDA5643687</t>
  </si>
  <si>
    <t>CUST9171</t>
  </si>
  <si>
    <t>ORD0E8FB2FF</t>
  </si>
  <si>
    <t>CUST4399</t>
  </si>
  <si>
    <t>ORD2FC84918</t>
  </si>
  <si>
    <t>CUST7247</t>
  </si>
  <si>
    <t>ORD91607DB7</t>
  </si>
  <si>
    <t>CUST1632</t>
  </si>
  <si>
    <t>ORD24F8171F</t>
  </si>
  <si>
    <t>CUST1667</t>
  </si>
  <si>
    <t>ORD4A69A7EA</t>
  </si>
  <si>
    <t>CUST8136</t>
  </si>
  <si>
    <t>ORD10EDF58F</t>
  </si>
  <si>
    <t>CUST4336</t>
  </si>
  <si>
    <t>ORD6D1D6F60</t>
  </si>
  <si>
    <t>2025-08-19</t>
  </si>
  <si>
    <t>CUST5508</t>
  </si>
  <si>
    <t>ORD715734DE</t>
  </si>
  <si>
    <t>CUST8973</t>
  </si>
  <si>
    <t>ORD2F8C7756</t>
  </si>
  <si>
    <t>CUST2408</t>
  </si>
  <si>
    <t>ORDB88E1FEA</t>
  </si>
  <si>
    <t>CUST1336</t>
  </si>
  <si>
    <t>ORD17F04AF0</t>
  </si>
  <si>
    <t>2025-08-20</t>
  </si>
  <si>
    <t>CUST7949</t>
  </si>
  <si>
    <t>ORD14D1E0AE</t>
  </si>
  <si>
    <t>CUST4502</t>
  </si>
  <si>
    <t>ORDA2228405</t>
  </si>
  <si>
    <t>CUST9066</t>
  </si>
  <si>
    <t>ORD699DD204</t>
  </si>
  <si>
    <t>CUST1137</t>
  </si>
  <si>
    <t>ORD5D79E309</t>
  </si>
  <si>
    <t>2025-08-21</t>
  </si>
  <si>
    <t>CUST1146</t>
  </si>
  <si>
    <t>ORDA2BA316D</t>
  </si>
  <si>
    <t>CUST7259</t>
  </si>
  <si>
    <t>ORD8CE5D2A5</t>
  </si>
  <si>
    <t>CUST3995</t>
  </si>
  <si>
    <t>ORD6ECAA4B2</t>
  </si>
  <si>
    <t>ORD84159F0A</t>
  </si>
  <si>
    <t>2025-08-22</t>
  </si>
  <si>
    <t>ORDA221AE0D</t>
  </si>
  <si>
    <t>CUST1474</t>
  </si>
  <si>
    <t>ORD8D59623D</t>
  </si>
  <si>
    <t>ORDF153BCA9</t>
  </si>
  <si>
    <t>CUST9091</t>
  </si>
  <si>
    <t>ORDFD4425A1</t>
  </si>
  <si>
    <t>CUST5835</t>
  </si>
  <si>
    <t>ORD1092E4B0</t>
  </si>
  <si>
    <t>CUST5080</t>
  </si>
  <si>
    <t>ORD6F8F498F</t>
  </si>
  <si>
    <t>CUST1437</t>
  </si>
  <si>
    <t>ORD6761FC06</t>
  </si>
  <si>
    <t>2025-08-23</t>
  </si>
  <si>
    <t>CUST4235</t>
  </si>
  <si>
    <t>ORD8A169F32</t>
  </si>
  <si>
    <t>CUST6736</t>
  </si>
  <si>
    <t>ORD71D26053</t>
  </si>
  <si>
    <t>CUST6000</t>
  </si>
  <si>
    <t>ORDFB70C844</t>
  </si>
  <si>
    <t>CUST1832</t>
  </si>
  <si>
    <t>ORD5BCC37FD</t>
  </si>
  <si>
    <t>2025-08-24</t>
  </si>
  <si>
    <t>ORDAF9E3329</t>
  </si>
  <si>
    <t>CUST1886</t>
  </si>
  <si>
    <t>ORD069BDDE3</t>
  </si>
  <si>
    <t>CUST7130</t>
  </si>
  <si>
    <t>ORD6B4649BB</t>
  </si>
  <si>
    <t>CUST5915</t>
  </si>
  <si>
    <t>ORDFB16346D</t>
  </si>
  <si>
    <t>CUST6778</t>
  </si>
  <si>
    <t>ORD5EE75023</t>
  </si>
  <si>
    <t>CUST7458</t>
  </si>
  <si>
    <t>ORD1F8A3ACE</t>
  </si>
  <si>
    <t>2025-08-25</t>
  </si>
  <si>
    <t>CUST8751</t>
  </si>
  <si>
    <t>ORDC54D9778</t>
  </si>
  <si>
    <t>CUST3163</t>
  </si>
  <si>
    <t>ORD7F5D6B19</t>
  </si>
  <si>
    <t>CUST6532</t>
  </si>
  <si>
    <t>ORD62B6D568</t>
  </si>
  <si>
    <t>CUST8525</t>
  </si>
  <si>
    <t>ORD67C2CBBB</t>
  </si>
  <si>
    <t>CUST6679</t>
  </si>
  <si>
    <t>ORD98418503</t>
  </si>
  <si>
    <t>CUST1338</t>
  </si>
  <si>
    <t>ORD5AE04959</t>
  </si>
  <si>
    <t>CUST1592</t>
  </si>
  <si>
    <t>ORD05A23CD3</t>
  </si>
  <si>
    <t>CUST2297</t>
  </si>
  <si>
    <t>ORDBAACCBEA</t>
  </si>
  <si>
    <t>2025-08-26</t>
  </si>
  <si>
    <t>CUST6700</t>
  </si>
  <si>
    <t>ORD4455F614</t>
  </si>
  <si>
    <t>ORDD6105555</t>
  </si>
  <si>
    <t>ORD7F08271D</t>
  </si>
  <si>
    <t>CUST4300</t>
  </si>
  <si>
    <t>ORD94B0AEE1</t>
  </si>
  <si>
    <t>CUST4071</t>
  </si>
  <si>
    <t>ORDE8964B3D</t>
  </si>
  <si>
    <t>CUST5874</t>
  </si>
  <si>
    <t>ORD9EB85520</t>
  </si>
  <si>
    <t>CUST2132</t>
  </si>
  <si>
    <t>ORDAF13B5FC</t>
  </si>
  <si>
    <t>CUST8151</t>
  </si>
  <si>
    <t>ORD0FDE4773</t>
  </si>
  <si>
    <t>2025-08-27</t>
  </si>
  <si>
    <t>CUST9043</t>
  </si>
  <si>
    <t>ORD258515C7</t>
  </si>
  <si>
    <t>CUST3873</t>
  </si>
  <si>
    <t>ORD6BD152B8</t>
  </si>
  <si>
    <t>CUST8330</t>
  </si>
  <si>
    <t>ORD824A620B</t>
  </si>
  <si>
    <t>CUST3565</t>
  </si>
  <si>
    <t>ORD48AC8174</t>
  </si>
  <si>
    <t>CUST1556</t>
  </si>
  <si>
    <t>ORD58759C0F</t>
  </si>
  <si>
    <t>2025-08-28</t>
  </si>
  <si>
    <t>CUST5303</t>
  </si>
  <si>
    <t>ORDEC6426B5</t>
  </si>
  <si>
    <t>CUST1243</t>
  </si>
  <si>
    <t>ORDD6739D47</t>
  </si>
  <si>
    <t>ORD9E8FEC70</t>
  </si>
  <si>
    <t>CUST7155</t>
  </si>
  <si>
    <t>ORDBA41F352</t>
  </si>
  <si>
    <t>2025-08-29</t>
  </si>
  <si>
    <t>ORDB53B66CE</t>
  </si>
  <si>
    <t>CUST4289</t>
  </si>
  <si>
    <t>ORD16FA4A86</t>
  </si>
  <si>
    <t>CUST7695</t>
  </si>
  <si>
    <t>ORD483673C2</t>
  </si>
  <si>
    <t>ORD9AA6F8B2</t>
  </si>
  <si>
    <t>2025-08-30</t>
  </si>
  <si>
    <t>CUST2030</t>
  </si>
  <si>
    <t>ORD73B1E769</t>
  </si>
  <si>
    <t>ORD961CF554</t>
  </si>
  <si>
    <t>CUST8161</t>
  </si>
  <si>
    <t>ORDEE098654</t>
  </si>
  <si>
    <t>CUST3887</t>
  </si>
  <si>
    <t>ORD22EEC32C</t>
  </si>
  <si>
    <t>CUST6867</t>
  </si>
  <si>
    <t>ORD6B979663</t>
  </si>
  <si>
    <t>ORDABB45871</t>
  </si>
  <si>
    <t>CUST8239</t>
  </si>
  <si>
    <t>ORD0E52982E</t>
  </si>
  <si>
    <t>2025-08-31</t>
  </si>
  <si>
    <t>CUST6296</t>
  </si>
  <si>
    <t>ORD988003E4</t>
  </si>
  <si>
    <t>CUST3264</t>
  </si>
  <si>
    <t>ORD98572CC3</t>
  </si>
  <si>
    <t>CUST7325</t>
  </si>
  <si>
    <t>ORD6E0B7E6B</t>
  </si>
  <si>
    <t>CUST7793</t>
  </si>
  <si>
    <t>ORDF55708EA</t>
  </si>
  <si>
    <t>CUST3972</t>
  </si>
  <si>
    <t>ORDC77A6AB3</t>
  </si>
  <si>
    <t>CUST5484</t>
  </si>
  <si>
    <t>ORD9805E918</t>
  </si>
  <si>
    <t>CUST9643</t>
  </si>
  <si>
    <t>ORDA51FE905</t>
  </si>
  <si>
    <t>2025-09-01</t>
  </si>
  <si>
    <t>CUST6735</t>
  </si>
  <si>
    <t>ORD710E8CEA</t>
  </si>
  <si>
    <t>ORD718C0EAE</t>
  </si>
  <si>
    <t>CUST9597</t>
  </si>
  <si>
    <t>ORD96C7807C</t>
  </si>
  <si>
    <t>2025-09-02</t>
  </si>
  <si>
    <t>CUST4398</t>
  </si>
  <si>
    <t>ORD8EEE592D</t>
  </si>
  <si>
    <t>CUST2305</t>
  </si>
  <si>
    <t>ORD4A1E0C10</t>
  </si>
  <si>
    <t>CUST5951</t>
  </si>
  <si>
    <t>ORD1C4ADF74</t>
  </si>
  <si>
    <t>ORD85A719C2</t>
  </si>
  <si>
    <t>CUST2808</t>
  </si>
  <si>
    <t>ORDEB717FB0</t>
  </si>
  <si>
    <t>CUST5877</t>
  </si>
  <si>
    <t>ORDEECD2289</t>
  </si>
  <si>
    <t>CUST5481</t>
  </si>
  <si>
    <t>ORD23FA46EB</t>
  </si>
  <si>
    <t>ORD0AED576A</t>
  </si>
  <si>
    <t>2025-09-03</t>
  </si>
  <si>
    <t>CUST9316</t>
  </si>
  <si>
    <t>ORD27746CE8</t>
  </si>
  <si>
    <t>CUST7298</t>
  </si>
  <si>
    <t>ORDED224276</t>
  </si>
  <si>
    <t>CUST1975</t>
  </si>
  <si>
    <t>ORDD3C4078D</t>
  </si>
  <si>
    <t>ORD013353BA</t>
  </si>
  <si>
    <t>2025-09-04</t>
  </si>
  <si>
    <t>CUST1951</t>
  </si>
  <si>
    <t>ORDBD7A5DD0</t>
  </si>
  <si>
    <t>ORD4A1A0C8F</t>
  </si>
  <si>
    <t>CUST4392</t>
  </si>
  <si>
    <t>ORD835B9B7E</t>
  </si>
  <si>
    <t>CUST6020</t>
  </si>
  <si>
    <t>ORDA3714A58</t>
  </si>
  <si>
    <t>2025-09-05</t>
  </si>
  <si>
    <t>CUST6365</t>
  </si>
  <si>
    <t>ORD1A191C7B</t>
  </si>
  <si>
    <t>CUST8540</t>
  </si>
  <si>
    <t>ORDF9DEBC18</t>
  </si>
  <si>
    <t>CUST9634</t>
  </si>
  <si>
    <t>ORDFB79002C</t>
  </si>
  <si>
    <t>CUST2141</t>
  </si>
  <si>
    <t>ORD00B676CD</t>
  </si>
  <si>
    <t>CUST2051</t>
  </si>
  <si>
    <t>ORD165C047B</t>
  </si>
  <si>
    <t>CUST5366</t>
  </si>
  <si>
    <t>ORDBC317754</t>
  </si>
  <si>
    <t>2025-09-06</t>
  </si>
  <si>
    <t>CUST9752</t>
  </si>
  <si>
    <t>ORDB9632EF0</t>
  </si>
  <si>
    <t>CUST1499</t>
  </si>
  <si>
    <t>ORD0A0D0A52</t>
  </si>
  <si>
    <t>ORD9EA6D48D</t>
  </si>
  <si>
    <t>CUST8686</t>
  </si>
  <si>
    <t>ORD692B89FA</t>
  </si>
  <si>
    <t>CUST5063</t>
  </si>
  <si>
    <t>ORDCEEC7A53</t>
  </si>
  <si>
    <t>2025-09-07</t>
  </si>
  <si>
    <t>CUST9979</t>
  </si>
  <si>
    <t>ORD47A6732E</t>
  </si>
  <si>
    <t>CUST6871</t>
  </si>
  <si>
    <t>ORD5A3108EF</t>
  </si>
  <si>
    <t>CUST3195</t>
  </si>
  <si>
    <t>ORD18B0C204</t>
  </si>
  <si>
    <t>CUST2103</t>
  </si>
  <si>
    <t>ORD285B422B</t>
  </si>
  <si>
    <t>CUST2387</t>
  </si>
  <si>
    <t>ORD27412A18</t>
  </si>
  <si>
    <t>2025-09-08</t>
  </si>
  <si>
    <t>CUST7907</t>
  </si>
  <si>
    <t>ORD934ADD30</t>
  </si>
  <si>
    <t>CUST4921</t>
  </si>
  <si>
    <t>ORD0CE73B0A</t>
  </si>
  <si>
    <t>CUST5167</t>
  </si>
  <si>
    <t>ORDE8ED90EB</t>
  </si>
  <si>
    <t>2025-09-09</t>
  </si>
  <si>
    <t>CUST2866</t>
  </si>
  <si>
    <t>ORD07083408</t>
  </si>
  <si>
    <t>CUST8742</t>
  </si>
  <si>
    <t>ORDB83839F9</t>
  </si>
  <si>
    <t>CUST8448</t>
  </si>
  <si>
    <t>ORD299F21D1</t>
  </si>
  <si>
    <t>ORDD2978539</t>
  </si>
  <si>
    <t>CUST4062</t>
  </si>
  <si>
    <t>ORD2523ED20</t>
  </si>
  <si>
    <t>CUST9306</t>
  </si>
  <si>
    <t>ORDC5FB63E5</t>
  </si>
  <si>
    <t>2025-09-10</t>
  </si>
  <si>
    <t>ORDEE309E95</t>
  </si>
  <si>
    <t>CUST4308</t>
  </si>
  <si>
    <t>ORDAA778006</t>
  </si>
  <si>
    <t>CUST5270</t>
  </si>
  <si>
    <t>ORD2C111B94</t>
  </si>
  <si>
    <t>CUST4213</t>
  </si>
  <si>
    <t>ORDA1B09787</t>
  </si>
  <si>
    <t>2025-09-11</t>
  </si>
  <si>
    <t>CUST3903</t>
  </si>
  <si>
    <t>ORDF365C119</t>
  </si>
  <si>
    <t>CUST5897</t>
  </si>
  <si>
    <t>ORDEEE5C27E</t>
  </si>
  <si>
    <t>CUST1695</t>
  </si>
  <si>
    <t>ORD58B516A9</t>
  </si>
  <si>
    <t>ORD7E0D3009</t>
  </si>
  <si>
    <t>CUST8214</t>
  </si>
  <si>
    <t>ORDB2156D61</t>
  </si>
  <si>
    <t>CUST5785</t>
  </si>
  <si>
    <t>ORD36C83581</t>
  </si>
  <si>
    <t>CUST3456</t>
  </si>
  <si>
    <t>ORD91E7A1FC</t>
  </si>
  <si>
    <t>2025-09-12</t>
  </si>
  <si>
    <t>CUST2085</t>
  </si>
  <si>
    <t>ORD5F889470</t>
  </si>
  <si>
    <t>ORDCD2B9AA7</t>
  </si>
  <si>
    <t>CUST6302</t>
  </si>
  <si>
    <t>ORD9DB1DE4E</t>
  </si>
  <si>
    <t>CUST1849</t>
  </si>
  <si>
    <t>ORDCA97D6B3</t>
  </si>
  <si>
    <t>CUST4088</t>
  </si>
  <si>
    <t>ORD148F99D7</t>
  </si>
  <si>
    <t>2025-09-13</t>
  </si>
  <si>
    <t>CUST7225</t>
  </si>
  <si>
    <t>ORD3E6A4826</t>
  </si>
  <si>
    <t>CUST4100</t>
  </si>
  <si>
    <t>ORD9B152F7D</t>
  </si>
  <si>
    <t>CUST5151</t>
  </si>
  <si>
    <t>ORDE89BA34B</t>
  </si>
  <si>
    <t>2025-09-14</t>
  </si>
  <si>
    <t>CUST1202</t>
  </si>
  <si>
    <t>ORDE6E7F9FC</t>
  </si>
  <si>
    <t>CUST5301</t>
  </si>
  <si>
    <t>ORD87CF49F1</t>
  </si>
  <si>
    <t>ORD0B3CE824</t>
  </si>
  <si>
    <t>CUST4809</t>
  </si>
  <si>
    <t>ORD3BE3BFD6</t>
  </si>
  <si>
    <t>2025-09-15</t>
  </si>
  <si>
    <t>CUST2349</t>
  </si>
  <si>
    <t>ORD69032A4D</t>
  </si>
  <si>
    <t>CUST4277</t>
  </si>
  <si>
    <t>ORD2054BCE5</t>
  </si>
  <si>
    <t>CUST7015</t>
  </si>
  <si>
    <t>ORD9F52713D</t>
  </si>
  <si>
    <t>CUST8395</t>
  </si>
  <si>
    <t>ORD030D09B0</t>
  </si>
  <si>
    <t>CUST4541</t>
  </si>
  <si>
    <t>ORDF77C5EFD</t>
  </si>
  <si>
    <t>ORD792B6306</t>
  </si>
  <si>
    <t>CUST1939</t>
  </si>
  <si>
    <t>ORDAFAAACE2</t>
  </si>
  <si>
    <t>2025-09-16</t>
  </si>
  <si>
    <t>CUST9318</t>
  </si>
  <si>
    <t>ORD17C209B7</t>
  </si>
  <si>
    <t>CUST8441</t>
  </si>
  <si>
    <t>ORD5288A725</t>
  </si>
  <si>
    <t>CUST4064</t>
  </si>
  <si>
    <t>ORDFBE7D4BA</t>
  </si>
  <si>
    <t>CUST2556</t>
  </si>
  <si>
    <t>ORD624BEFE4</t>
  </si>
  <si>
    <t>2025-09-17</t>
  </si>
  <si>
    <t>CUST8198</t>
  </si>
  <si>
    <t>ORD03C1A685</t>
  </si>
  <si>
    <t>ORDD8A5E597</t>
  </si>
  <si>
    <t>CUST2029</t>
  </si>
  <si>
    <t>ORD4B9AF612</t>
  </si>
  <si>
    <t>CUST7566</t>
  </si>
  <si>
    <t>ORD5363D3A7</t>
  </si>
  <si>
    <t>CUST1626</t>
  </si>
  <si>
    <t>ORD46827871</t>
  </si>
  <si>
    <t>2025-09-18</t>
  </si>
  <si>
    <t>CUST1750</t>
  </si>
  <si>
    <t>ORD90C5F740</t>
  </si>
  <si>
    <t>CUST5141</t>
  </si>
  <si>
    <t>ORDC7962C77</t>
  </si>
  <si>
    <t>CUST3371</t>
  </si>
  <si>
    <t>ORDFF9DA64B</t>
  </si>
  <si>
    <t>2025-09-19</t>
  </si>
  <si>
    <t>CUST6977</t>
  </si>
  <si>
    <t>ORDAFB80470</t>
  </si>
  <si>
    <t>CUST8556</t>
  </si>
  <si>
    <t>ORD37628223</t>
  </si>
  <si>
    <t>CUST8059</t>
  </si>
  <si>
    <t>ORD461790EA</t>
  </si>
  <si>
    <t>2025-09-20</t>
  </si>
  <si>
    <t>CUST7671</t>
  </si>
  <si>
    <t>ORD561FEA69</t>
  </si>
  <si>
    <t>CUST6275</t>
  </si>
  <si>
    <t>ORDBC15500F</t>
  </si>
  <si>
    <t>CUST9770</t>
  </si>
  <si>
    <t>ORDD04871D9</t>
  </si>
  <si>
    <t>ORD0D155F8B</t>
  </si>
  <si>
    <t>CUST2437</t>
  </si>
  <si>
    <t>ORD4DB9A41F</t>
  </si>
  <si>
    <t>CUST8889</t>
  </si>
  <si>
    <t>ORD831342F7</t>
  </si>
  <si>
    <t>2025-09-21</t>
  </si>
  <si>
    <t>ORDBD9AC0B7</t>
  </si>
  <si>
    <t>CUST8728</t>
  </si>
  <si>
    <t>ORD4F935162</t>
  </si>
  <si>
    <t>CUST6503</t>
  </si>
  <si>
    <t>ORD4A6F87AA</t>
  </si>
  <si>
    <t>CUST5566</t>
  </si>
  <si>
    <t>ORDC8F46809</t>
  </si>
  <si>
    <t>ORD37777944</t>
  </si>
  <si>
    <t>2025-09-22</t>
  </si>
  <si>
    <t>CUST4690</t>
  </si>
  <si>
    <t>ORD50B416F0</t>
  </si>
  <si>
    <t>CUST3931</t>
  </si>
  <si>
    <t>ORD0ED8D5C8</t>
  </si>
  <si>
    <t>CUST8434</t>
  </si>
  <si>
    <t>ORD0B66DB25</t>
  </si>
  <si>
    <t>CUST8969</t>
  </si>
  <si>
    <t>ORD4CC89961</t>
  </si>
  <si>
    <t>CUST5251</t>
  </si>
  <si>
    <t>ORDE72EFE11</t>
  </si>
  <si>
    <t>CUST1428</t>
  </si>
  <si>
    <t>ORD55E9418D</t>
  </si>
  <si>
    <t>2025-09-23</t>
  </si>
  <si>
    <t>CUST7409</t>
  </si>
  <si>
    <t>ORD1365CC3A</t>
  </si>
  <si>
    <t>CUST8057</t>
  </si>
  <si>
    <t>ORD84DA163A</t>
  </si>
  <si>
    <t>CUST6649</t>
  </si>
  <si>
    <t>ORD1A732A51</t>
  </si>
  <si>
    <t>CUST8286</t>
  </si>
  <si>
    <t>ORDAE45B758</t>
  </si>
  <si>
    <t>CUST5971</t>
  </si>
  <si>
    <t>ORDA48044D8</t>
  </si>
  <si>
    <t>ORD615521A5</t>
  </si>
  <si>
    <t>CUST4375</t>
  </si>
  <si>
    <t>ORD8440793D</t>
  </si>
  <si>
    <t>2025-09-24</t>
  </si>
  <si>
    <t>CUST4101</t>
  </si>
  <si>
    <t>ORD8DFCB35B</t>
  </si>
  <si>
    <t>CUST6199</t>
  </si>
  <si>
    <t>ORD92FCAB6D</t>
  </si>
  <si>
    <t>CUST2772</t>
  </si>
  <si>
    <t>ORD88A31F20</t>
  </si>
  <si>
    <t>2025-09-25</t>
  </si>
  <si>
    <t>CUST1381</t>
  </si>
  <si>
    <t>ORD33900B3E</t>
  </si>
  <si>
    <t>CUST1603</t>
  </si>
  <si>
    <t>ORD1E10D41E</t>
  </si>
  <si>
    <t>CUST4632</t>
  </si>
  <si>
    <t>ORD033395FE</t>
  </si>
  <si>
    <t>CUST5923</t>
  </si>
  <si>
    <t>ORD42A84B4A</t>
  </si>
  <si>
    <t>CUST4478</t>
  </si>
  <si>
    <t>ORD3B709DF1</t>
  </si>
  <si>
    <t>CUST7760</t>
  </si>
  <si>
    <t>ORD36877602</t>
  </si>
  <si>
    <t>2025-09-26</t>
  </si>
  <si>
    <t>CUST4195</t>
  </si>
  <si>
    <t>ORDD6276B48</t>
  </si>
  <si>
    <t>CUST1666</t>
  </si>
  <si>
    <t>ORD57A8525A</t>
  </si>
  <si>
    <t>CUST2150</t>
  </si>
  <si>
    <t>ORDFCEFC893</t>
  </si>
  <si>
    <t>CUST4647</t>
  </si>
  <si>
    <t>ORD34D80E48</t>
  </si>
  <si>
    <t>CUST9492</t>
  </si>
  <si>
    <t>ORDDB1E7E3D</t>
  </si>
  <si>
    <t>CUST7630</t>
  </si>
  <si>
    <t>ORDF94E073C</t>
  </si>
  <si>
    <t>ORDADF382FE</t>
  </si>
  <si>
    <t>2025-09-27</t>
  </si>
  <si>
    <t>CUST7373</t>
  </si>
  <si>
    <t>ORD9B798FB6</t>
  </si>
  <si>
    <t>CUST7997</t>
  </si>
  <si>
    <t>ORD12E0DA90</t>
  </si>
  <si>
    <t>CUST6120</t>
  </si>
  <si>
    <t>ORDBA1C82B2</t>
  </si>
  <si>
    <t>CUST6516</t>
  </si>
  <si>
    <t>ORD5A363EE9</t>
  </si>
  <si>
    <t>CUST8737</t>
  </si>
  <si>
    <t>ORD83E2C9A3</t>
  </si>
  <si>
    <t>CUST5359</t>
  </si>
  <si>
    <t>ORDF290E83E</t>
  </si>
  <si>
    <t>CUST6847</t>
  </si>
  <si>
    <t>ORD5049A5E3</t>
  </si>
  <si>
    <t>2025-09-28</t>
  </si>
  <si>
    <t>CUST9124</t>
  </si>
  <si>
    <t>ORD3D836E77</t>
  </si>
  <si>
    <t>CUST6284</t>
  </si>
  <si>
    <t>ORDB87B09E1</t>
  </si>
  <si>
    <t>CUST2952</t>
  </si>
  <si>
    <t>ORD12354ED8</t>
  </si>
  <si>
    <t>CUST9949</t>
  </si>
  <si>
    <t>ORD0B0D4D1C</t>
  </si>
  <si>
    <t>2025-09-29</t>
  </si>
  <si>
    <t>ORDE9DC7081</t>
  </si>
  <si>
    <t>CUST3042</t>
  </si>
  <si>
    <t>ORDB47E8E67</t>
  </si>
  <si>
    <t>CUST5395</t>
  </si>
  <si>
    <t>ORD33B25819</t>
  </si>
  <si>
    <t>CUST5375</t>
  </si>
  <si>
    <t>ORD8287EE27</t>
  </si>
  <si>
    <t>ORDBDBE2ED4</t>
  </si>
  <si>
    <t>2025-09-30</t>
  </si>
  <si>
    <t>CUST6699</t>
  </si>
  <si>
    <t>ORDCDB2C0FE</t>
  </si>
  <si>
    <t>CUST5217</t>
  </si>
  <si>
    <t>ORD969DBF9B</t>
  </si>
  <si>
    <t>CUST4158</t>
  </si>
  <si>
    <t>ORD82D94BE2</t>
  </si>
  <si>
    <t>2025-10-01</t>
  </si>
  <si>
    <t>CUST5560</t>
  </si>
  <si>
    <t>ORDBACC17C0</t>
  </si>
  <si>
    <t>CUST8862</t>
  </si>
  <si>
    <t>ORDB1E349F7</t>
  </si>
  <si>
    <t>CUST7507</t>
  </si>
  <si>
    <t>ORD35E27F03</t>
  </si>
  <si>
    <t>CUST7510</t>
  </si>
  <si>
    <t>ORD7BA0786C</t>
  </si>
  <si>
    <t>CUST6249</t>
  </si>
  <si>
    <t>ORDBE7851B5</t>
  </si>
  <si>
    <t>CUST4113</t>
  </si>
  <si>
    <t>ORD39AEDDFA</t>
  </si>
  <si>
    <t>CUST9715</t>
  </si>
  <si>
    <t>ORD280E048E</t>
  </si>
  <si>
    <t>2025-10-02</t>
  </si>
  <si>
    <t>CUST5555</t>
  </si>
  <si>
    <t>ORDFF229C38</t>
  </si>
  <si>
    <t>ORDF6C42059</t>
  </si>
  <si>
    <t>CUST4738</t>
  </si>
  <si>
    <t>ORDA706FDD4</t>
  </si>
  <si>
    <t>ORDA4B6F054</t>
  </si>
  <si>
    <t>CUST9952</t>
  </si>
  <si>
    <t>ORD273A6A84</t>
  </si>
  <si>
    <t>2025-10-03</t>
  </si>
  <si>
    <t>CUST6771</t>
  </si>
  <si>
    <t>ORDBA749454</t>
  </si>
  <si>
    <t>CUST9086</t>
  </si>
  <si>
    <t>ORDF1D791EF</t>
  </si>
  <si>
    <t>CUST1635</t>
  </si>
  <si>
    <t>ORD7129EA2B</t>
  </si>
  <si>
    <t>CUST4776</t>
  </si>
  <si>
    <t>ORD10C355BC</t>
  </si>
  <si>
    <t>CUST4094</t>
  </si>
  <si>
    <t>ORDD82E56DE</t>
  </si>
  <si>
    <t>CUST7900</t>
  </si>
  <si>
    <t>ORD139EA3AA</t>
  </si>
  <si>
    <t>CUST2586</t>
  </si>
  <si>
    <t>ORDA66D3BC6</t>
  </si>
  <si>
    <t>2025-10-04</t>
  </si>
  <si>
    <t>CUST8858</t>
  </si>
  <si>
    <t>ORDB25AA48B</t>
  </si>
  <si>
    <t>CUST6187</t>
  </si>
  <si>
    <t>ORD74F6DC1B</t>
  </si>
  <si>
    <t>CUST3144</t>
  </si>
  <si>
    <t>ORD71C33DE4</t>
  </si>
  <si>
    <t>CUST2670</t>
  </si>
  <si>
    <t>ORDAA553A32</t>
  </si>
  <si>
    <t>2025-10-05</t>
  </si>
  <si>
    <t>CUST6021</t>
  </si>
  <si>
    <t>ORDF9403F3A</t>
  </si>
  <si>
    <t>CUST7508</t>
  </si>
  <si>
    <t>ORD60DF8ACE</t>
  </si>
  <si>
    <t>ORD18DE9F37</t>
  </si>
  <si>
    <t>2025-10-06</t>
  </si>
  <si>
    <t>CUST3075</t>
  </si>
  <si>
    <t>ORDBA4BC16D</t>
  </si>
  <si>
    <t>CUST3815</t>
  </si>
  <si>
    <t>ORDC46D5C1B</t>
  </si>
  <si>
    <t>CUST1091</t>
  </si>
  <si>
    <t>ORDAD3393E7</t>
  </si>
  <si>
    <t>CUST2793</t>
  </si>
  <si>
    <t>ORDE271DFBC</t>
  </si>
  <si>
    <t>ORD536336CF</t>
  </si>
  <si>
    <t>2025-10-07</t>
  </si>
  <si>
    <t>CUST5582</t>
  </si>
  <si>
    <t>ORDC1EE601D</t>
  </si>
  <si>
    <t>CUST6991</t>
  </si>
  <si>
    <t>ORD7B95D0AF</t>
  </si>
  <si>
    <t>ORD1B6F721B</t>
  </si>
  <si>
    <t>CUST9626</t>
  </si>
  <si>
    <t>ORD674D382C</t>
  </si>
  <si>
    <t>CUST2953</t>
  </si>
  <si>
    <t>ORDA865E351</t>
  </si>
  <si>
    <t>CUST3127</t>
  </si>
  <si>
    <t>ORD5803E7B2</t>
  </si>
  <si>
    <t>CUST9289</t>
  </si>
  <si>
    <t>ORD8C0D32D9</t>
  </si>
  <si>
    <t>CUST7075</t>
  </si>
  <si>
    <t>ORD866CEAB6</t>
  </si>
  <si>
    <t>2025-10-08</t>
  </si>
  <si>
    <t>CUST9427</t>
  </si>
  <si>
    <t>ORDEFED1C50</t>
  </si>
  <si>
    <t>CUST4822</t>
  </si>
  <si>
    <t>ORDB390688C</t>
  </si>
  <si>
    <t>CUST7960</t>
  </si>
  <si>
    <t>ORDA1C96460</t>
  </si>
  <si>
    <t>CUST5296</t>
  </si>
  <si>
    <t>ORD460E0188</t>
  </si>
  <si>
    <t>CUST9412</t>
  </si>
  <si>
    <t>ORDEF98006A</t>
  </si>
  <si>
    <t>2025-10-09</t>
  </si>
  <si>
    <t>CUST8813</t>
  </si>
  <si>
    <t>ORD6A46CE7C</t>
  </si>
  <si>
    <t>CUST8536</t>
  </si>
  <si>
    <t>ORDD93150BB</t>
  </si>
  <si>
    <t>CUST9988</t>
  </si>
  <si>
    <t>ORD47FFA5D1</t>
  </si>
  <si>
    <t>CUST5299</t>
  </si>
  <si>
    <t>ORDDF95252D</t>
  </si>
  <si>
    <t>CUST6620</t>
  </si>
  <si>
    <t>ORD1354999E</t>
  </si>
  <si>
    <t>CUST3034</t>
  </si>
  <si>
    <t>ORDCEB03674</t>
  </si>
  <si>
    <t>CUST2441</t>
  </si>
  <si>
    <t>ORD669728C6</t>
  </si>
  <si>
    <t>2025-10-10</t>
  </si>
  <si>
    <t>ORD150FE450</t>
  </si>
  <si>
    <t>CUST6783</t>
  </si>
  <si>
    <t>ORDDAFFC71C</t>
  </si>
  <si>
    <t>CUST1208</t>
  </si>
  <si>
    <t>ORDEAC9663E</t>
  </si>
  <si>
    <t>2025-10-11</t>
  </si>
  <si>
    <t>CUST5981</t>
  </si>
  <si>
    <t>ORDCE79CBBA</t>
  </si>
  <si>
    <t>CUST5995</t>
  </si>
  <si>
    <t>ORD718A9EB5</t>
  </si>
  <si>
    <t>CUST7450</t>
  </si>
  <si>
    <t>ORD6E751104</t>
  </si>
  <si>
    <t>CUST5586</t>
  </si>
  <si>
    <t>ORD177C0CAB</t>
  </si>
  <si>
    <t>2025-10-12</t>
  </si>
  <si>
    <t>ORD18A66171</t>
  </si>
  <si>
    <t>CUST8532</t>
  </si>
  <si>
    <t>ORD1B6E0F1D</t>
  </si>
  <si>
    <t>CUST6519</t>
  </si>
  <si>
    <t>ORD2699A6C6</t>
  </si>
  <si>
    <t>2025-10-13</t>
  </si>
  <si>
    <t>CUST5455</t>
  </si>
  <si>
    <t>ORD7E808194</t>
  </si>
  <si>
    <t>ORDA41431AA</t>
  </si>
  <si>
    <t>CUST8716</t>
  </si>
  <si>
    <t>ORDC1D78D76</t>
  </si>
  <si>
    <t>CUST9335</t>
  </si>
  <si>
    <t>ORDB7C9D2AA</t>
  </si>
  <si>
    <t>CUST8000</t>
  </si>
  <si>
    <t>ORD8A1E492A</t>
  </si>
  <si>
    <t>CUST7697</t>
  </si>
  <si>
    <t>ORDCCE5D37C</t>
  </si>
  <si>
    <t>2025-10-14</t>
  </si>
  <si>
    <t>ORD5CDEAB49</t>
  </si>
  <si>
    <t>CUST9821</t>
  </si>
  <si>
    <t>ORD7FB59C22</t>
  </si>
  <si>
    <t>CUST3611</t>
  </si>
  <si>
    <t>ORD08FC82F2</t>
  </si>
  <si>
    <t>CUST7738</t>
  </si>
  <si>
    <t>ORDA4ED4233</t>
  </si>
  <si>
    <t>CUST2629</t>
  </si>
  <si>
    <t>ORD01EE0FDF</t>
  </si>
  <si>
    <t>ORDE02E17CF</t>
  </si>
  <si>
    <t>ORDFBB3149D</t>
  </si>
  <si>
    <t>2025-10-15</t>
  </si>
  <si>
    <t>CUST5778</t>
  </si>
  <si>
    <t>ORDAB6A0993</t>
  </si>
  <si>
    <t>CUST7078</t>
  </si>
  <si>
    <t>ORD5C6CF9D9</t>
  </si>
  <si>
    <t>ORDCF1B984B</t>
  </si>
  <si>
    <t>CUST9599</t>
  </si>
  <si>
    <t>ORD063C8E29</t>
  </si>
  <si>
    <t>2025-10-16</t>
  </si>
  <si>
    <t>CUST9579</t>
  </si>
  <si>
    <t>ORDED52C91C</t>
  </si>
  <si>
    <t>CUST4170</t>
  </si>
  <si>
    <t>ORDEF178CB1</t>
  </si>
  <si>
    <t>CUST9531</t>
  </si>
  <si>
    <t>ORD1BFD68F4</t>
  </si>
  <si>
    <t>CUST8369</t>
  </si>
  <si>
    <t>ORD82660D6B</t>
  </si>
  <si>
    <t>CUST3956</t>
  </si>
  <si>
    <t>ORD2FB2577F</t>
  </si>
  <si>
    <t>2025-10-17</t>
  </si>
  <si>
    <t>CUST4495</t>
  </si>
  <si>
    <t>ORD3CD9479C</t>
  </si>
  <si>
    <t>CUST9118</t>
  </si>
  <si>
    <t>ORD7CF51533</t>
  </si>
  <si>
    <t>CUST9957</t>
  </si>
  <si>
    <t>ORD5D1ED606</t>
  </si>
  <si>
    <t>2025-10-18</t>
  </si>
  <si>
    <t>ORD6397D7F3</t>
  </si>
  <si>
    <t>CUST3427</t>
  </si>
  <si>
    <t>ORD20DC2001</t>
  </si>
  <si>
    <t>ORD3D3B132B</t>
  </si>
  <si>
    <t>2025-10-19</t>
  </si>
  <si>
    <t>CUST2719</t>
  </si>
  <si>
    <t>ORD6D42AE65</t>
  </si>
  <si>
    <t>CUST7673</t>
  </si>
  <si>
    <t>ORD5ACB557F</t>
  </si>
  <si>
    <t>CUST6433</t>
  </si>
  <si>
    <t>ORDAF49DC6A</t>
  </si>
  <si>
    <t>ORDA95CBC38</t>
  </si>
  <si>
    <t>ORDF3BF0CEC</t>
  </si>
  <si>
    <t>CUST2946</t>
  </si>
  <si>
    <t>ORDCBA769D7</t>
  </si>
  <si>
    <t>CUST8041</t>
  </si>
  <si>
    <t>ORD7A5144F3</t>
  </si>
  <si>
    <t>CUST9270</t>
  </si>
  <si>
    <t>ORDE144245A</t>
  </si>
  <si>
    <t>2025-10-20</t>
  </si>
  <si>
    <t>ORD712BC4E4</t>
  </si>
  <si>
    <t>CUST2963</t>
  </si>
  <si>
    <t>ORDE778BBEE</t>
  </si>
  <si>
    <t>CUST8679</t>
  </si>
  <si>
    <t>ORD1A271D74</t>
  </si>
  <si>
    <t>CUST7742</t>
  </si>
  <si>
    <t>ORDD06C03E1</t>
  </si>
  <si>
    <t>2025-10-21</t>
  </si>
  <si>
    <t>CUST8325</t>
  </si>
  <si>
    <t>ORDE7CEDB88</t>
  </si>
  <si>
    <t>ORD1A81EF7F</t>
  </si>
  <si>
    <t>CUST6095</t>
  </si>
  <si>
    <t>ORDF6C241E8</t>
  </si>
  <si>
    <t>2025-10-22</t>
  </si>
  <si>
    <t>CUST4953</t>
  </si>
  <si>
    <t>ORDEE1E71CF</t>
  </si>
  <si>
    <t>ORDD8B73538</t>
  </si>
  <si>
    <t>CUST6057</t>
  </si>
  <si>
    <t>ORDFFCBE0FF</t>
  </si>
  <si>
    <t>CUST7531</t>
  </si>
  <si>
    <t>ORD507DCEBD</t>
  </si>
  <si>
    <t>CUST6815</t>
  </si>
  <si>
    <t>ORDCE811666</t>
  </si>
  <si>
    <t>ORD686AD90E</t>
  </si>
  <si>
    <t>2025-10-23</t>
  </si>
  <si>
    <t>CUST5610</t>
  </si>
  <si>
    <t>ORD89CFF058</t>
  </si>
  <si>
    <t>ORD219EB5B6</t>
  </si>
  <si>
    <t>CUST1014</t>
  </si>
  <si>
    <t>ORD46C8DB24</t>
  </si>
  <si>
    <t>CUST9423</t>
  </si>
  <si>
    <t>ORDE4FC629C</t>
  </si>
  <si>
    <t>ORDAA09BFDF</t>
  </si>
  <si>
    <t>2025-10-24</t>
  </si>
  <si>
    <t>CUST7590</t>
  </si>
  <si>
    <t>ORD963ED2D5</t>
  </si>
  <si>
    <t>CUST6792</t>
  </si>
  <si>
    <t>ORDE23D5291</t>
  </si>
  <si>
    <t>ORDA2F6A682</t>
  </si>
  <si>
    <t>CUST7361</t>
  </si>
  <si>
    <t>ORD2A20E2FA</t>
  </si>
  <si>
    <t>2025-10-25</t>
  </si>
  <si>
    <t>CUST3335</t>
  </si>
  <si>
    <t>ORD3BDE5937</t>
  </si>
  <si>
    <t>CUST5749</t>
  </si>
  <si>
    <t>ORDBDB8076B</t>
  </si>
  <si>
    <t>CUST1068</t>
  </si>
  <si>
    <t>ORDD72ACB7D</t>
  </si>
  <si>
    <t>CUST5450</t>
  </si>
  <si>
    <t>ORDB37AE65B</t>
  </si>
  <si>
    <t>CUST7576</t>
  </si>
  <si>
    <t>ORD980FBA45</t>
  </si>
  <si>
    <t>ORDB0107A10</t>
  </si>
  <si>
    <t>2025-10-26</t>
  </si>
  <si>
    <t>CUST7867</t>
  </si>
  <si>
    <t>ORDCD24C540</t>
  </si>
  <si>
    <t>CUST6471</t>
  </si>
  <si>
    <t>ORD0DE6E633</t>
  </si>
  <si>
    <t>CUST5796</t>
  </si>
  <si>
    <t>ORD16444F63</t>
  </si>
  <si>
    <t>CUST3129</t>
  </si>
  <si>
    <t>ORDA2644AE2</t>
  </si>
  <si>
    <t>CUST7097</t>
  </si>
  <si>
    <t>ORD1F5A51D8</t>
  </si>
  <si>
    <t>CUST9477</t>
  </si>
  <si>
    <t>ORDA211D3B6</t>
  </si>
  <si>
    <t>CUST8474</t>
  </si>
  <si>
    <t>ORD1885B01E</t>
  </si>
  <si>
    <t>2025-10-27</t>
  </si>
  <si>
    <t>CUST1658</t>
  </si>
  <si>
    <t>ORD9DFEED9F</t>
  </si>
  <si>
    <t>CUST3946</t>
  </si>
  <si>
    <t>ORDCFB77A49</t>
  </si>
  <si>
    <t>CUST8560</t>
  </si>
  <si>
    <t>ORD5D98E90F</t>
  </si>
  <si>
    <t>CUST1045</t>
  </si>
  <si>
    <t>ORDBA501E14</t>
  </si>
  <si>
    <t>ORDEDDD0E28</t>
  </si>
  <si>
    <t>CUST8769</t>
  </si>
  <si>
    <t>ORD15F51231</t>
  </si>
  <si>
    <t>2025-10-28</t>
  </si>
  <si>
    <t>CUST2710</t>
  </si>
  <si>
    <t>ORDF20939A8</t>
  </si>
  <si>
    <t>CUST5445</t>
  </si>
  <si>
    <t>ORD9A03CFD1</t>
  </si>
  <si>
    <t>CUST9127</t>
  </si>
  <si>
    <t>ORD4F2B54BC</t>
  </si>
  <si>
    <t>2025-10-29</t>
  </si>
  <si>
    <t>CUST5432</t>
  </si>
  <si>
    <t>ORDC4F025A2</t>
  </si>
  <si>
    <t>CUST6523</t>
  </si>
  <si>
    <t>ORD15099154</t>
  </si>
  <si>
    <t>ORD34DF874D</t>
  </si>
  <si>
    <t>CUST9399</t>
  </si>
  <si>
    <t>ORD474109C3</t>
  </si>
  <si>
    <t>CUST1241</t>
  </si>
  <si>
    <t>ORDBC4B4537</t>
  </si>
  <si>
    <t>CUST5170</t>
  </si>
  <si>
    <t>ORDE553C1C4</t>
  </si>
  <si>
    <t>CUST3955</t>
  </si>
  <si>
    <t>ORDE024A91B</t>
  </si>
  <si>
    <t>CUST5264</t>
  </si>
  <si>
    <t>ORD72DDE790</t>
  </si>
  <si>
    <t>2025-10-30</t>
  </si>
  <si>
    <t>CUST3320</t>
  </si>
  <si>
    <t>ORD767FCCD1</t>
  </si>
  <si>
    <t>CUST8762</t>
  </si>
  <si>
    <t>ORD83AE1581</t>
  </si>
  <si>
    <t>CUST5041</t>
  </si>
  <si>
    <t>ORD9918628E</t>
  </si>
  <si>
    <t>CUST9016</t>
  </si>
  <si>
    <t>ORD4915E281</t>
  </si>
  <si>
    <t>CUST4802</t>
  </si>
  <si>
    <t>ORD60EBD64B</t>
  </si>
  <si>
    <t>ORD0BECA94E</t>
  </si>
  <si>
    <t>2025-10-31</t>
  </si>
  <si>
    <t>CUST4981</t>
  </si>
  <si>
    <t>ORD87D31825</t>
  </si>
  <si>
    <t>CUST8134</t>
  </si>
  <si>
    <t>ORDBE278AB9</t>
  </si>
  <si>
    <t>ORD4ACE5609</t>
  </si>
  <si>
    <t>CUST5425</t>
  </si>
  <si>
    <t>ORD1288F951</t>
  </si>
  <si>
    <t>CUST3692</t>
  </si>
  <si>
    <t>ORD316B36AB</t>
  </si>
  <si>
    <t>CUST2790</t>
  </si>
  <si>
    <t>ORDAE4E9118</t>
  </si>
  <si>
    <t>2025-11-01</t>
  </si>
  <si>
    <t>CUST1969</t>
  </si>
  <si>
    <t>ORD8B1C8BDD</t>
  </si>
  <si>
    <t>CUST3091</t>
  </si>
  <si>
    <t>ORDB80498FB</t>
  </si>
  <si>
    <t>CUST7709</t>
  </si>
  <si>
    <t>ORDDE84E319</t>
  </si>
  <si>
    <t>ORDFC335562</t>
  </si>
  <si>
    <t>CUST4934</t>
  </si>
  <si>
    <t>ORD4CC10BDB</t>
  </si>
  <si>
    <t>2025-11-02</t>
  </si>
  <si>
    <t>CUST8494</t>
  </si>
  <si>
    <t>ORD1EC86229</t>
  </si>
  <si>
    <t>CUST8266</t>
  </si>
  <si>
    <t>ORDE8443062</t>
  </si>
  <si>
    <t>ORD01E09102</t>
  </si>
  <si>
    <t>CUST7283</t>
  </si>
  <si>
    <t>ORD6E73F741</t>
  </si>
  <si>
    <t>ORDE43EA333</t>
  </si>
  <si>
    <t>2025-11-03</t>
  </si>
  <si>
    <t>ORD77E30EA8</t>
  </si>
  <si>
    <t>CUST5947</t>
  </si>
  <si>
    <t>ORD1C16DDB8</t>
  </si>
  <si>
    <t>CUST8533</t>
  </si>
  <si>
    <t>ORD382C44EE</t>
  </si>
  <si>
    <t>2025-11-04</t>
  </si>
  <si>
    <t>CUST8093</t>
  </si>
  <si>
    <t>ORD2AB9A10E</t>
  </si>
  <si>
    <t>CUST9281</t>
  </si>
  <si>
    <t>ORD544E035C</t>
  </si>
  <si>
    <t>CUST2836</t>
  </si>
  <si>
    <t>ORDF8935AB2</t>
  </si>
  <si>
    <t>CUST8051</t>
  </si>
  <si>
    <t>ORD16020785</t>
  </si>
  <si>
    <t>CUST3806</t>
  </si>
  <si>
    <t>ORD9B734C8D</t>
  </si>
  <si>
    <t>CUST9103</t>
  </si>
  <si>
    <t>ORD3E1DD8A9</t>
  </si>
  <si>
    <t>2025-11-05</t>
  </si>
  <si>
    <t>CUST9277</t>
  </si>
  <si>
    <t>ORDCE58D882</t>
  </si>
  <si>
    <t>CUST8913</t>
  </si>
  <si>
    <t>ORDF4CD963B</t>
  </si>
  <si>
    <t>CUST6494</t>
  </si>
  <si>
    <t>ORD34CAFCFE</t>
  </si>
  <si>
    <t>CUST7899</t>
  </si>
  <si>
    <t>ORD7A9D9368</t>
  </si>
  <si>
    <t>ORD8CE61E61</t>
  </si>
  <si>
    <t>ORD4ACA67F4</t>
  </si>
  <si>
    <t>2025-11-06</t>
  </si>
  <si>
    <t>CUST2470</t>
  </si>
  <si>
    <t>ORDC1C838A1</t>
  </si>
  <si>
    <t>CUST7398</t>
  </si>
  <si>
    <t>ORD84B4C550</t>
  </si>
  <si>
    <t>CUST2923</t>
  </si>
  <si>
    <t>ORD5CE0FB0B</t>
  </si>
  <si>
    <t>2025-11-07</t>
  </si>
  <si>
    <t>CUST6960</t>
  </si>
  <si>
    <t>ORDA969C1C5</t>
  </si>
  <si>
    <t>CUST7765</t>
  </si>
  <si>
    <t>ORD8831B40E</t>
  </si>
  <si>
    <t>CUST5719</t>
  </si>
  <si>
    <t>ORDC7521A67</t>
  </si>
  <si>
    <t>CUST1215</t>
  </si>
  <si>
    <t>ORD48BD8E94</t>
  </si>
  <si>
    <t>CUST1684</t>
  </si>
  <si>
    <t>ORDA4FB1EAB</t>
  </si>
  <si>
    <t>2025-11-08</t>
  </si>
  <si>
    <t>CUST8783</t>
  </si>
  <si>
    <t>ORD1122EDB0</t>
  </si>
  <si>
    <t>CUST2484</t>
  </si>
  <si>
    <t>ORD78E96BFD</t>
  </si>
  <si>
    <t>CUST5456</t>
  </si>
  <si>
    <t>ORD803882AA</t>
  </si>
  <si>
    <t>CUST3983</t>
  </si>
  <si>
    <t>ORDBC130BC6</t>
  </si>
  <si>
    <t>CUST6705</t>
  </si>
  <si>
    <t>ORDF7EBBBCC</t>
  </si>
  <si>
    <t>2025-11-09</t>
  </si>
  <si>
    <t>CUST1346</t>
  </si>
  <si>
    <t>ORD487BFD99</t>
  </si>
  <si>
    <t>ORDB2367C33</t>
  </si>
  <si>
    <t>CUST5094</t>
  </si>
  <si>
    <t>ORD2C54B9FA</t>
  </si>
  <si>
    <t>CUST7080</t>
  </si>
  <si>
    <t>ORD95C0A382</t>
  </si>
  <si>
    <t>CUST2274</t>
  </si>
  <si>
    <t>ORD846EC034</t>
  </si>
  <si>
    <t>2025-11-10</t>
  </si>
  <si>
    <t>ORD882DA065</t>
  </si>
  <si>
    <t>ORDC5DB036D</t>
  </si>
  <si>
    <t>CUST6582</t>
  </si>
  <si>
    <t>ORDF914139A</t>
  </si>
  <si>
    <t>CUST6759</t>
  </si>
  <si>
    <t>ORD350B4C7E</t>
  </si>
  <si>
    <t>CUST3323</t>
  </si>
  <si>
    <t>ORD67A66583</t>
  </si>
  <si>
    <t>CUST5912</t>
  </si>
  <si>
    <t>ORD85B552A1</t>
  </si>
  <si>
    <t>CUST4480</t>
  </si>
  <si>
    <t>ORD3A766F66</t>
  </si>
  <si>
    <t>2025-11-11</t>
  </si>
  <si>
    <t>CUST1509</t>
  </si>
  <si>
    <t>ORD5FA49A74</t>
  </si>
  <si>
    <t>CUST5680</t>
  </si>
  <si>
    <t>ORD25AF4955</t>
  </si>
  <si>
    <t>CUST8287</t>
  </si>
  <si>
    <t>ORD11460117</t>
  </si>
  <si>
    <t>CUST5493</t>
  </si>
  <si>
    <t>ORDF3D81635</t>
  </si>
  <si>
    <t>ORDF479EA6E</t>
  </si>
  <si>
    <t>ORDE64DB06F</t>
  </si>
  <si>
    <t>2025-11-12</t>
  </si>
  <si>
    <t>ORDEBD1F244</t>
  </si>
  <si>
    <t>ORD65CE382F</t>
  </si>
  <si>
    <t>ORD3C2BDB4E</t>
  </si>
  <si>
    <t>CUST3421</t>
  </si>
  <si>
    <t>ORD557FDB7B</t>
  </si>
  <si>
    <t>CUST7520</t>
  </si>
  <si>
    <t>ORDE2998659</t>
  </si>
  <si>
    <t>CUST6900</t>
  </si>
  <si>
    <t>ORD1D888EAA</t>
  </si>
  <si>
    <t>2025-11-13</t>
  </si>
  <si>
    <t>CUST2870</t>
  </si>
  <si>
    <t>ORD79E41C85</t>
  </si>
  <si>
    <t>CUST3771</t>
  </si>
  <si>
    <t>ORD4CDE02E6</t>
  </si>
  <si>
    <t>CUST1869</t>
  </si>
  <si>
    <t>ORDE0E31287</t>
  </si>
  <si>
    <t>CUST6908</t>
  </si>
  <si>
    <t>ORDDE7C63E0</t>
  </si>
  <si>
    <t>2025-11-14</t>
  </si>
  <si>
    <t>CUST1279</t>
  </si>
  <si>
    <t>ORDD2C71BC3</t>
  </si>
  <si>
    <t>ORD56CBD766</t>
  </si>
  <si>
    <t>ORD8E3D6823</t>
  </si>
  <si>
    <t>CUST7718</t>
  </si>
  <si>
    <t>ORD5DAEA872</t>
  </si>
  <si>
    <t>CUST6145</t>
  </si>
  <si>
    <t>ORDBE1858A5</t>
  </si>
  <si>
    <t>2025-11-15</t>
  </si>
  <si>
    <t>CUST4700</t>
  </si>
  <si>
    <t>ORDB7DEF6C5</t>
  </si>
  <si>
    <t>CUST7787</t>
  </si>
  <si>
    <t>ORD8986B089</t>
  </si>
  <si>
    <t>CUST1717</t>
  </si>
  <si>
    <t>ORD4D522982</t>
  </si>
  <si>
    <t>CUST7025</t>
  </si>
  <si>
    <t>ORD4E53D828</t>
  </si>
  <si>
    <t>2025-11-16</t>
  </si>
  <si>
    <t>CUST4199</t>
  </si>
  <si>
    <t>ORD55C98D8B</t>
  </si>
  <si>
    <t>CUST9835</t>
  </si>
  <si>
    <t>ORD48084314</t>
  </si>
  <si>
    <t>CUST5027</t>
  </si>
  <si>
    <t>ORD0C2709DB</t>
  </si>
  <si>
    <t>CUST7229</t>
  </si>
  <si>
    <t>ORDC093D97F</t>
  </si>
  <si>
    <t>CUST5320</t>
  </si>
  <si>
    <t>ORD9F55BB83</t>
  </si>
  <si>
    <t>2025-11-17</t>
  </si>
  <si>
    <t>ORD356C337E</t>
  </si>
  <si>
    <t>CUST5798</t>
  </si>
  <si>
    <t>ORDA3D9C0D8</t>
  </si>
  <si>
    <t>ORDA0AC937F</t>
  </si>
  <si>
    <t>CUST3656</t>
  </si>
  <si>
    <t>ORDC93824DD</t>
  </si>
  <si>
    <t>CUST3527</t>
  </si>
  <si>
    <t>ORD5173A3CD</t>
  </si>
  <si>
    <t>ORD51B68319</t>
  </si>
  <si>
    <t>CUST9236</t>
  </si>
  <si>
    <t>ORD81A4B87D</t>
  </si>
  <si>
    <t>2025-11-18</t>
  </si>
  <si>
    <t>ORDE3D4F1AF</t>
  </si>
  <si>
    <t>ORDC9E2D68E</t>
  </si>
  <si>
    <t>CUST9937</t>
  </si>
  <si>
    <t>ORD69C9BF53</t>
  </si>
  <si>
    <t>CUST7584</t>
  </si>
  <si>
    <t>ORD09B1EB59</t>
  </si>
  <si>
    <t>CUST9046</t>
  </si>
  <si>
    <t>ORD39095093</t>
  </si>
  <si>
    <t>ORD53BD83C5</t>
  </si>
  <si>
    <t>CUST2576</t>
  </si>
  <si>
    <t>ORD77BD9DC2</t>
  </si>
  <si>
    <t>CUST9620</t>
  </si>
  <si>
    <t>ORDAF04C004</t>
  </si>
  <si>
    <t>2025-11-19</t>
  </si>
  <si>
    <t>CUST4192</t>
  </si>
  <si>
    <t>ORD622A860D</t>
  </si>
  <si>
    <t>CUST9259</t>
  </si>
  <si>
    <t>ORDE84B2791</t>
  </si>
  <si>
    <t>CUST3553</t>
  </si>
  <si>
    <t>ORD38F3D407</t>
  </si>
  <si>
    <t>CUST5099</t>
  </si>
  <si>
    <t>ORD6F3BB49F</t>
  </si>
  <si>
    <t>2025-11-20</t>
  </si>
  <si>
    <t>ORD77DCACD2</t>
  </si>
  <si>
    <t>CUST6550</t>
  </si>
  <si>
    <t>ORD04E430B5</t>
  </si>
  <si>
    <t>CUST7169</t>
  </si>
  <si>
    <t>ORD615F330C</t>
  </si>
  <si>
    <t>ORD480EE40E</t>
  </si>
  <si>
    <t>CUST9904</t>
  </si>
  <si>
    <t>ORD75AFB1A6</t>
  </si>
  <si>
    <t>CUST3307</t>
  </si>
  <si>
    <t>ORD3FE6B890</t>
  </si>
  <si>
    <t>CUST9084</t>
  </si>
  <si>
    <t>ORD8D95805E</t>
  </si>
  <si>
    <t>2025-11-21</t>
  </si>
  <si>
    <t>CUST9681</t>
  </si>
  <si>
    <t>ORDAB496957</t>
  </si>
  <si>
    <t>CUST3704</t>
  </si>
  <si>
    <t>ORDFC8161BA</t>
  </si>
  <si>
    <t>CUST2114</t>
  </si>
  <si>
    <t>ORD0EB2847E</t>
  </si>
  <si>
    <t>CUST2322</t>
  </si>
  <si>
    <t>ORD00995A9D</t>
  </si>
  <si>
    <t>CUST3845</t>
  </si>
  <si>
    <t>ORD460DD235</t>
  </si>
  <si>
    <t>CUST9748</t>
  </si>
  <si>
    <t>ORDDF490C77</t>
  </si>
  <si>
    <t>2025-11-22</t>
  </si>
  <si>
    <t>ORD68C3E215</t>
  </si>
  <si>
    <t>CUST4777</t>
  </si>
  <si>
    <t>ORD47326FAD</t>
  </si>
  <si>
    <t>CUST5392</t>
  </si>
  <si>
    <t>ORD469A5AD9</t>
  </si>
  <si>
    <t>CUST9265</t>
  </si>
  <si>
    <t>ORDCCE4BF29</t>
  </si>
  <si>
    <t>CUST2838</t>
  </si>
  <si>
    <t>ORD80726487</t>
  </si>
  <si>
    <t>CUST9465</t>
  </si>
  <si>
    <t>ORD86E37032</t>
  </si>
  <si>
    <t>CUST5447</t>
  </si>
  <si>
    <t>ORD73679EF7</t>
  </si>
  <si>
    <t>2025-11-23</t>
  </si>
  <si>
    <t>ORD39C49E1C</t>
  </si>
  <si>
    <t>CUST3253</t>
  </si>
  <si>
    <t>ORD59D360F4</t>
  </si>
  <si>
    <t>CUST4510</t>
  </si>
  <si>
    <t>ORD2FA9F471</t>
  </si>
  <si>
    <t>2025-11-24</t>
  </si>
  <si>
    <t>CUST1541</t>
  </si>
  <si>
    <t>ORD6F50DD36</t>
  </si>
  <si>
    <t>ORD2CE80C9D</t>
  </si>
  <si>
    <t>CUST9004</t>
  </si>
  <si>
    <t>ORDE936BCE2</t>
  </si>
  <si>
    <t>2025-11-25</t>
  </si>
  <si>
    <t>CUST7438</t>
  </si>
  <si>
    <t>ORD0D967FA6</t>
  </si>
  <si>
    <t>CUST6110</t>
  </si>
  <si>
    <t>ORDA289440B</t>
  </si>
  <si>
    <t>CUST9303</t>
  </si>
  <si>
    <t>ORDB0706930</t>
  </si>
  <si>
    <t>CUST6877</t>
  </si>
  <si>
    <t>ORDD530F251</t>
  </si>
  <si>
    <t>ORDE3C06696</t>
  </si>
  <si>
    <t>CUST5999</t>
  </si>
  <si>
    <t>ORD0D37E4B6</t>
  </si>
  <si>
    <t>CUST5939</t>
  </si>
  <si>
    <t>ORD92268FF5</t>
  </si>
  <si>
    <t>2025-11-26</t>
  </si>
  <si>
    <t>CUST4077</t>
  </si>
  <si>
    <t>ORD165DCF9C</t>
  </si>
  <si>
    <t>CUST1692</t>
  </si>
  <si>
    <t>ORDA0A935DB</t>
  </si>
  <si>
    <t>CUST5954</t>
  </si>
  <si>
    <t>ORD1B92DE21</t>
  </si>
  <si>
    <t>CUST1815</t>
  </si>
  <si>
    <t>ORD4453C9BF</t>
  </si>
  <si>
    <t>CUST5349</t>
  </si>
  <si>
    <t>ORD28FEF32E</t>
  </si>
  <si>
    <t>CUST8721</t>
  </si>
  <si>
    <t>ORD280A5BD3</t>
  </si>
  <si>
    <t>CUST9178</t>
  </si>
  <si>
    <t>ORD9F2321BE</t>
  </si>
  <si>
    <t>CUST1321</t>
  </si>
  <si>
    <t>ORDE4348180</t>
  </si>
  <si>
    <t>2025-11-27</t>
  </si>
  <si>
    <t>ORD06968F91</t>
  </si>
  <si>
    <t>CUST4379</t>
  </si>
  <si>
    <t>ORDE022F2EB</t>
  </si>
  <si>
    <t>CUST8881</t>
  </si>
  <si>
    <t>ORDCB5AB06B</t>
  </si>
  <si>
    <t>CUST6575</t>
  </si>
  <si>
    <t>ORD957C97B7</t>
  </si>
  <si>
    <t>CUST8674</t>
  </si>
  <si>
    <t>ORDB2E3F996</t>
  </si>
  <si>
    <t>CUST9359</t>
  </si>
  <si>
    <t>ORDE5BCBE7E</t>
  </si>
  <si>
    <t>2025-11-28</t>
  </si>
  <si>
    <t>CUST8056</t>
  </si>
  <si>
    <t>ORD596C2D8A</t>
  </si>
  <si>
    <t>CUST3632</t>
  </si>
  <si>
    <t>ORD22BDFC23</t>
  </si>
  <si>
    <t>CUST8968</t>
  </si>
  <si>
    <t>ORDD4D843DF</t>
  </si>
  <si>
    <t>CUST2609</t>
  </si>
  <si>
    <t>ORDBB126E5A</t>
  </si>
  <si>
    <t>ORDF5E53881</t>
  </si>
  <si>
    <t>CUST5428</t>
  </si>
  <si>
    <t>ORD4C8B4C4A</t>
  </si>
  <si>
    <t>ORDFA0BBD25</t>
  </si>
  <si>
    <t>CUST6004</t>
  </si>
  <si>
    <t>ORD6A66384F</t>
  </si>
  <si>
    <t>2025-11-29</t>
  </si>
  <si>
    <t>CUST3113</t>
  </si>
  <si>
    <t>ORD9A68A60E</t>
  </si>
  <si>
    <t>CUST6854</t>
  </si>
  <si>
    <t>ORDFD6F8DCB</t>
  </si>
  <si>
    <t>CUST4987</t>
  </si>
  <si>
    <t>ORDEE2D3FDF</t>
  </si>
  <si>
    <t>ORD3F9E455C</t>
  </si>
  <si>
    <t>ORDDE1FB169</t>
  </si>
  <si>
    <t>2025-11-30</t>
  </si>
  <si>
    <t>CUST2258</t>
  </si>
  <si>
    <t>ORD04460AE2</t>
  </si>
  <si>
    <t>CUST7156</t>
  </si>
  <si>
    <t>ORD5C36C495</t>
  </si>
  <si>
    <t>CUST3882</t>
  </si>
  <si>
    <t>ORDA3B3D165</t>
  </si>
  <si>
    <t>CUST5318</t>
  </si>
  <si>
    <t>ORD88141209</t>
  </si>
  <si>
    <t>ORDEA7A297C</t>
  </si>
  <si>
    <t>CUST5127</t>
  </si>
  <si>
    <t>ORDED12D721</t>
  </si>
  <si>
    <t>CUST6258</t>
  </si>
  <si>
    <t>ORD378151C7</t>
  </si>
  <si>
    <t>ORDD8CD4248</t>
  </si>
  <si>
    <t>2025-12-01</t>
  </si>
  <si>
    <t>CUST3384</t>
  </si>
  <si>
    <t>ORD969CE28B</t>
  </si>
  <si>
    <t>CUST7614</t>
  </si>
  <si>
    <t>ORD4BC9441C</t>
  </si>
  <si>
    <t>CUST3984</t>
  </si>
  <si>
    <t>ORD7E1E6175</t>
  </si>
  <si>
    <t>CUST8615</t>
  </si>
  <si>
    <t>ORD1E0244EE</t>
  </si>
  <si>
    <t>CUST6396</t>
  </si>
  <si>
    <t>ORDACE44F81</t>
  </si>
  <si>
    <t>CUST3009</t>
  </si>
  <si>
    <t>ORDC7FFED78</t>
  </si>
  <si>
    <t>CUST2821</t>
  </si>
  <si>
    <t>ORDF9AEF6F0</t>
  </si>
  <si>
    <t>2025-12-02</t>
  </si>
  <si>
    <t>ORD848A9600</t>
  </si>
  <si>
    <t>CUST4120</t>
  </si>
  <si>
    <t>ORD1676E800</t>
  </si>
  <si>
    <t>CUST7369</t>
  </si>
  <si>
    <t>ORD897A3B8F</t>
  </si>
  <si>
    <t>ORDDC6B5D35</t>
  </si>
  <si>
    <t>CUST8590</t>
  </si>
  <si>
    <t>ORD95EF26AA</t>
  </si>
  <si>
    <t>ORDD6F71F1F</t>
  </si>
  <si>
    <t>2025-12-03</t>
  </si>
  <si>
    <t>ORDD716D081</t>
  </si>
  <si>
    <t>ORD2517197C</t>
  </si>
  <si>
    <t>CUST6285</t>
  </si>
  <si>
    <t>ORD8A7513EA</t>
  </si>
  <si>
    <t>CUST7633</t>
  </si>
  <si>
    <t>ORDF85503F0</t>
  </si>
  <si>
    <t>ORD2CD6D422</t>
  </si>
  <si>
    <t>CUST5072</t>
  </si>
  <si>
    <t>ORD781ECFD9</t>
  </si>
  <si>
    <t>CUST2918</t>
  </si>
  <si>
    <t>ORDD8CD4A40</t>
  </si>
  <si>
    <t>2025-12-04</t>
  </si>
  <si>
    <t>CUST1776</t>
  </si>
  <si>
    <t>ORDE038E162</t>
  </si>
  <si>
    <t>CUST2226</t>
  </si>
  <si>
    <t>ORDEAAA76C1</t>
  </si>
  <si>
    <t>CUST4122</t>
  </si>
  <si>
    <t>ORDF4A43DA2</t>
  </si>
  <si>
    <t>CUST8952</t>
  </si>
  <si>
    <t>ORD92DB8DC1</t>
  </si>
  <si>
    <t>2025-12-05</t>
  </si>
  <si>
    <t>CUST2158</t>
  </si>
  <si>
    <t>ORD8F6ABE00</t>
  </si>
  <si>
    <t>CUST3288</t>
  </si>
  <si>
    <t>ORD48D780C3</t>
  </si>
  <si>
    <t>CUST9877</t>
  </si>
  <si>
    <t>ORDCCBEFD3B</t>
  </si>
  <si>
    <t>CUST2805</t>
  </si>
  <si>
    <t>ORDE696372B</t>
  </si>
  <si>
    <t>2025-12-06</t>
  </si>
  <si>
    <t>CUST2256</t>
  </si>
  <si>
    <t>ORD62D766A7</t>
  </si>
  <si>
    <t>CUST7085</t>
  </si>
  <si>
    <t>ORDA8BAEDBB</t>
  </si>
  <si>
    <t>CUST5663</t>
  </si>
  <si>
    <t>ORD361832E3</t>
  </si>
  <si>
    <t>CUST5345</t>
  </si>
  <si>
    <t>ORDB944D20E</t>
  </si>
  <si>
    <t>CUST1113</t>
  </si>
  <si>
    <t>ORDD8389F8E</t>
  </si>
  <si>
    <t>CUST4274</t>
  </si>
  <si>
    <t>ORD93E17B42</t>
  </si>
  <si>
    <t>ORD08A199F5</t>
  </si>
  <si>
    <t>CUST5138</t>
  </si>
  <si>
    <t>ORD8ED3E8B6</t>
  </si>
  <si>
    <t>2025-12-07</t>
  </si>
  <si>
    <t>CUST8937</t>
  </si>
  <si>
    <t>ORD1FA20179</t>
  </si>
  <si>
    <t>CUST2564</t>
  </si>
  <si>
    <t>ORD11A93393</t>
  </si>
  <si>
    <t>CUST2331</t>
  </si>
  <si>
    <t>ORD967A339A</t>
  </si>
  <si>
    <t>CUST1175</t>
  </si>
  <si>
    <t>ORDBAE29683</t>
  </si>
  <si>
    <t>CUST1294</t>
  </si>
  <si>
    <t>ORDAE1B5C4C</t>
  </si>
  <si>
    <t>CUST1587</t>
  </si>
  <si>
    <t>ORDDB94350A</t>
  </si>
  <si>
    <t>2025-12-08</t>
  </si>
  <si>
    <t>CUST3775</t>
  </si>
  <si>
    <t>ORDE468C02E</t>
  </si>
  <si>
    <t>ORDEC8CC18F</t>
  </si>
  <si>
    <t>CUST8270</t>
  </si>
  <si>
    <t>ORD9563D1E9</t>
  </si>
  <si>
    <t>CUST8376</t>
  </si>
  <si>
    <t>ORD7699AAAD</t>
  </si>
  <si>
    <t>CUST3217</t>
  </si>
  <si>
    <t>ORDFA1233E2</t>
  </si>
  <si>
    <t>2025-12-09</t>
  </si>
  <si>
    <t>CUST6691</t>
  </si>
  <si>
    <t>ORDD344FEE5</t>
  </si>
  <si>
    <t>ORD3FED3AEB</t>
  </si>
  <si>
    <t>CUST1865</t>
  </si>
  <si>
    <t>ORD376CEC0C</t>
  </si>
  <si>
    <t>CUST7470</t>
  </si>
  <si>
    <t>ORDCFC41D89</t>
  </si>
  <si>
    <t>CUST2340</t>
  </si>
  <si>
    <t>ORD5AA9B2A8</t>
  </si>
  <si>
    <t>2025-12-10</t>
  </si>
  <si>
    <t>ORDEA910BBE</t>
  </si>
  <si>
    <t>CUST8275</t>
  </si>
  <si>
    <t>ORDC681F3B6</t>
  </si>
  <si>
    <t>CUST3994</t>
  </si>
  <si>
    <t>ORD0ADAD565</t>
  </si>
  <si>
    <t>CUST2795</t>
  </si>
  <si>
    <t>ORD43396626</t>
  </si>
  <si>
    <t>CUST5089</t>
  </si>
  <si>
    <t>ORD80DF1FFD</t>
  </si>
  <si>
    <t>2025-12-11</t>
  </si>
  <si>
    <t>ORD85B9CABE</t>
  </si>
  <si>
    <t>ORDC8BCB758</t>
  </si>
  <si>
    <t>CUST6943</t>
  </si>
  <si>
    <t>ORD2E326ACE</t>
  </si>
  <si>
    <t>CUST5797</t>
  </si>
  <si>
    <t>ORD29725621</t>
  </si>
  <si>
    <t>2025-12-12</t>
  </si>
  <si>
    <t>CUST2243</t>
  </si>
  <si>
    <t>ORD03A1C8B2</t>
  </si>
  <si>
    <t>ORD36118A85</t>
  </si>
  <si>
    <t>CUST6033</t>
  </si>
  <si>
    <t>ORD3B50D713</t>
  </si>
  <si>
    <t>CUST1883</t>
  </si>
  <si>
    <t>ORD7130CF21</t>
  </si>
  <si>
    <t>ORD6410B7CB</t>
  </si>
  <si>
    <t>ORDFD23107D</t>
  </si>
  <si>
    <t>CUST4272</t>
  </si>
  <si>
    <t>ORDAD39E943</t>
  </si>
  <si>
    <t>2025-12-13</t>
  </si>
  <si>
    <t>CUST8840</t>
  </si>
  <si>
    <t>ORD89BA76FA</t>
  </si>
  <si>
    <t>ORD9213C868</t>
  </si>
  <si>
    <t>CUST4715</t>
  </si>
  <si>
    <t>ORD6D054A08</t>
  </si>
  <si>
    <t>ORD8F9B34ED</t>
  </si>
  <si>
    <t>CUST5441</t>
  </si>
  <si>
    <t>ORD8A693BF9</t>
  </si>
  <si>
    <t>CUST9025</t>
  </si>
  <si>
    <t>ORD12D96089</t>
  </si>
  <si>
    <t>2025-12-14</t>
  </si>
  <si>
    <t>ORD672DE370</t>
  </si>
  <si>
    <t>CUST6216</t>
  </si>
  <si>
    <t>ORD7D975F51</t>
  </si>
  <si>
    <t>ORDDB0C8BAE</t>
  </si>
  <si>
    <t>CUST2373</t>
  </si>
  <si>
    <t>ORD4AC5D7F7</t>
  </si>
  <si>
    <t>CUST4596</t>
  </si>
  <si>
    <t>ORDEE064A40</t>
  </si>
  <si>
    <t>CUST2932</t>
  </si>
  <si>
    <t>ORD19035B12</t>
  </si>
  <si>
    <t>CUST8162</t>
  </si>
  <si>
    <t>ORD61BFA24C</t>
  </si>
  <si>
    <t>2025-12-15</t>
  </si>
  <si>
    <t>CUST4069</t>
  </si>
  <si>
    <t>ORD7E69E899</t>
  </si>
  <si>
    <t>CUST6857</t>
  </si>
  <si>
    <t>ORD5315EE64</t>
  </si>
  <si>
    <t>CUST4443</t>
  </si>
  <si>
    <t>ORD91119141</t>
  </si>
  <si>
    <t>ORDBD6E5DD9</t>
  </si>
  <si>
    <t>ORDCAF6EE25</t>
  </si>
  <si>
    <t>2025-12-16</t>
  </si>
  <si>
    <t>CUST3282</t>
  </si>
  <si>
    <t>ORD92333AAB</t>
  </si>
  <si>
    <t>CUST4713</t>
  </si>
  <si>
    <t>ORD6DB46BB2</t>
  </si>
  <si>
    <t>CUST9204</t>
  </si>
  <si>
    <t>ORDA58D4CDC</t>
  </si>
  <si>
    <t>ORD9CFE8382</t>
  </si>
  <si>
    <t>CUST3254</t>
  </si>
  <si>
    <t>ORD57BA4ACC</t>
  </si>
  <si>
    <t>ORD70650B1A</t>
  </si>
  <si>
    <t>CUST9388</t>
  </si>
  <si>
    <t>ORD48756985</t>
  </si>
  <si>
    <t>2025-12-17</t>
  </si>
  <si>
    <t>CUST5165</t>
  </si>
  <si>
    <t>ORD7ECA8D19</t>
  </si>
  <si>
    <t>CUST3103</t>
  </si>
  <si>
    <t>ORD908B3B02</t>
  </si>
  <si>
    <t>CUST1028</t>
  </si>
  <si>
    <t>ORD300207BA</t>
  </si>
  <si>
    <t>CUST1407</t>
  </si>
  <si>
    <t>ORD6D71AF0A</t>
  </si>
  <si>
    <t>ORD625A1BED</t>
  </si>
  <si>
    <t>2025-12-18</t>
  </si>
  <si>
    <t>CUST6775</t>
  </si>
  <si>
    <t>ORD163910A2</t>
  </si>
  <si>
    <t>CUST4683</t>
  </si>
  <si>
    <t>ORDC2DADFB1</t>
  </si>
  <si>
    <t>CUST1640</t>
  </si>
  <si>
    <t>ORDC63761E5</t>
  </si>
  <si>
    <t>CUST3150</t>
  </si>
  <si>
    <t>ORD7E5722BA</t>
  </si>
  <si>
    <t>CUST8709</t>
  </si>
  <si>
    <t>ORD76EAD7F6</t>
  </si>
  <si>
    <t>CUST7768</t>
  </si>
  <si>
    <t>ORDB3F77ADC</t>
  </si>
  <si>
    <t>CUST6198</t>
  </si>
  <si>
    <t>ORD65CC61E5</t>
  </si>
  <si>
    <t>2025-12-19</t>
  </si>
  <si>
    <t>CUST3177</t>
  </si>
  <si>
    <t>ORD165C7EDC</t>
  </si>
  <si>
    <t>CUST6527</t>
  </si>
  <si>
    <t>ORD1C488AFB</t>
  </si>
  <si>
    <t>CUST2532</t>
  </si>
  <si>
    <t>ORD08D160EE</t>
  </si>
  <si>
    <t>ORD278CF89D</t>
  </si>
  <si>
    <t>CUST6264</t>
  </si>
  <si>
    <t>ORDD4B0D838</t>
  </si>
  <si>
    <t>CUST7969</t>
  </si>
  <si>
    <t>ORDFB368AE2</t>
  </si>
  <si>
    <t>CUST5977</t>
  </si>
  <si>
    <t>ORD8EFA344D</t>
  </si>
  <si>
    <t>2025-12-20</t>
  </si>
  <si>
    <t>CUST5575</t>
  </si>
  <si>
    <t>ORD377508EE</t>
  </si>
  <si>
    <t>ORDE8F01CB0</t>
  </si>
  <si>
    <t>CUST1290</t>
  </si>
  <si>
    <t>ORDF518765F</t>
  </si>
  <si>
    <t>CUST2245</t>
  </si>
  <si>
    <t>ORD8C0EAEB1</t>
  </si>
  <si>
    <t>CUST2107</t>
  </si>
  <si>
    <t>ORDAB2BD8E5</t>
  </si>
  <si>
    <t>CUST4581</t>
  </si>
  <si>
    <t>ORDA4EEDE02</t>
  </si>
  <si>
    <t>CUST1949</t>
  </si>
  <si>
    <t>ORD76086196</t>
  </si>
  <si>
    <t>CUST6456</t>
  </si>
  <si>
    <t>ORD225995CE</t>
  </si>
  <si>
    <t>2025-12-21</t>
  </si>
  <si>
    <t>CUST6245</t>
  </si>
  <si>
    <t>ORD2AC2B108</t>
  </si>
  <si>
    <t>CUST1594</t>
  </si>
  <si>
    <t>ORD860A853C</t>
  </si>
  <si>
    <t>CUST3230</t>
  </si>
  <si>
    <t>ORDC43A0C03</t>
  </si>
  <si>
    <t>CUST7163</t>
  </si>
  <si>
    <t>ORD229F7127</t>
  </si>
  <si>
    <t>2025-12-22</t>
  </si>
  <si>
    <t>CUST8390</t>
  </si>
  <si>
    <t>ORD58EAA706</t>
  </si>
  <si>
    <t>CUST3244</t>
  </si>
  <si>
    <t>ORDDDA5D46B</t>
  </si>
  <si>
    <t>ORD65718B90</t>
  </si>
  <si>
    <t>CUST3717</t>
  </si>
  <si>
    <t>ORD1F935113</t>
  </si>
  <si>
    <t>2025-12-23</t>
  </si>
  <si>
    <t>ORD79F1E6B9</t>
  </si>
  <si>
    <t>CUST8054</t>
  </si>
  <si>
    <t>ORDD2617851</t>
  </si>
  <si>
    <t>CUST5695</t>
  </si>
  <si>
    <t>ORD93A00DEB</t>
  </si>
  <si>
    <t>ORD0448CCDC</t>
  </si>
  <si>
    <t>CUST4258</t>
  </si>
  <si>
    <t>ORD49A48B60</t>
  </si>
  <si>
    <t>CUST8199</t>
  </si>
  <si>
    <t>ORD75E180D9</t>
  </si>
  <si>
    <t>2025-12-24</t>
  </si>
  <si>
    <t>ORD3B2FDD3D</t>
  </si>
  <si>
    <t>CUST3936</t>
  </si>
  <si>
    <t>ORD9F8D3F11</t>
  </si>
  <si>
    <t>CUST2804</t>
  </si>
  <si>
    <t>ORD4AE03A24</t>
  </si>
  <si>
    <t>ORD3EE10B54</t>
  </si>
  <si>
    <t>CUST3814</t>
  </si>
  <si>
    <t>ORD7FD5553C</t>
  </si>
  <si>
    <t>CUST7716</t>
  </si>
  <si>
    <t>ORDCD7FE33E</t>
  </si>
  <si>
    <t>2025-12-25</t>
  </si>
  <si>
    <t>CUST2044</t>
  </si>
  <si>
    <t>ORD25C215BE</t>
  </si>
  <si>
    <t>CUST3342</t>
  </si>
  <si>
    <t>ORD70F0866A</t>
  </si>
  <si>
    <t>ORDE3184023</t>
  </si>
  <si>
    <t>2025-12-26</t>
  </si>
  <si>
    <t>CUST2164</t>
  </si>
  <si>
    <t>ORD3843F2FE</t>
  </si>
  <si>
    <t>CUST9131</t>
  </si>
  <si>
    <t>ORD672A8616</t>
  </si>
  <si>
    <t>CUST5899</t>
  </si>
  <si>
    <t>ORD97EFCBE5</t>
  </si>
  <si>
    <t>ORD32FF62D7</t>
  </si>
  <si>
    <t>CUST9760</t>
  </si>
  <si>
    <t>ORDBCCBC100</t>
  </si>
  <si>
    <t>CUST2716</t>
  </si>
  <si>
    <t>ORD3C210E23</t>
  </si>
  <si>
    <t>CUST3162</t>
  </si>
  <si>
    <t>ORD20601A05</t>
  </si>
  <si>
    <t>CUST5747</t>
  </si>
  <si>
    <t>ORDAD96AB2F</t>
  </si>
  <si>
    <t>2025-12-27</t>
  </si>
  <si>
    <t>ORD53375B8B</t>
  </si>
  <si>
    <t>CUST5562</t>
  </si>
  <si>
    <t>ORD2E146635</t>
  </si>
  <si>
    <t>CUST6919</t>
  </si>
  <si>
    <t>ORDE10EE684</t>
  </si>
  <si>
    <t>CUST4403</t>
  </si>
  <si>
    <t>ORDE3B8EC79</t>
  </si>
  <si>
    <t>CUST6037</t>
  </si>
  <si>
    <t>ORD8B922A2D</t>
  </si>
  <si>
    <t>ORDC3C79FA2</t>
  </si>
  <si>
    <t>2025-12-28</t>
  </si>
  <si>
    <t>CUST3111</t>
  </si>
  <si>
    <t>ORD725DE900</t>
  </si>
  <si>
    <t>CUST3648</t>
  </si>
  <si>
    <t>ORDA594DB3A</t>
  </si>
  <si>
    <t>ORD43EF5810</t>
  </si>
  <si>
    <t>CUST7353</t>
  </si>
  <si>
    <t>ORD0DD69CAA</t>
  </si>
  <si>
    <t>ORD1D6226EF</t>
  </si>
  <si>
    <t>2025-12-29</t>
  </si>
  <si>
    <t>CUST2568</t>
  </si>
  <si>
    <t>ORD78D36083</t>
  </si>
  <si>
    <t>CUST8009</t>
  </si>
  <si>
    <t>ORD6052C93B</t>
  </si>
  <si>
    <t>ORD90C04D6D</t>
  </si>
  <si>
    <t>CUST5140</t>
  </si>
  <si>
    <t>ORDBFC152A2</t>
  </si>
  <si>
    <t>CUST6257</t>
  </si>
  <si>
    <t>ORDD9A3FD25</t>
  </si>
  <si>
    <t>2025-12-30</t>
  </si>
  <si>
    <t>CUST7543</t>
  </si>
  <si>
    <t>ORD92D88698</t>
  </si>
  <si>
    <t>CUST9740</t>
  </si>
  <si>
    <t>ORD73D5BC0D</t>
  </si>
  <si>
    <t>ORD21421E9A</t>
  </si>
  <si>
    <t>2025-12-31</t>
  </si>
  <si>
    <t>CUST2493</t>
  </si>
  <si>
    <t>ORD4EA64143</t>
  </si>
  <si>
    <t>CUST6288</t>
  </si>
  <si>
    <t>ORD4CE37948</t>
  </si>
  <si>
    <t>ORD459029C1</t>
  </si>
  <si>
    <t>CUST3281</t>
  </si>
  <si>
    <t>ORD6404BA57</t>
  </si>
  <si>
    <t>CUST2643</t>
  </si>
  <si>
    <t>ORD3DC096A4</t>
  </si>
  <si>
    <t>CUST5125</t>
  </si>
  <si>
    <t>ORDD54F98AA</t>
  </si>
  <si>
    <t>Sum of Total_Revenue</t>
  </si>
  <si>
    <t>Sum of Units_Sold</t>
  </si>
  <si>
    <t>Row Labels</t>
  </si>
  <si>
    <t>Grand Total</t>
  </si>
  <si>
    <t>(All)</t>
  </si>
  <si>
    <t>Count of Product</t>
  </si>
  <si>
    <t>Total Sum of Total_Revenue</t>
  </si>
  <si>
    <t>Total Sum of Units_Sold</t>
  </si>
  <si>
    <t>Count of Customer_ID</t>
  </si>
  <si>
    <t>Column1</t>
  </si>
  <si>
    <t>Mean</t>
  </si>
  <si>
    <t>Standard Error</t>
  </si>
  <si>
    <t>Median</t>
  </si>
  <si>
    <t>Mode</t>
  </si>
  <si>
    <t>Standard Deviation</t>
  </si>
  <si>
    <t>Sample Variance</t>
  </si>
  <si>
    <t>Kurtosis</t>
  </si>
  <si>
    <t>Skewness</t>
  </si>
  <si>
    <t>Range</t>
  </si>
  <si>
    <t>Minimum</t>
  </si>
  <si>
    <t>Maximum</t>
  </si>
  <si>
    <t>Sum</t>
  </si>
  <si>
    <t>Count</t>
  </si>
  <si>
    <t>Column2</t>
  </si>
  <si>
    <t xml:space="preserve"> Month</t>
  </si>
  <si>
    <t>Jan</t>
  </si>
  <si>
    <t>Feb</t>
  </si>
  <si>
    <t>Mar</t>
  </si>
  <si>
    <t>Apr</t>
  </si>
  <si>
    <t>May</t>
  </si>
  <si>
    <t>Jun</t>
  </si>
  <si>
    <t>Jul</t>
  </si>
  <si>
    <t>Aug</t>
  </si>
  <si>
    <t>Sep</t>
  </si>
  <si>
    <t>Oct</t>
  </si>
  <si>
    <t>Nov</t>
  </si>
  <si>
    <t>Dec</t>
  </si>
  <si>
    <t>Total_Sales</t>
  </si>
  <si>
    <t>Total_Orders</t>
  </si>
  <si>
    <t>Maximum_Profit</t>
  </si>
  <si>
    <t>Average_Percentage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</si>
</sst>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quot;₹&quot;\ #,##0.00"/>
  </numFmts>
  <fonts count="6" x14ac:knownFonts="1">
    <font>
      <sz val="11"/>
      <color theme="1"/>
      <name val="Calibri"/>
      <family val="2"/>
      <scheme val="minor"/>
    </font>
    <font>
      <i/>
      <sz val="11"/>
      <color theme="1"/>
      <name val="Calibri"/>
      <family val="2"/>
      <scheme val="minor"/>
    </font>
    <font>
      <sz val="11"/>
      <color theme="6" tint="0.39997558519241921"/>
      <name val="Calibri"/>
      <family val="2"/>
      <scheme val="minor"/>
    </font>
    <font>
      <sz val="18"/>
      <color theme="1"/>
      <name val="Calibri"/>
      <family val="2"/>
      <scheme val="minor"/>
    </font>
    <font>
      <sz val="11"/>
      <color rgb="FF9BD85D"/>
      <name val="Arial Black"/>
      <family val="2"/>
    </font>
    <font>
      <sz val="12"/>
      <color rgb="FF9BD85D"/>
      <name val="Arial Black"/>
      <family val="2"/>
    </font>
  </fonts>
  <fills count="4">
    <fill>
      <patternFill patternType="none"/>
    </fill>
    <fill>
      <patternFill patternType="gray125"/>
    </fill>
    <fill>
      <patternFill patternType="solid">
        <fgColor theme="6" tint="0.79998168889431442"/>
        <bgColor indexed="64"/>
      </patternFill>
    </fill>
    <fill>
      <patternFill patternType="solid">
        <fgColor rgb="FF00558F"/>
        <bgColor indexed="64"/>
      </patternFill>
    </fill>
  </fills>
  <borders count="4">
    <border>
      <left/>
      <right/>
      <top/>
      <bottom/>
      <diagonal/>
    </border>
    <border>
      <left/>
      <right/>
      <top style="medium">
        <color indexed="64"/>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0" fontId="0" fillId="0" borderId="0" xfId="0" applyFill="1" applyBorder="1" applyAlignment="1"/>
    <xf numFmtId="0" fontId="1" fillId="0" borderId="1" xfId="0" applyFont="1" applyFill="1" applyBorder="1" applyAlignment="1">
      <alignment horizontal="centerContinuous"/>
    </xf>
    <xf numFmtId="0" fontId="1" fillId="0" borderId="2" xfId="0" applyFont="1" applyFill="1" applyBorder="1" applyAlignment="1">
      <alignment horizontal="centerContinuous"/>
    </xf>
    <xf numFmtId="0" fontId="2" fillId="2" borderId="0" xfId="0" applyFont="1" applyFill="1"/>
    <xf numFmtId="0" fontId="3" fillId="2" borderId="3" xfId="0" applyFont="1" applyFill="1" applyBorder="1" applyAlignment="1">
      <alignment horizontal="center" vertical="center"/>
    </xf>
    <xf numFmtId="165" fontId="3" fillId="2" borderId="3" xfId="0" applyNumberFormat="1" applyFont="1" applyFill="1" applyBorder="1" applyAlignment="1">
      <alignment horizontal="center" vertical="center"/>
    </xf>
    <xf numFmtId="10" fontId="3" fillId="2" borderId="3" xfId="0" applyNumberFormat="1" applyFont="1" applyFill="1" applyBorder="1" applyAlignment="1">
      <alignment horizontal="center" vertical="center"/>
    </xf>
    <xf numFmtId="0" fontId="4" fillId="3" borderId="3" xfId="0" applyFont="1" applyFill="1" applyBorder="1" applyAlignment="1">
      <alignment horizontal="center"/>
    </xf>
    <xf numFmtId="0" fontId="5" fillId="3" borderId="3" xfId="0" applyFont="1" applyFill="1" applyBorder="1" applyAlignment="1">
      <alignment horizontal="center"/>
    </xf>
  </cellXfs>
  <cellStyles count="1">
    <cellStyle name="Normal" xfId="0" builtinId="0"/>
  </cellStyles>
  <dxfs count="7">
    <dxf>
      <numFmt numFmtId="0" formatCode="General"/>
    </dxf>
    <dxf>
      <font>
        <b val="0"/>
        <i/>
        <strike val="0"/>
        <condense val="0"/>
        <extend val="0"/>
        <outline val="0"/>
        <shadow val="0"/>
        <u val="none"/>
        <vertAlign val="baseline"/>
        <sz val="11"/>
        <color theme="1"/>
        <name val="Calibri"/>
        <family val="2"/>
        <scheme val="minor"/>
      </font>
      <fill>
        <patternFill patternType="none">
          <fgColor indexed="64"/>
          <bgColor indexed="65"/>
        </patternFill>
      </fill>
      <alignment horizontal="centerContinuous"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border outline="0">
        <bottom style="thin">
          <color indexed="64"/>
        </bottom>
      </border>
    </dxf>
    <dxf>
      <border outline="0">
        <top style="medium">
          <color indexed="64"/>
        </top>
        <bottom style="medium">
          <color indexed="64"/>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[Retail_Sales_2025_Detailed_With_Customer_Order.xlsx]Sheet3!PivotTable1</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Sheet3!$A$4:$A$16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Sheet3!$B$4:$B$16</c:f>
              <c:numCache>
                <c:formatCode>General</c:formatCode>
                <c:ptCount val="12"/>
                <c:pt idx="0">
                  <c:v>497</c:v>
                </c:pt>
                <c:pt idx="1">
                  <c:v>444</c:v>
                </c:pt>
                <c:pt idx="2">
                  <c:v>571</c:v>
                </c:pt>
                <c:pt idx="3">
                  <c:v>539</c:v>
                </c:pt>
                <c:pt idx="4">
                  <c:v>508</c:v>
                </c:pt>
                <c:pt idx="5">
                  <c:v>503</c:v>
                </c:pt>
                <c:pt idx="6">
                  <c:v>540</c:v>
                </c:pt>
                <c:pt idx="7">
                  <c:v>510</c:v>
                </c:pt>
                <c:pt idx="8">
                  <c:v>426</c:v>
                </c:pt>
                <c:pt idx="9">
                  <c:v>471</c:v>
                </c:pt>
                <c:pt idx="10">
                  <c:v>519</c:v>
                </c:pt>
                <c:pt idx="11">
                  <c:v>542</c:v>
                </c:pt>
              </c:numCache>
            </c:numRef>
          </c:val>
          <c:smooth val="0"/>
          <c:extLst>
            <c:ext xmlns:c16="http://schemas.microsoft.com/office/drawing/2014/chart" uri="{C3380CC4-5D6E-409C-BE32-E72D297353CC}">
              <c16:uniqueId val="{00000000-F3F6-452B-A2C5-74EFFFAB2C4E}"/>
            </c:ext>
          </c:extLst>
        </c:ser>
        <c:dLbls>
          <c:showLegendKey val="0"/>
          <c:showVal val="0"/>
          <c:showCatName val="0"/>
          <c:showSerName val="0"/>
          <c:showPercent val="0"/>
          <c:showBubbleSize val="0"/>
        </c:dLbls>
        <c:marker val="1"/>
        <c:smooth val="0"/>
        <c:axId val="1186433839"/>
        <c:axId val="1186439599"/>
      </c:lineChart>
      <c:catAx>
        <c:axId val="1186433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6439599"/>
        <c:crosses val="autoZero"/>
        <c:auto val="1"/>
        <c:lblAlgn val="ctr"/>
        <c:lblOffset val="100"/>
        <c:noMultiLvlLbl val="0"/>
      </c:catAx>
      <c:valAx>
        <c:axId val="11864395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6433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[Retail_Sales_2025_Detailed_With_Customer_Order.xlsx]Sales_OverView!PivotTable1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Sales_OverView!$C$3</c:f>
              <c:strCache>
                <c:ptCount val="1"/>
                <c:pt idx="0">
                  <c:v>Sum of Units_Sold</c:v>
                </c:pt>
              </c:strCache>
            </c:strRef>
          </c:tx>
          <c:spPr>
            <a:solidFill>
              <a:schemeClr val="accent1"/>
            </a:solidFill>
            <a:ln>
              <a:noFill/>
            </a:ln>
            <a:effectLst/>
          </c:spPr>
          <c:invertIfNegative val="0"/>
          <c:cat>
            <c:strRef>
              <c:f>Sales_OverView!$B$4:$B$14</c:f>
              <c:strCache>
                <c:ptCount val="10"/>
                <c:pt idx="0">
                  <c:v>Monitor</c:v>
                </c:pt>
                <c:pt idx="1">
                  <c:v>Mobile</c:v>
                </c:pt>
                <c:pt idx="2">
                  <c:v>Laptop</c:v>
                </c:pt>
                <c:pt idx="3">
                  <c:v>Smartwatch</c:v>
                </c:pt>
                <c:pt idx="4">
                  <c:v>Printer</c:v>
                </c:pt>
                <c:pt idx="5">
                  <c:v>Tablet</c:v>
                </c:pt>
                <c:pt idx="6">
                  <c:v>Headphones</c:v>
                </c:pt>
                <c:pt idx="7">
                  <c:v>Mouse</c:v>
                </c:pt>
                <c:pt idx="8">
                  <c:v>Keyboard</c:v>
                </c:pt>
                <c:pt idx="9">
                  <c:v>Camera</c:v>
                </c:pt>
              </c:strCache>
            </c:strRef>
          </c:cat>
          <c:val>
            <c:numRef>
              <c:f>Sales_OverView!$C$4:$C$14</c:f>
              <c:numCache>
                <c:formatCode>General</c:formatCode>
                <c:ptCount val="10"/>
                <c:pt idx="0">
                  <c:v>96</c:v>
                </c:pt>
                <c:pt idx="1">
                  <c:v>120</c:v>
                </c:pt>
                <c:pt idx="2">
                  <c:v>126</c:v>
                </c:pt>
                <c:pt idx="3">
                  <c:v>132</c:v>
                </c:pt>
                <c:pt idx="4">
                  <c:v>137</c:v>
                </c:pt>
                <c:pt idx="5">
                  <c:v>152</c:v>
                </c:pt>
                <c:pt idx="6">
                  <c:v>153</c:v>
                </c:pt>
                <c:pt idx="7">
                  <c:v>159</c:v>
                </c:pt>
                <c:pt idx="8">
                  <c:v>168</c:v>
                </c:pt>
                <c:pt idx="9">
                  <c:v>198</c:v>
                </c:pt>
              </c:numCache>
            </c:numRef>
          </c:val>
          <c:extLst>
            <c:ext xmlns:c16="http://schemas.microsoft.com/office/drawing/2014/chart" uri="{C3380CC4-5D6E-409C-BE32-E72D297353CC}">
              <c16:uniqueId val="{00000000-50E5-4083-8DE4-81815618E106}"/>
            </c:ext>
          </c:extLst>
        </c:ser>
        <c:dLbls>
          <c:showLegendKey val="0"/>
          <c:showVal val="0"/>
          <c:showCatName val="0"/>
          <c:showSerName val="0"/>
          <c:showPercent val="0"/>
          <c:showBubbleSize val="0"/>
        </c:dLbls>
        <c:gapWidth val="219"/>
        <c:axId val="2086899583"/>
        <c:axId val="2086916863"/>
      </c:barChart>
      <c:lineChart>
        <c:grouping val="standard"/>
        <c:varyColors val="0"/>
        <c:ser>
          <c:idx val="1"/>
          <c:order val="1"/>
          <c:tx>
            <c:strRef>
              <c:f>Sales_OverView!$D$3</c:f>
              <c:strCache>
                <c:ptCount val="1"/>
                <c:pt idx="0">
                  <c:v>Sum of Total_Revenue</c:v>
                </c:pt>
              </c:strCache>
            </c:strRef>
          </c:tx>
          <c:spPr>
            <a:ln w="28575" cap="rnd">
              <a:solidFill>
                <a:schemeClr val="accent3"/>
              </a:solidFill>
              <a:round/>
            </a:ln>
            <a:effectLst/>
          </c:spPr>
          <c:marker>
            <c:symbol val="none"/>
          </c:marker>
          <c:cat>
            <c:strRef>
              <c:f>Sales_OverView!$B$4:$B$14</c:f>
              <c:strCache>
                <c:ptCount val="10"/>
                <c:pt idx="0">
                  <c:v>Monitor</c:v>
                </c:pt>
                <c:pt idx="1">
                  <c:v>Mobile</c:v>
                </c:pt>
                <c:pt idx="2">
                  <c:v>Laptop</c:v>
                </c:pt>
                <c:pt idx="3">
                  <c:v>Smartwatch</c:v>
                </c:pt>
                <c:pt idx="4">
                  <c:v>Printer</c:v>
                </c:pt>
                <c:pt idx="5">
                  <c:v>Tablet</c:v>
                </c:pt>
                <c:pt idx="6">
                  <c:v>Headphones</c:v>
                </c:pt>
                <c:pt idx="7">
                  <c:v>Mouse</c:v>
                </c:pt>
                <c:pt idx="8">
                  <c:v>Keyboard</c:v>
                </c:pt>
                <c:pt idx="9">
                  <c:v>Camera</c:v>
                </c:pt>
              </c:strCache>
            </c:strRef>
          </c:cat>
          <c:val>
            <c:numRef>
              <c:f>Sales_OverView!$D$4:$D$14</c:f>
              <c:numCache>
                <c:formatCode>General</c:formatCode>
                <c:ptCount val="10"/>
                <c:pt idx="0">
                  <c:v>2348058.31</c:v>
                </c:pt>
                <c:pt idx="1">
                  <c:v>3335254.68</c:v>
                </c:pt>
                <c:pt idx="2">
                  <c:v>3146236.4399999995</c:v>
                </c:pt>
                <c:pt idx="3">
                  <c:v>3202164.4200000004</c:v>
                </c:pt>
                <c:pt idx="4">
                  <c:v>3239263.2700000005</c:v>
                </c:pt>
                <c:pt idx="5">
                  <c:v>3440106.32</c:v>
                </c:pt>
                <c:pt idx="6">
                  <c:v>3867035.1599999997</c:v>
                </c:pt>
                <c:pt idx="7">
                  <c:v>4792707.0199999986</c:v>
                </c:pt>
                <c:pt idx="8">
                  <c:v>4196158.7699999996</c:v>
                </c:pt>
                <c:pt idx="9">
                  <c:v>5063434.8500000006</c:v>
                </c:pt>
              </c:numCache>
            </c:numRef>
          </c:val>
          <c:smooth val="0"/>
          <c:extLst>
            <c:ext xmlns:c16="http://schemas.microsoft.com/office/drawing/2014/chart" uri="{C3380CC4-5D6E-409C-BE32-E72D297353CC}">
              <c16:uniqueId val="{00000001-50E5-4083-8DE4-81815618E106}"/>
            </c:ext>
          </c:extLst>
        </c:ser>
        <c:dLbls>
          <c:showLegendKey val="0"/>
          <c:showVal val="0"/>
          <c:showCatName val="0"/>
          <c:showSerName val="0"/>
          <c:showPercent val="0"/>
          <c:showBubbleSize val="0"/>
        </c:dLbls>
        <c:marker val="1"/>
        <c:smooth val="0"/>
        <c:axId val="1186496719"/>
        <c:axId val="1186496239"/>
      </c:lineChart>
      <c:catAx>
        <c:axId val="2086899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6916863"/>
        <c:crosses val="autoZero"/>
        <c:auto val="1"/>
        <c:lblAlgn val="ctr"/>
        <c:lblOffset val="100"/>
        <c:noMultiLvlLbl val="0"/>
      </c:catAx>
      <c:valAx>
        <c:axId val="2086916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6899583"/>
        <c:crosses val="autoZero"/>
        <c:crossBetween val="between"/>
      </c:valAx>
      <c:valAx>
        <c:axId val="1186496239"/>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6496719"/>
        <c:crosses val="max"/>
        <c:crossBetween val="between"/>
      </c:valAx>
      <c:catAx>
        <c:axId val="1186496719"/>
        <c:scaling>
          <c:orientation val="minMax"/>
        </c:scaling>
        <c:delete val="1"/>
        <c:axPos val="b"/>
        <c:numFmt formatCode="General" sourceLinked="1"/>
        <c:majorTickMark val="out"/>
        <c:minorTickMark val="none"/>
        <c:tickLblPos val="nextTo"/>
        <c:crossAx val="1186496239"/>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[Retail_Sales_2025_Detailed_With_Customer_Order.xlsx]Product_Performance!PivotTable2</c:name>
    <c:fmtId val="13"/>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7414330218068536E-2"/>
          <c:y val="0.23615136343251211"/>
          <c:w val="0.60783280594598577"/>
          <c:h val="0.65636207238801036"/>
        </c:manualLayout>
      </c:layout>
      <c:pie3DChart>
        <c:varyColors val="1"/>
        <c:ser>
          <c:idx val="0"/>
          <c:order val="0"/>
          <c:tx>
            <c:strRef>
              <c:f>Product_Performance!$C$3</c:f>
              <c:strCache>
                <c:ptCount val="1"/>
                <c:pt idx="0">
                  <c:v>Total</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dPt>
          <c:dPt>
            <c:idx val="1"/>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dPt>
          <c:dPt>
            <c:idx val="2"/>
            <c:bubble3D val="0"/>
            <c:spPr>
              <a:solidFill>
                <a:schemeClr val="accent5"/>
              </a:solidFill>
              <a:ln>
                <a:noFill/>
              </a:ln>
              <a:effectLst>
                <a:outerShdw blurRad="88900" sx="102000" sy="102000" algn="ctr" rotWithShape="0">
                  <a:prstClr val="black">
                    <a:alpha val="20000"/>
                  </a:prstClr>
                </a:outerShdw>
              </a:effectLst>
              <a:scene3d>
                <a:camera prst="orthographicFront"/>
                <a:lightRig rig="threePt" dir="t"/>
              </a:scene3d>
              <a:sp3d prstMaterial="matte"/>
            </c:spPr>
          </c:dPt>
          <c:dPt>
            <c:idx val="3"/>
            <c:bubble3D val="0"/>
            <c:spPr>
              <a:solidFill>
                <a:schemeClr val="accent1">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dPt>
          <c:dPt>
            <c:idx val="4"/>
            <c:bubble3D val="0"/>
            <c:spPr>
              <a:solidFill>
                <a:schemeClr val="accent3">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dPt>
          <c:dPt>
            <c:idx val="5"/>
            <c:bubble3D val="0"/>
            <c:spPr>
              <a:solidFill>
                <a:schemeClr val="accent5">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dPt>
          <c:dPt>
            <c:idx val="6"/>
            <c:bubble3D val="0"/>
            <c:spPr>
              <a:solidFill>
                <a:schemeClr val="accent1">
                  <a:lumMod val="80000"/>
                  <a:lumOff val="2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dPt>
          <c:dPt>
            <c:idx val="7"/>
            <c:bubble3D val="0"/>
            <c:spPr>
              <a:solidFill>
                <a:schemeClr val="accent3">
                  <a:lumMod val="80000"/>
                  <a:lumOff val="2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dPt>
          <c:dPt>
            <c:idx val="8"/>
            <c:bubble3D val="0"/>
            <c:spPr>
              <a:solidFill>
                <a:schemeClr val="accent5">
                  <a:lumMod val="80000"/>
                  <a:lumOff val="2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dPt>
          <c:dPt>
            <c:idx val="9"/>
            <c:bubble3D val="0"/>
            <c:spPr>
              <a:solidFill>
                <a:schemeClr val="accent1">
                  <a:lumMod val="8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multiLvlStrRef>
              <c:f>Product_Performance!$B$4:$B$20</c:f>
              <c:multiLvlStrCache>
                <c:ptCount val="10"/>
                <c:lvl>
                  <c:pt idx="0">
                    <c:v>Sum of Units_Sold</c:v>
                  </c:pt>
                  <c:pt idx="1">
                    <c:v>Sum of Total_Revenue</c:v>
                  </c:pt>
                  <c:pt idx="2">
                    <c:v>Sum of Units_Sold</c:v>
                  </c:pt>
                  <c:pt idx="3">
                    <c:v>Sum of Total_Revenue</c:v>
                  </c:pt>
                  <c:pt idx="4">
                    <c:v>Sum of Units_Sold</c:v>
                  </c:pt>
                  <c:pt idx="5">
                    <c:v>Sum of Total_Revenue</c:v>
                  </c:pt>
                  <c:pt idx="6">
                    <c:v>Sum of Units_Sold</c:v>
                  </c:pt>
                  <c:pt idx="7">
                    <c:v>Sum of Total_Revenue</c:v>
                  </c:pt>
                  <c:pt idx="8">
                    <c:v>Sum of Units_Sold</c:v>
                  </c:pt>
                  <c:pt idx="9">
                    <c:v>Sum of Total_Revenue</c:v>
                  </c:pt>
                </c:lvl>
                <c:lvl>
                  <c:pt idx="0">
                    <c:v>Monitor</c:v>
                  </c:pt>
                  <c:pt idx="2">
                    <c:v>Mouse</c:v>
                  </c:pt>
                  <c:pt idx="4">
                    <c:v>Printer</c:v>
                  </c:pt>
                  <c:pt idx="6">
                    <c:v>Smartwatch</c:v>
                  </c:pt>
                  <c:pt idx="8">
                    <c:v>Tablet</c:v>
                  </c:pt>
                </c:lvl>
              </c:multiLvlStrCache>
            </c:multiLvlStrRef>
          </c:cat>
          <c:val>
            <c:numRef>
              <c:f>Product_Performance!$C$4:$C$20</c:f>
              <c:numCache>
                <c:formatCode>General</c:formatCode>
                <c:ptCount val="10"/>
                <c:pt idx="0">
                  <c:v>590</c:v>
                </c:pt>
                <c:pt idx="1">
                  <c:v>14955276.179999996</c:v>
                </c:pt>
                <c:pt idx="2">
                  <c:v>638</c:v>
                </c:pt>
                <c:pt idx="3">
                  <c:v>16888529.639999989</c:v>
                </c:pt>
                <c:pt idx="4">
                  <c:v>609</c:v>
                </c:pt>
                <c:pt idx="5">
                  <c:v>15681054.440000007</c:v>
                </c:pt>
                <c:pt idx="6">
                  <c:v>636</c:v>
                </c:pt>
                <c:pt idx="7">
                  <c:v>16079030.010000004</c:v>
                </c:pt>
                <c:pt idx="8">
                  <c:v>673</c:v>
                </c:pt>
                <c:pt idx="9">
                  <c:v>15803624.33</c:v>
                </c:pt>
              </c:numCache>
            </c:numRef>
          </c:val>
          <c:extLst>
            <c:ext xmlns:c16="http://schemas.microsoft.com/office/drawing/2014/chart" uri="{C3380CC4-5D6E-409C-BE32-E72D297353CC}">
              <c16:uniqueId val="{00000000-82F6-4693-A02D-DA553E683371}"/>
            </c:ext>
          </c:extLst>
        </c:ser>
        <c:dLbls>
          <c:dLblPos val="inEnd"/>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[Retail_Sales_2025_Detailed_With_Customer_Order.xlsx]Customer_Analysis!PivotTable3</c:name>
    <c:fmtId val="4"/>
  </c:pivotSource>
  <c:chart>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Customer_Analysis!$C$4</c:f>
              <c:strCache>
                <c:ptCount val="1"/>
                <c:pt idx="0">
                  <c:v>Count of Customer_ID</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Customer_Analysis!$B$5:$B$15</c:f>
              <c:strCache>
                <c:ptCount val="10"/>
                <c:pt idx="0">
                  <c:v>Camera</c:v>
                </c:pt>
                <c:pt idx="1">
                  <c:v>Headphones</c:v>
                </c:pt>
                <c:pt idx="2">
                  <c:v>Keyboard</c:v>
                </c:pt>
                <c:pt idx="3">
                  <c:v>Laptop</c:v>
                </c:pt>
                <c:pt idx="4">
                  <c:v>Mobile</c:v>
                </c:pt>
                <c:pt idx="5">
                  <c:v>Monitor</c:v>
                </c:pt>
                <c:pt idx="6">
                  <c:v>Mouse</c:v>
                </c:pt>
                <c:pt idx="7">
                  <c:v>Printer</c:v>
                </c:pt>
                <c:pt idx="8">
                  <c:v>Smartwatch</c:v>
                </c:pt>
                <c:pt idx="9">
                  <c:v>Tablet</c:v>
                </c:pt>
              </c:strCache>
            </c:strRef>
          </c:cat>
          <c:val>
            <c:numRef>
              <c:f>Customer_Analysis!$C$5:$C$15</c:f>
              <c:numCache>
                <c:formatCode>General</c:formatCode>
                <c:ptCount val="10"/>
                <c:pt idx="0">
                  <c:v>203</c:v>
                </c:pt>
                <c:pt idx="1">
                  <c:v>203</c:v>
                </c:pt>
                <c:pt idx="2">
                  <c:v>196</c:v>
                </c:pt>
                <c:pt idx="3">
                  <c:v>181</c:v>
                </c:pt>
                <c:pt idx="4">
                  <c:v>191</c:v>
                </c:pt>
                <c:pt idx="5">
                  <c:v>197</c:v>
                </c:pt>
                <c:pt idx="6">
                  <c:v>215</c:v>
                </c:pt>
                <c:pt idx="7">
                  <c:v>193</c:v>
                </c:pt>
                <c:pt idx="8">
                  <c:v>210</c:v>
                </c:pt>
                <c:pt idx="9">
                  <c:v>215</c:v>
                </c:pt>
              </c:numCache>
            </c:numRef>
          </c:val>
          <c:extLst>
            <c:ext xmlns:c16="http://schemas.microsoft.com/office/drawing/2014/chart" uri="{C3380CC4-5D6E-409C-BE32-E72D297353CC}">
              <c16:uniqueId val="{00000000-999E-42E4-8FDB-A26B10C9F288}"/>
            </c:ext>
          </c:extLst>
        </c:ser>
        <c:ser>
          <c:idx val="1"/>
          <c:order val="1"/>
          <c:tx>
            <c:strRef>
              <c:f>Customer_Analysis!$D$4</c:f>
              <c:strCache>
                <c:ptCount val="1"/>
                <c:pt idx="0">
                  <c:v>Sum of Total_Revenue</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Customer_Analysis!$B$5:$B$15</c:f>
              <c:strCache>
                <c:ptCount val="10"/>
                <c:pt idx="0">
                  <c:v>Camera</c:v>
                </c:pt>
                <c:pt idx="1">
                  <c:v>Headphones</c:v>
                </c:pt>
                <c:pt idx="2">
                  <c:v>Keyboard</c:v>
                </c:pt>
                <c:pt idx="3">
                  <c:v>Laptop</c:v>
                </c:pt>
                <c:pt idx="4">
                  <c:v>Mobile</c:v>
                </c:pt>
                <c:pt idx="5">
                  <c:v>Monitor</c:v>
                </c:pt>
                <c:pt idx="6">
                  <c:v>Mouse</c:v>
                </c:pt>
                <c:pt idx="7">
                  <c:v>Printer</c:v>
                </c:pt>
                <c:pt idx="8">
                  <c:v>Smartwatch</c:v>
                </c:pt>
                <c:pt idx="9">
                  <c:v>Tablet</c:v>
                </c:pt>
              </c:strCache>
            </c:strRef>
          </c:cat>
          <c:val>
            <c:numRef>
              <c:f>Customer_Analysis!$D$5:$D$15</c:f>
              <c:numCache>
                <c:formatCode>General</c:formatCode>
                <c:ptCount val="10"/>
                <c:pt idx="0">
                  <c:v>15684672.829999994</c:v>
                </c:pt>
                <c:pt idx="1">
                  <c:v>16434945.619999994</c:v>
                </c:pt>
                <c:pt idx="2">
                  <c:v>14954775.390000004</c:v>
                </c:pt>
                <c:pt idx="3">
                  <c:v>14077366.259999998</c:v>
                </c:pt>
                <c:pt idx="4">
                  <c:v>15259037.160000002</c:v>
                </c:pt>
                <c:pt idx="5">
                  <c:v>14955276.180000002</c:v>
                </c:pt>
                <c:pt idx="6">
                  <c:v>16888529.639999993</c:v>
                </c:pt>
                <c:pt idx="7">
                  <c:v>15681054.440000001</c:v>
                </c:pt>
                <c:pt idx="8">
                  <c:v>16079030.01</c:v>
                </c:pt>
                <c:pt idx="9">
                  <c:v>15803624.330000008</c:v>
                </c:pt>
              </c:numCache>
            </c:numRef>
          </c:val>
          <c:extLst>
            <c:ext xmlns:c16="http://schemas.microsoft.com/office/drawing/2014/chart" uri="{C3380CC4-5D6E-409C-BE32-E72D297353CC}">
              <c16:uniqueId val="{00000001-999E-42E4-8FDB-A26B10C9F288}"/>
            </c:ext>
          </c:extLst>
        </c:ser>
        <c:dLbls>
          <c:showLegendKey val="0"/>
          <c:showVal val="0"/>
          <c:showCatName val="0"/>
          <c:showSerName val="0"/>
          <c:showPercent val="0"/>
          <c:showBubbleSize val="0"/>
        </c:dLbls>
        <c:gapWidth val="150"/>
        <c:overlap val="100"/>
        <c:axId val="153208687"/>
        <c:axId val="153205807"/>
      </c:barChart>
      <c:catAx>
        <c:axId val="153208687"/>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3205807"/>
        <c:crosses val="autoZero"/>
        <c:auto val="1"/>
        <c:lblAlgn val="ctr"/>
        <c:lblOffset val="100"/>
        <c:noMultiLvlLbl val="0"/>
      </c:catAx>
      <c:valAx>
        <c:axId val="153205807"/>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3208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[Retail_Sales_2025_Detailed_With_Customer_Order.xlsx]Regional_Sales!PivotTable4</c:name>
    <c:fmtId val="12"/>
  </c:pivotSource>
  <c:chart>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Regional_Sales!$C$3</c:f>
              <c:strCache>
                <c:ptCount val="1"/>
                <c:pt idx="0">
                  <c:v>Count of Product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Regional_Sales!$B$4:$B$8</c:f>
              <c:strCache>
                <c:ptCount val="4"/>
                <c:pt idx="0">
                  <c:v>East</c:v>
                </c:pt>
                <c:pt idx="1">
                  <c:v>North</c:v>
                </c:pt>
                <c:pt idx="2">
                  <c:v>South</c:v>
                </c:pt>
                <c:pt idx="3">
                  <c:v>West</c:v>
                </c:pt>
              </c:strCache>
            </c:strRef>
          </c:cat>
          <c:val>
            <c:numRef>
              <c:f>Regional_Sales!$C$4:$C$8</c:f>
              <c:numCache>
                <c:formatCode>General</c:formatCode>
                <c:ptCount val="4"/>
                <c:pt idx="0">
                  <c:v>505</c:v>
                </c:pt>
                <c:pt idx="1">
                  <c:v>502</c:v>
                </c:pt>
                <c:pt idx="2">
                  <c:v>495</c:v>
                </c:pt>
                <c:pt idx="3">
                  <c:v>502</c:v>
                </c:pt>
              </c:numCache>
            </c:numRef>
          </c:val>
          <c:extLst>
            <c:ext xmlns:c16="http://schemas.microsoft.com/office/drawing/2014/chart" uri="{C3380CC4-5D6E-409C-BE32-E72D297353CC}">
              <c16:uniqueId val="{00000000-E976-44F3-B64F-FF4F6D5EF1ED}"/>
            </c:ext>
          </c:extLst>
        </c:ser>
        <c:ser>
          <c:idx val="1"/>
          <c:order val="1"/>
          <c:tx>
            <c:strRef>
              <c:f>Regional_Sales!$D$3</c:f>
              <c:strCache>
                <c:ptCount val="1"/>
                <c:pt idx="0">
                  <c:v>Sum of Total_Revenue</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Regional_Sales!$B$4:$B$8</c:f>
              <c:strCache>
                <c:ptCount val="4"/>
                <c:pt idx="0">
                  <c:v>East</c:v>
                </c:pt>
                <c:pt idx="1">
                  <c:v>North</c:v>
                </c:pt>
                <c:pt idx="2">
                  <c:v>South</c:v>
                </c:pt>
                <c:pt idx="3">
                  <c:v>West</c:v>
                </c:pt>
              </c:strCache>
            </c:strRef>
          </c:cat>
          <c:val>
            <c:numRef>
              <c:f>Regional_Sales!$D$4:$D$8</c:f>
              <c:numCache>
                <c:formatCode>General</c:formatCode>
                <c:ptCount val="4"/>
                <c:pt idx="0">
                  <c:v>39859684.219999999</c:v>
                </c:pt>
                <c:pt idx="1">
                  <c:v>41196553.629999995</c:v>
                </c:pt>
                <c:pt idx="2">
                  <c:v>36630419.240000032</c:v>
                </c:pt>
                <c:pt idx="3">
                  <c:v>38131654.770000003</c:v>
                </c:pt>
              </c:numCache>
            </c:numRef>
          </c:val>
          <c:extLst>
            <c:ext xmlns:c16="http://schemas.microsoft.com/office/drawing/2014/chart" uri="{C3380CC4-5D6E-409C-BE32-E72D297353CC}">
              <c16:uniqueId val="{00000001-E976-44F3-B64F-FF4F6D5EF1ED}"/>
            </c:ext>
          </c:extLst>
        </c:ser>
        <c:dLbls>
          <c:showLegendKey val="0"/>
          <c:showVal val="0"/>
          <c:showCatName val="0"/>
          <c:showSerName val="0"/>
          <c:showPercent val="0"/>
          <c:showBubbleSize val="0"/>
        </c:dLbls>
        <c:gapWidth val="150"/>
        <c:overlap val="100"/>
        <c:axId val="2086911583"/>
        <c:axId val="2086907743"/>
      </c:barChart>
      <c:catAx>
        <c:axId val="2086911583"/>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86907743"/>
        <c:crosses val="autoZero"/>
        <c:auto val="1"/>
        <c:lblAlgn val="ctr"/>
        <c:lblOffset val="100"/>
        <c:noMultiLvlLbl val="0"/>
      </c:catAx>
      <c:valAx>
        <c:axId val="2086907743"/>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86911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[Retail_Sales_2025_Detailed_With_Customer_Order.xlsx]Sales_OverView!PivotTable1</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Total_Sales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Sales_OverView!$C$3</c:f>
              <c:strCache>
                <c:ptCount val="1"/>
                <c:pt idx="0">
                  <c:v>Sum of Units_Sold</c:v>
                </c:pt>
              </c:strCache>
            </c:strRef>
          </c:tx>
          <c:spPr>
            <a:solidFill>
              <a:schemeClr val="accent1"/>
            </a:solidFill>
            <a:ln>
              <a:noFill/>
            </a:ln>
            <a:effectLst/>
          </c:spPr>
          <c:invertIfNegative val="0"/>
          <c:cat>
            <c:strRef>
              <c:f>Sales_OverView!$B$4:$B$14</c:f>
              <c:strCache>
                <c:ptCount val="10"/>
                <c:pt idx="0">
                  <c:v>Monitor</c:v>
                </c:pt>
                <c:pt idx="1">
                  <c:v>Mobile</c:v>
                </c:pt>
                <c:pt idx="2">
                  <c:v>Laptop</c:v>
                </c:pt>
                <c:pt idx="3">
                  <c:v>Smartwatch</c:v>
                </c:pt>
                <c:pt idx="4">
                  <c:v>Printer</c:v>
                </c:pt>
                <c:pt idx="5">
                  <c:v>Tablet</c:v>
                </c:pt>
                <c:pt idx="6">
                  <c:v>Headphones</c:v>
                </c:pt>
                <c:pt idx="7">
                  <c:v>Mouse</c:v>
                </c:pt>
                <c:pt idx="8">
                  <c:v>Keyboard</c:v>
                </c:pt>
                <c:pt idx="9">
                  <c:v>Camera</c:v>
                </c:pt>
              </c:strCache>
            </c:strRef>
          </c:cat>
          <c:val>
            <c:numRef>
              <c:f>Sales_OverView!$C$4:$C$14</c:f>
              <c:numCache>
                <c:formatCode>General</c:formatCode>
                <c:ptCount val="10"/>
                <c:pt idx="0">
                  <c:v>96</c:v>
                </c:pt>
                <c:pt idx="1">
                  <c:v>120</c:v>
                </c:pt>
                <c:pt idx="2">
                  <c:v>126</c:v>
                </c:pt>
                <c:pt idx="3">
                  <c:v>132</c:v>
                </c:pt>
                <c:pt idx="4">
                  <c:v>137</c:v>
                </c:pt>
                <c:pt idx="5">
                  <c:v>152</c:v>
                </c:pt>
                <c:pt idx="6">
                  <c:v>153</c:v>
                </c:pt>
                <c:pt idx="7">
                  <c:v>159</c:v>
                </c:pt>
                <c:pt idx="8">
                  <c:v>168</c:v>
                </c:pt>
                <c:pt idx="9">
                  <c:v>198</c:v>
                </c:pt>
              </c:numCache>
            </c:numRef>
          </c:val>
          <c:extLst>
            <c:ext xmlns:c16="http://schemas.microsoft.com/office/drawing/2014/chart" uri="{C3380CC4-5D6E-409C-BE32-E72D297353CC}">
              <c16:uniqueId val="{00000000-E637-4166-A4D7-EAC4F57C4164}"/>
            </c:ext>
          </c:extLst>
        </c:ser>
        <c:dLbls>
          <c:showLegendKey val="0"/>
          <c:showVal val="0"/>
          <c:showCatName val="0"/>
          <c:showSerName val="0"/>
          <c:showPercent val="0"/>
          <c:showBubbleSize val="0"/>
        </c:dLbls>
        <c:gapWidth val="219"/>
        <c:axId val="2086899583"/>
        <c:axId val="2086916863"/>
      </c:barChart>
      <c:lineChart>
        <c:grouping val="standard"/>
        <c:varyColors val="0"/>
        <c:ser>
          <c:idx val="1"/>
          <c:order val="1"/>
          <c:tx>
            <c:strRef>
              <c:f>Sales_OverView!$D$3</c:f>
              <c:strCache>
                <c:ptCount val="1"/>
                <c:pt idx="0">
                  <c:v>Sum of Total_Revenue</c:v>
                </c:pt>
              </c:strCache>
            </c:strRef>
          </c:tx>
          <c:spPr>
            <a:ln w="28575" cap="rnd">
              <a:solidFill>
                <a:schemeClr val="accent3"/>
              </a:solidFill>
              <a:round/>
            </a:ln>
            <a:effectLst/>
          </c:spPr>
          <c:marker>
            <c:symbol val="none"/>
          </c:marker>
          <c:cat>
            <c:strRef>
              <c:f>Sales_OverView!$B$4:$B$14</c:f>
              <c:strCache>
                <c:ptCount val="10"/>
                <c:pt idx="0">
                  <c:v>Monitor</c:v>
                </c:pt>
                <c:pt idx="1">
                  <c:v>Mobile</c:v>
                </c:pt>
                <c:pt idx="2">
                  <c:v>Laptop</c:v>
                </c:pt>
                <c:pt idx="3">
                  <c:v>Smartwatch</c:v>
                </c:pt>
                <c:pt idx="4">
                  <c:v>Printer</c:v>
                </c:pt>
                <c:pt idx="5">
                  <c:v>Tablet</c:v>
                </c:pt>
                <c:pt idx="6">
                  <c:v>Headphones</c:v>
                </c:pt>
                <c:pt idx="7">
                  <c:v>Mouse</c:v>
                </c:pt>
                <c:pt idx="8">
                  <c:v>Keyboard</c:v>
                </c:pt>
                <c:pt idx="9">
                  <c:v>Camera</c:v>
                </c:pt>
              </c:strCache>
            </c:strRef>
          </c:cat>
          <c:val>
            <c:numRef>
              <c:f>Sales_OverView!$D$4:$D$14</c:f>
              <c:numCache>
                <c:formatCode>General</c:formatCode>
                <c:ptCount val="10"/>
                <c:pt idx="0">
                  <c:v>2348058.31</c:v>
                </c:pt>
                <c:pt idx="1">
                  <c:v>3335254.68</c:v>
                </c:pt>
                <c:pt idx="2">
                  <c:v>3146236.4399999995</c:v>
                </c:pt>
                <c:pt idx="3">
                  <c:v>3202164.4200000004</c:v>
                </c:pt>
                <c:pt idx="4">
                  <c:v>3239263.2700000005</c:v>
                </c:pt>
                <c:pt idx="5">
                  <c:v>3440106.32</c:v>
                </c:pt>
                <c:pt idx="6">
                  <c:v>3867035.1599999997</c:v>
                </c:pt>
                <c:pt idx="7">
                  <c:v>4792707.0199999986</c:v>
                </c:pt>
                <c:pt idx="8">
                  <c:v>4196158.7699999996</c:v>
                </c:pt>
                <c:pt idx="9">
                  <c:v>5063434.8500000006</c:v>
                </c:pt>
              </c:numCache>
            </c:numRef>
          </c:val>
          <c:smooth val="0"/>
          <c:extLst>
            <c:ext xmlns:c16="http://schemas.microsoft.com/office/drawing/2014/chart" uri="{C3380CC4-5D6E-409C-BE32-E72D297353CC}">
              <c16:uniqueId val="{00000001-E637-4166-A4D7-EAC4F57C4164}"/>
            </c:ext>
          </c:extLst>
        </c:ser>
        <c:dLbls>
          <c:showLegendKey val="0"/>
          <c:showVal val="0"/>
          <c:showCatName val="0"/>
          <c:showSerName val="0"/>
          <c:showPercent val="0"/>
          <c:showBubbleSize val="0"/>
        </c:dLbls>
        <c:marker val="1"/>
        <c:smooth val="0"/>
        <c:axId val="1186496719"/>
        <c:axId val="1186496239"/>
      </c:lineChart>
      <c:catAx>
        <c:axId val="20868995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6916863"/>
        <c:crosses val="autoZero"/>
        <c:auto val="1"/>
        <c:lblAlgn val="ctr"/>
        <c:lblOffset val="100"/>
        <c:noMultiLvlLbl val="0"/>
      </c:catAx>
      <c:valAx>
        <c:axId val="2086916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6899583"/>
        <c:crosses val="autoZero"/>
        <c:crossBetween val="between"/>
      </c:valAx>
      <c:valAx>
        <c:axId val="1186496239"/>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6496719"/>
        <c:crosses val="max"/>
        <c:crossBetween val="between"/>
      </c:valAx>
      <c:catAx>
        <c:axId val="1186496719"/>
        <c:scaling>
          <c:orientation val="minMax"/>
        </c:scaling>
        <c:delete val="1"/>
        <c:axPos val="t"/>
        <c:numFmt formatCode="General" sourceLinked="1"/>
        <c:majorTickMark val="out"/>
        <c:minorTickMark val="none"/>
        <c:tickLblPos val="nextTo"/>
        <c:crossAx val="1186496239"/>
        <c:crosses val="max"/>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[Retail_Sales_2025_Detailed_With_Customer_Order.xlsx]Product_Performance!PivotTable2</c:name>
    <c:fmtId val="22"/>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Percentage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7"/>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8"/>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9"/>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7"/>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8"/>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9"/>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7414330218068536E-2"/>
          <c:y val="0.23615136343251211"/>
          <c:w val="0.60783280594598577"/>
          <c:h val="0.65636207238801036"/>
        </c:manualLayout>
      </c:layout>
      <c:pie3DChart>
        <c:varyColors val="1"/>
        <c:ser>
          <c:idx val="0"/>
          <c:order val="0"/>
          <c:tx>
            <c:strRef>
              <c:f>Product_Performance!$C$3</c:f>
              <c:strCache>
                <c:ptCount val="1"/>
                <c:pt idx="0">
                  <c:v>Total</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50FC-4DBF-8C2E-4A3E81C5CEDE}"/>
              </c:ext>
            </c:extLst>
          </c:dPt>
          <c:dPt>
            <c:idx val="1"/>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50FC-4DBF-8C2E-4A3E81C5CEDE}"/>
              </c:ext>
            </c:extLst>
          </c:dPt>
          <c:dPt>
            <c:idx val="2"/>
            <c:bubble3D val="0"/>
            <c:spPr>
              <a:solidFill>
                <a:schemeClr val="accent5"/>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50FC-4DBF-8C2E-4A3E81C5CEDE}"/>
              </c:ext>
            </c:extLst>
          </c:dPt>
          <c:dPt>
            <c:idx val="3"/>
            <c:bubble3D val="0"/>
            <c:spPr>
              <a:solidFill>
                <a:schemeClr val="accent1">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7-50FC-4DBF-8C2E-4A3E81C5CEDE}"/>
              </c:ext>
            </c:extLst>
          </c:dPt>
          <c:dPt>
            <c:idx val="4"/>
            <c:bubble3D val="0"/>
            <c:spPr>
              <a:solidFill>
                <a:schemeClr val="accent3">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9-50FC-4DBF-8C2E-4A3E81C5CEDE}"/>
              </c:ext>
            </c:extLst>
          </c:dPt>
          <c:dPt>
            <c:idx val="5"/>
            <c:bubble3D val="0"/>
            <c:spPr>
              <a:solidFill>
                <a:schemeClr val="accent5">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B-50FC-4DBF-8C2E-4A3E81C5CEDE}"/>
              </c:ext>
            </c:extLst>
          </c:dPt>
          <c:dPt>
            <c:idx val="6"/>
            <c:bubble3D val="0"/>
            <c:spPr>
              <a:solidFill>
                <a:schemeClr val="accent1">
                  <a:lumMod val="80000"/>
                  <a:lumOff val="2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D-50FC-4DBF-8C2E-4A3E81C5CEDE}"/>
              </c:ext>
            </c:extLst>
          </c:dPt>
          <c:dPt>
            <c:idx val="7"/>
            <c:bubble3D val="0"/>
            <c:spPr>
              <a:solidFill>
                <a:schemeClr val="accent3">
                  <a:lumMod val="80000"/>
                  <a:lumOff val="2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F-50FC-4DBF-8C2E-4A3E81C5CEDE}"/>
              </c:ext>
            </c:extLst>
          </c:dPt>
          <c:dPt>
            <c:idx val="8"/>
            <c:bubble3D val="0"/>
            <c:spPr>
              <a:solidFill>
                <a:schemeClr val="accent5">
                  <a:lumMod val="80000"/>
                  <a:lumOff val="2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1-50FC-4DBF-8C2E-4A3E81C5CEDE}"/>
              </c:ext>
            </c:extLst>
          </c:dPt>
          <c:dPt>
            <c:idx val="9"/>
            <c:bubble3D val="0"/>
            <c:spPr>
              <a:solidFill>
                <a:schemeClr val="accent1">
                  <a:lumMod val="8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3-50FC-4DBF-8C2E-4A3E81C5CED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multiLvlStrRef>
              <c:f>Product_Performance!$B$4:$B$20</c:f>
              <c:multiLvlStrCache>
                <c:ptCount val="10"/>
                <c:lvl>
                  <c:pt idx="0">
                    <c:v>Sum of Units_Sold</c:v>
                  </c:pt>
                  <c:pt idx="1">
                    <c:v>Sum of Total_Revenue</c:v>
                  </c:pt>
                  <c:pt idx="2">
                    <c:v>Sum of Units_Sold</c:v>
                  </c:pt>
                  <c:pt idx="3">
                    <c:v>Sum of Total_Revenue</c:v>
                  </c:pt>
                  <c:pt idx="4">
                    <c:v>Sum of Units_Sold</c:v>
                  </c:pt>
                  <c:pt idx="5">
                    <c:v>Sum of Total_Revenue</c:v>
                  </c:pt>
                  <c:pt idx="6">
                    <c:v>Sum of Units_Sold</c:v>
                  </c:pt>
                  <c:pt idx="7">
                    <c:v>Sum of Total_Revenue</c:v>
                  </c:pt>
                  <c:pt idx="8">
                    <c:v>Sum of Units_Sold</c:v>
                  </c:pt>
                  <c:pt idx="9">
                    <c:v>Sum of Total_Revenue</c:v>
                  </c:pt>
                </c:lvl>
                <c:lvl>
                  <c:pt idx="0">
                    <c:v>Monitor</c:v>
                  </c:pt>
                  <c:pt idx="2">
                    <c:v>Mouse</c:v>
                  </c:pt>
                  <c:pt idx="4">
                    <c:v>Printer</c:v>
                  </c:pt>
                  <c:pt idx="6">
                    <c:v>Smartwatch</c:v>
                  </c:pt>
                  <c:pt idx="8">
                    <c:v>Tablet</c:v>
                  </c:pt>
                </c:lvl>
              </c:multiLvlStrCache>
            </c:multiLvlStrRef>
          </c:cat>
          <c:val>
            <c:numRef>
              <c:f>Product_Performance!$C$4:$C$20</c:f>
              <c:numCache>
                <c:formatCode>General</c:formatCode>
                <c:ptCount val="10"/>
                <c:pt idx="0">
                  <c:v>590</c:v>
                </c:pt>
                <c:pt idx="1">
                  <c:v>14955276.179999996</c:v>
                </c:pt>
                <c:pt idx="2">
                  <c:v>638</c:v>
                </c:pt>
                <c:pt idx="3">
                  <c:v>16888529.639999989</c:v>
                </c:pt>
                <c:pt idx="4">
                  <c:v>609</c:v>
                </c:pt>
                <c:pt idx="5">
                  <c:v>15681054.440000007</c:v>
                </c:pt>
                <c:pt idx="6">
                  <c:v>636</c:v>
                </c:pt>
                <c:pt idx="7">
                  <c:v>16079030.010000004</c:v>
                </c:pt>
                <c:pt idx="8">
                  <c:v>673</c:v>
                </c:pt>
                <c:pt idx="9">
                  <c:v>15803624.33</c:v>
                </c:pt>
              </c:numCache>
            </c:numRef>
          </c:val>
          <c:extLst>
            <c:ext xmlns:c16="http://schemas.microsoft.com/office/drawing/2014/chart" uri="{C3380CC4-5D6E-409C-BE32-E72D297353CC}">
              <c16:uniqueId val="{00000014-50FC-4DBF-8C2E-4A3E81C5CEDE}"/>
            </c:ext>
          </c:extLst>
        </c:ser>
        <c:dLbls>
          <c:dLblPos val="inEnd"/>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[Retail_Sales_2025_Detailed_With_Customer_Order.xlsx]Regional_Sales!PivotTable4</c:name>
    <c:fmtId val="2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Region_wise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Regional_Sales!$C$3</c:f>
              <c:strCache>
                <c:ptCount val="1"/>
                <c:pt idx="0">
                  <c:v>Count of Product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Regional_Sales!$B$4:$B$8</c:f>
              <c:strCache>
                <c:ptCount val="4"/>
                <c:pt idx="0">
                  <c:v>East</c:v>
                </c:pt>
                <c:pt idx="1">
                  <c:v>North</c:v>
                </c:pt>
                <c:pt idx="2">
                  <c:v>South</c:v>
                </c:pt>
                <c:pt idx="3">
                  <c:v>West</c:v>
                </c:pt>
              </c:strCache>
            </c:strRef>
          </c:cat>
          <c:val>
            <c:numRef>
              <c:f>Regional_Sales!$C$4:$C$8</c:f>
              <c:numCache>
                <c:formatCode>General</c:formatCode>
                <c:ptCount val="4"/>
                <c:pt idx="0">
                  <c:v>505</c:v>
                </c:pt>
                <c:pt idx="1">
                  <c:v>502</c:v>
                </c:pt>
                <c:pt idx="2">
                  <c:v>495</c:v>
                </c:pt>
                <c:pt idx="3">
                  <c:v>502</c:v>
                </c:pt>
              </c:numCache>
            </c:numRef>
          </c:val>
          <c:extLst>
            <c:ext xmlns:c16="http://schemas.microsoft.com/office/drawing/2014/chart" uri="{C3380CC4-5D6E-409C-BE32-E72D297353CC}">
              <c16:uniqueId val="{00000000-DF1C-422A-9F31-232DC0F6EAC7}"/>
            </c:ext>
          </c:extLst>
        </c:ser>
        <c:ser>
          <c:idx val="1"/>
          <c:order val="1"/>
          <c:tx>
            <c:strRef>
              <c:f>Regional_Sales!$D$3</c:f>
              <c:strCache>
                <c:ptCount val="1"/>
                <c:pt idx="0">
                  <c:v>Sum of Total_Revenue</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Regional_Sales!$B$4:$B$8</c:f>
              <c:strCache>
                <c:ptCount val="4"/>
                <c:pt idx="0">
                  <c:v>East</c:v>
                </c:pt>
                <c:pt idx="1">
                  <c:v>North</c:v>
                </c:pt>
                <c:pt idx="2">
                  <c:v>South</c:v>
                </c:pt>
                <c:pt idx="3">
                  <c:v>West</c:v>
                </c:pt>
              </c:strCache>
            </c:strRef>
          </c:cat>
          <c:val>
            <c:numRef>
              <c:f>Regional_Sales!$D$4:$D$8</c:f>
              <c:numCache>
                <c:formatCode>General</c:formatCode>
                <c:ptCount val="4"/>
                <c:pt idx="0">
                  <c:v>39859684.219999999</c:v>
                </c:pt>
                <c:pt idx="1">
                  <c:v>41196553.629999995</c:v>
                </c:pt>
                <c:pt idx="2">
                  <c:v>36630419.240000032</c:v>
                </c:pt>
                <c:pt idx="3">
                  <c:v>38131654.770000003</c:v>
                </c:pt>
              </c:numCache>
            </c:numRef>
          </c:val>
          <c:extLst>
            <c:ext xmlns:c16="http://schemas.microsoft.com/office/drawing/2014/chart" uri="{C3380CC4-5D6E-409C-BE32-E72D297353CC}">
              <c16:uniqueId val="{00000001-DF1C-422A-9F31-232DC0F6EAC7}"/>
            </c:ext>
          </c:extLst>
        </c:ser>
        <c:dLbls>
          <c:showLegendKey val="0"/>
          <c:showVal val="0"/>
          <c:showCatName val="0"/>
          <c:showSerName val="0"/>
          <c:showPercent val="0"/>
          <c:showBubbleSize val="0"/>
        </c:dLbls>
        <c:gapWidth val="150"/>
        <c:overlap val="100"/>
        <c:axId val="2086911583"/>
        <c:axId val="2086907743"/>
      </c:barChart>
      <c:catAx>
        <c:axId val="2086911583"/>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86907743"/>
        <c:crosses val="autoZero"/>
        <c:auto val="1"/>
        <c:lblAlgn val="ctr"/>
        <c:lblOffset val="100"/>
        <c:noMultiLvlLbl val="0"/>
      </c:catAx>
      <c:valAx>
        <c:axId val="2086907743"/>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86911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3</xdr:col>
      <xdr:colOff>12700</xdr:colOff>
      <xdr:row>5</xdr:row>
      <xdr:rowOff>15875</xdr:rowOff>
    </xdr:from>
    <xdr:to>
      <xdr:col>10</xdr:col>
      <xdr:colOff>317500</xdr:colOff>
      <xdr:row>19</xdr:row>
      <xdr:rowOff>180975</xdr:rowOff>
    </xdr:to>
    <xdr:graphicFrame macro="">
      <xdr:nvGraphicFramePr>
        <xdr:cNvPr id="3" name="Chart 2">
          <a:extLst>
            <a:ext uri="{FF2B5EF4-FFF2-40B4-BE49-F238E27FC236}">
              <a16:creationId xmlns:a16="http://schemas.microsoft.com/office/drawing/2014/main" id="{BC2BD41C-A618-1F21-8415-5649D31080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498474</xdr:colOff>
      <xdr:row>2</xdr:row>
      <xdr:rowOff>3174</xdr:rowOff>
    </xdr:from>
    <xdr:to>
      <xdr:col>12</xdr:col>
      <xdr:colOff>514349</xdr:colOff>
      <xdr:row>23</xdr:row>
      <xdr:rowOff>152400</xdr:rowOff>
    </xdr:to>
    <xdr:graphicFrame macro="">
      <xdr:nvGraphicFramePr>
        <xdr:cNvPr id="3" name="Chart 2">
          <a:extLst>
            <a:ext uri="{FF2B5EF4-FFF2-40B4-BE49-F238E27FC236}">
              <a16:creationId xmlns:a16="http://schemas.microsoft.com/office/drawing/2014/main" id="{509906D5-C217-EE45-04E9-E67C40F7A6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6350</xdr:colOff>
      <xdr:row>15</xdr:row>
      <xdr:rowOff>0</xdr:rowOff>
    </xdr:from>
    <xdr:to>
      <xdr:col>4</xdr:col>
      <xdr:colOff>0</xdr:colOff>
      <xdr:row>23</xdr:row>
      <xdr:rowOff>107949</xdr:rowOff>
    </xdr:to>
    <mc:AlternateContent xmlns:mc="http://schemas.openxmlformats.org/markup-compatibility/2006" xmlns:a14="http://schemas.microsoft.com/office/drawing/2010/main">
      <mc:Choice Requires="a14">
        <xdr:graphicFrame macro="">
          <xdr:nvGraphicFramePr>
            <xdr:cNvPr id="5" name="Region 2">
              <a:extLst>
                <a:ext uri="{FF2B5EF4-FFF2-40B4-BE49-F238E27FC236}">
                  <a16:creationId xmlns:a16="http://schemas.microsoft.com/office/drawing/2014/main" id="{66A93789-4819-271C-EA0C-FAB1639C9338}"/>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615950" y="2762250"/>
              <a:ext cx="3416300" cy="15811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552450</xdr:colOff>
      <xdr:row>5</xdr:row>
      <xdr:rowOff>25400</xdr:rowOff>
    </xdr:from>
    <xdr:to>
      <xdr:col>11</xdr:col>
      <xdr:colOff>92075</xdr:colOff>
      <xdr:row>23</xdr:row>
      <xdr:rowOff>111125</xdr:rowOff>
    </xdr:to>
    <xdr:graphicFrame macro="">
      <xdr:nvGraphicFramePr>
        <xdr:cNvPr id="4" name="Chart 3">
          <a:extLst>
            <a:ext uri="{FF2B5EF4-FFF2-40B4-BE49-F238E27FC236}">
              <a16:creationId xmlns:a16="http://schemas.microsoft.com/office/drawing/2014/main" id="{B6932A6F-0846-0E1F-C31C-586FCFD295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384174</xdr:colOff>
      <xdr:row>2</xdr:row>
      <xdr:rowOff>180974</xdr:rowOff>
    </xdr:from>
    <xdr:to>
      <xdr:col>10</xdr:col>
      <xdr:colOff>31749</xdr:colOff>
      <xdr:row>23</xdr:row>
      <xdr:rowOff>120650</xdr:rowOff>
    </xdr:to>
    <xdr:graphicFrame macro="">
      <xdr:nvGraphicFramePr>
        <xdr:cNvPr id="2" name="Chart 1">
          <a:extLst>
            <a:ext uri="{FF2B5EF4-FFF2-40B4-BE49-F238E27FC236}">
              <a16:creationId xmlns:a16="http://schemas.microsoft.com/office/drawing/2014/main" id="{90FB3DF8-012C-78FF-61DF-A0241BD7DB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31750</xdr:colOff>
      <xdr:row>15</xdr:row>
      <xdr:rowOff>95251</xdr:rowOff>
    </xdr:from>
    <xdr:to>
      <xdr:col>4</xdr:col>
      <xdr:colOff>6350</xdr:colOff>
      <xdr:row>23</xdr:row>
      <xdr:rowOff>152401</xdr:rowOff>
    </xdr:to>
    <mc:AlternateContent xmlns:mc="http://schemas.openxmlformats.org/markup-compatibility/2006" xmlns:a14="http://schemas.microsoft.com/office/drawing/2010/main">
      <mc:Choice Requires="a14">
        <xdr:graphicFrame macro="">
          <xdr:nvGraphicFramePr>
            <xdr:cNvPr id="3" name="Region 1">
              <a:extLst>
                <a:ext uri="{FF2B5EF4-FFF2-40B4-BE49-F238E27FC236}">
                  <a16:creationId xmlns:a16="http://schemas.microsoft.com/office/drawing/2014/main" id="{7A499C6B-DF2C-BB4C-D309-E2A7E51A4137}"/>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641350" y="2857501"/>
              <a:ext cx="3594100" cy="1530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38100</xdr:colOff>
      <xdr:row>8</xdr:row>
      <xdr:rowOff>177801</xdr:rowOff>
    </xdr:from>
    <xdr:to>
      <xdr:col>4</xdr:col>
      <xdr:colOff>12700</xdr:colOff>
      <xdr:row>17</xdr:row>
      <xdr:rowOff>31751</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8F77CFB5-16BF-B37B-4F07-BC0BC83B59E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47700" y="1651001"/>
              <a:ext cx="3282950" cy="1511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250824</xdr:colOff>
      <xdr:row>2</xdr:row>
      <xdr:rowOff>3174</xdr:rowOff>
    </xdr:from>
    <xdr:to>
      <xdr:col>12</xdr:col>
      <xdr:colOff>361949</xdr:colOff>
      <xdr:row>23</xdr:row>
      <xdr:rowOff>184149</xdr:rowOff>
    </xdr:to>
    <xdr:graphicFrame macro="">
      <xdr:nvGraphicFramePr>
        <xdr:cNvPr id="3" name="Chart 2">
          <a:extLst>
            <a:ext uri="{FF2B5EF4-FFF2-40B4-BE49-F238E27FC236}">
              <a16:creationId xmlns:a16="http://schemas.microsoft.com/office/drawing/2014/main" id="{AA52D8C6-7000-05A4-A517-7901B04C5B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6350</xdr:colOff>
      <xdr:row>1</xdr:row>
      <xdr:rowOff>0</xdr:rowOff>
    </xdr:from>
    <xdr:to>
      <xdr:col>8</xdr:col>
      <xdr:colOff>0</xdr:colOff>
      <xdr:row>3</xdr:row>
      <xdr:rowOff>0</xdr:rowOff>
    </xdr:to>
    <xdr:sp macro="" textlink="">
      <xdr:nvSpPr>
        <xdr:cNvPr id="2" name="Rectangle 1">
          <a:extLst>
            <a:ext uri="{FF2B5EF4-FFF2-40B4-BE49-F238E27FC236}">
              <a16:creationId xmlns:a16="http://schemas.microsoft.com/office/drawing/2014/main" id="{E06496E9-3415-284B-1B44-F2E2EEF1D70D}"/>
            </a:ext>
          </a:extLst>
        </xdr:cNvPr>
        <xdr:cNvSpPr/>
      </xdr:nvSpPr>
      <xdr:spPr>
        <a:xfrm>
          <a:off x="247650" y="184150"/>
          <a:ext cx="11195050" cy="368300"/>
        </a:xfrm>
        <a:prstGeom prst="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a:solidFill>
                <a:srgbClr val="92D050"/>
              </a:solidFill>
              <a:latin typeface="Arial Black" panose="020B0A04020102020204" pitchFamily="34" charset="0"/>
            </a:rPr>
            <a:t>Sales</a:t>
          </a:r>
          <a:r>
            <a:rPr lang="en-IN" sz="2000">
              <a:solidFill>
                <a:srgbClr val="FFC000"/>
              </a:solidFill>
              <a:latin typeface="Arial Black" panose="020B0A04020102020204" pitchFamily="34" charset="0"/>
            </a:rPr>
            <a:t> </a:t>
          </a:r>
          <a:r>
            <a:rPr lang="en-IN" sz="2000">
              <a:solidFill>
                <a:srgbClr val="92D050"/>
              </a:solidFill>
              <a:latin typeface="Arial Black" panose="020B0A04020102020204" pitchFamily="34" charset="0"/>
            </a:rPr>
            <a:t>Performance</a:t>
          </a:r>
          <a:r>
            <a:rPr lang="en-IN" sz="2000">
              <a:solidFill>
                <a:srgbClr val="FFC000"/>
              </a:solidFill>
              <a:latin typeface="Arial Black" panose="020B0A04020102020204" pitchFamily="34" charset="0"/>
            </a:rPr>
            <a:t> </a:t>
          </a:r>
          <a:r>
            <a:rPr lang="en-IN" sz="2000">
              <a:solidFill>
                <a:srgbClr val="92D050"/>
              </a:solidFill>
              <a:latin typeface="Arial Black" panose="020B0A04020102020204" pitchFamily="34" charset="0"/>
            </a:rPr>
            <a:t>Dashboard</a:t>
          </a:r>
        </a:p>
      </xdr:txBody>
    </xdr:sp>
    <xdr:clientData/>
  </xdr:twoCellAnchor>
  <xdr:twoCellAnchor>
    <xdr:from>
      <xdr:col>0</xdr:col>
      <xdr:colOff>234950</xdr:colOff>
      <xdr:row>10</xdr:row>
      <xdr:rowOff>63500</xdr:rowOff>
    </xdr:from>
    <xdr:to>
      <xdr:col>3</xdr:col>
      <xdr:colOff>908049</xdr:colOff>
      <xdr:row>25</xdr:row>
      <xdr:rowOff>107950</xdr:rowOff>
    </xdr:to>
    <xdr:graphicFrame macro="">
      <xdr:nvGraphicFramePr>
        <xdr:cNvPr id="4" name="Chart 3">
          <a:extLst>
            <a:ext uri="{FF2B5EF4-FFF2-40B4-BE49-F238E27FC236}">
              <a16:creationId xmlns:a16="http://schemas.microsoft.com/office/drawing/2014/main" id="{3FE27955-9875-42E1-826F-7116315F16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1035051</xdr:colOff>
      <xdr:row>10</xdr:row>
      <xdr:rowOff>76200</xdr:rowOff>
    </xdr:from>
    <xdr:to>
      <xdr:col>5</xdr:col>
      <xdr:colOff>1847851</xdr:colOff>
      <xdr:row>25</xdr:row>
      <xdr:rowOff>88900</xdr:rowOff>
    </xdr:to>
    <xdr:graphicFrame macro="">
      <xdr:nvGraphicFramePr>
        <xdr:cNvPr id="5" name="Chart 4">
          <a:extLst>
            <a:ext uri="{FF2B5EF4-FFF2-40B4-BE49-F238E27FC236}">
              <a16:creationId xmlns:a16="http://schemas.microsoft.com/office/drawing/2014/main" id="{881A4DC7-C6E9-452A-8264-84125BD711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1981200</xdr:colOff>
      <xdr:row>10</xdr:row>
      <xdr:rowOff>82551</xdr:rowOff>
    </xdr:from>
    <xdr:to>
      <xdr:col>8</xdr:col>
      <xdr:colOff>44450</xdr:colOff>
      <xdr:row>25</xdr:row>
      <xdr:rowOff>95250</xdr:rowOff>
    </xdr:to>
    <xdr:graphicFrame macro="">
      <xdr:nvGraphicFramePr>
        <xdr:cNvPr id="6" name="Chart 5">
          <a:extLst>
            <a:ext uri="{FF2B5EF4-FFF2-40B4-BE49-F238E27FC236}">
              <a16:creationId xmlns:a16="http://schemas.microsoft.com/office/drawing/2014/main" id="{37C5DD6B-657C-4101-845B-844F7C4611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0</xdr:colOff>
      <xdr:row>6</xdr:row>
      <xdr:rowOff>50801</xdr:rowOff>
    </xdr:from>
    <xdr:to>
      <xdr:col>3</xdr:col>
      <xdr:colOff>889000</xdr:colOff>
      <xdr:row>10</xdr:row>
      <xdr:rowOff>19050</xdr:rowOff>
    </xdr:to>
    <mc:AlternateContent xmlns:mc="http://schemas.openxmlformats.org/markup-compatibility/2006">
      <mc:Choice xmlns:a14="http://schemas.microsoft.com/office/drawing/2010/main" Requires="a14">
        <xdr:graphicFrame macro="">
          <xdr:nvGraphicFramePr>
            <xdr:cNvPr id="7" name="Payment_Method">
              <a:extLst>
                <a:ext uri="{FF2B5EF4-FFF2-40B4-BE49-F238E27FC236}">
                  <a16:creationId xmlns:a16="http://schemas.microsoft.com/office/drawing/2014/main" id="{CEF89B3A-DD7E-2DA1-5C08-697E417F1CA4}"/>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dr:sp macro="" textlink="">
          <xdr:nvSpPr>
            <xdr:cNvPr id="0" name=""/>
            <xdr:cNvSpPr>
              <a:spLocks noTextEdit="1"/>
            </xdr:cNvSpPr>
          </xdr:nvSpPr>
          <xdr:spPr>
            <a:xfrm>
              <a:off x="241300" y="1231901"/>
              <a:ext cx="3606800" cy="7048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1054100</xdr:colOff>
      <xdr:row>6</xdr:row>
      <xdr:rowOff>38100</xdr:rowOff>
    </xdr:from>
    <xdr:to>
      <xdr:col>5</xdr:col>
      <xdr:colOff>1835150</xdr:colOff>
      <xdr:row>10</xdr:row>
      <xdr:rowOff>12700</xdr:rowOff>
    </xdr:to>
    <mc:AlternateContent xmlns:mc="http://schemas.openxmlformats.org/markup-compatibility/2006">
      <mc:Choice xmlns:a14="http://schemas.microsoft.com/office/drawing/2010/main" Requires="a14">
        <xdr:graphicFrame macro="">
          <xdr:nvGraphicFramePr>
            <xdr:cNvPr id="8" name="Product">
              <a:extLst>
                <a:ext uri="{FF2B5EF4-FFF2-40B4-BE49-F238E27FC236}">
                  <a16:creationId xmlns:a16="http://schemas.microsoft.com/office/drawing/2014/main" id="{63A9E65C-3ACD-F2C7-DD90-C8789D7F4D0B}"/>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4013200" y="1219200"/>
              <a:ext cx="3778250" cy="711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1981200</xdr:colOff>
      <xdr:row>6</xdr:row>
      <xdr:rowOff>44449</xdr:rowOff>
    </xdr:from>
    <xdr:to>
      <xdr:col>8</xdr:col>
      <xdr:colOff>25400</xdr:colOff>
      <xdr:row>10</xdr:row>
      <xdr:rowOff>12700</xdr:rowOff>
    </xdr:to>
    <mc:AlternateContent xmlns:mc="http://schemas.openxmlformats.org/markup-compatibility/2006">
      <mc:Choice xmlns:a14="http://schemas.microsoft.com/office/drawing/2010/main" Requires="a14">
        <xdr:graphicFrame macro="">
          <xdr:nvGraphicFramePr>
            <xdr:cNvPr id="9" name="Region 3">
              <a:extLst>
                <a:ext uri="{FF2B5EF4-FFF2-40B4-BE49-F238E27FC236}">
                  <a16:creationId xmlns:a16="http://schemas.microsoft.com/office/drawing/2014/main" id="{3F75EBCA-B8BA-289A-E81B-E419351969F3}"/>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dr:sp macro="" textlink="">
          <xdr:nvSpPr>
            <xdr:cNvPr id="0" name=""/>
            <xdr:cNvSpPr>
              <a:spLocks noTextEdit="1"/>
            </xdr:cNvSpPr>
          </xdr:nvSpPr>
          <xdr:spPr>
            <a:xfrm>
              <a:off x="7937500" y="1225549"/>
              <a:ext cx="3530600" cy="7048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Pothuraju" refreshedDate="46084.530527430557" createdVersion="8" refreshedVersion="8" minRefreshableVersion="3" recordCount="2004" xr:uid="{EAF5C22A-8691-4326-882E-9D495FD02551}">
  <cacheSource type="worksheet">
    <worksheetSource name="Table1"/>
  </cacheSource>
  <cacheFields count="10">
    <cacheField name="Order_ID" numFmtId="0">
      <sharedItems count="2004">
        <s v="ORD263D5FE2"/>
        <s v="ORDCE51FB04"/>
        <s v="ORDCAEAF473"/>
        <s v="ORD0884C57A"/>
        <s v="ORDD0D99079"/>
        <s v="ORD244A2FCF"/>
        <s v="ORD36BE0598"/>
        <s v="ORD150ADF58"/>
        <s v="ORD2600F3C0"/>
        <s v="ORDACAC5766"/>
        <s v="ORDFDF9DA37"/>
        <s v="ORD01BC3402"/>
        <s v="ORD795DFAF1"/>
        <s v="ORDEEF7DB56"/>
        <s v="ORDE215374A"/>
        <s v="ORD3AC09DAC"/>
        <s v="ORD73B22B56"/>
        <s v="ORD9B7521DC"/>
        <s v="ORD4BD789A3"/>
        <s v="ORDF9CD888F"/>
        <s v="ORD2B0A324E"/>
        <s v="ORD2E1EDCE3"/>
        <s v="ORDC1B47291"/>
        <s v="ORDDFFEE981"/>
        <s v="ORD053FDA8F"/>
        <s v="ORD0A8D233A"/>
        <s v="ORDD4F18AE7"/>
        <s v="ORD70A9280D"/>
        <s v="ORD4D6F4583"/>
        <s v="ORD605765D3"/>
        <s v="ORD11554A6C"/>
        <s v="ORD3A8D5A39"/>
        <s v="ORD09353997"/>
        <s v="ORD127A765B"/>
        <s v="ORD597C3DD9"/>
        <s v="ORD1CDD3886"/>
        <s v="ORD468C34FB"/>
        <s v="ORD0C0FE40F"/>
        <s v="ORDB0DAB3B9"/>
        <s v="ORD225DF7C8"/>
        <s v="ORDF90A0A97"/>
        <s v="ORD3B4B3231"/>
        <s v="ORDDA5F2448"/>
        <s v="ORD588177C5"/>
        <s v="ORD7F9E5D1B"/>
        <s v="ORDC3ED567B"/>
        <s v="ORD98B50E24"/>
        <s v="ORD739BD2A2"/>
        <s v="ORD80FBAB4F"/>
        <s v="ORD5BDD9FE3"/>
        <s v="ORD27E13614"/>
        <s v="ORDB651BF6C"/>
        <s v="ORDBDC41F30"/>
        <s v="ORDE3621AF9"/>
        <s v="ORD6FDE4661"/>
        <s v="ORDE1547C6A"/>
        <s v="ORDF2B389A7"/>
        <s v="ORD78D19B90"/>
        <s v="ORD91EC7B73"/>
        <s v="ORD70FCCC53"/>
        <s v="ORD72FF5BFD"/>
        <s v="ORD327C11EE"/>
        <s v="ORDE4B8CD5C"/>
        <s v="ORDD7DAFA8F"/>
        <s v="ORDA17047D0"/>
        <s v="ORD0B38E23B"/>
        <s v="ORD8CE89230"/>
        <s v="ORDD9700C14"/>
        <s v="ORD01165F69"/>
        <s v="ORDBDEE89D6"/>
        <s v="ORD8D12605F"/>
        <s v="ORDD7F8AA8D"/>
        <s v="ORD19541464"/>
        <s v="ORD13262368"/>
        <s v="ORD986D1747"/>
        <s v="ORDAB21A1C8"/>
        <s v="ORD9D5EE5F9"/>
        <s v="ORD39FFDFFF"/>
        <s v="ORDCB7A335C"/>
        <s v="ORDB06467C3"/>
        <s v="ORDA040A589"/>
        <s v="ORD5E0E2A2B"/>
        <s v="ORD55D000E1"/>
        <s v="ORDC7589198"/>
        <s v="ORDB8C34DE9"/>
        <s v="ORDABB3308C"/>
        <s v="ORDE8591FD2"/>
        <s v="ORD9A84053B"/>
        <s v="ORDF96B167A"/>
        <s v="ORD84B9DD66"/>
        <s v="ORD1FCF6313"/>
        <s v="ORD12A6FD40"/>
        <s v="ORD89EB6A8C"/>
        <s v="ORD1876A984"/>
        <s v="ORDF8782296"/>
        <s v="ORDF5250486"/>
        <s v="ORDB598F09F"/>
        <s v="ORD0B6719D3"/>
        <s v="ORD1C4E7B75"/>
        <s v="ORD917FF53F"/>
        <s v="ORD2CDF6A9C"/>
        <s v="ORDBC9BFC0A"/>
        <s v="ORDA778C99E"/>
        <s v="ORDCD568DE4"/>
        <s v="ORD96EBFB3F"/>
        <s v="ORDFEE28802"/>
        <s v="ORD737B1E4B"/>
        <s v="ORDBFD49BA9"/>
        <s v="ORD0FD7693C"/>
        <s v="ORD1AE34AF9"/>
        <s v="ORDA8D1C199"/>
        <s v="ORD85BB7A49"/>
        <s v="ORD3A382A0B"/>
        <s v="ORD16A0C872"/>
        <s v="ORD88B18D62"/>
        <s v="ORDCAA193EC"/>
        <s v="ORD8241E9F4"/>
        <s v="ORD477A8C85"/>
        <s v="ORD5E55B904"/>
        <s v="ORD56CB38D5"/>
        <s v="ORDE7C0F167"/>
        <s v="ORD90518C74"/>
        <s v="ORDE0F4E1FD"/>
        <s v="ORD84DB081D"/>
        <s v="ORD8F019FDA"/>
        <s v="ORD8D4F2BDF"/>
        <s v="ORDB91AA539"/>
        <s v="ORD215FD7B8"/>
        <s v="ORDC8CF0C5E"/>
        <s v="ORD09D7E509"/>
        <s v="ORDFA9BC064"/>
        <s v="ORD1161D1FE"/>
        <s v="ORD57658747"/>
        <s v="ORD395349AD"/>
        <s v="ORD4931582A"/>
        <s v="ORD70A2AF60"/>
        <s v="ORD5B2BB337"/>
        <s v="ORD68785694"/>
        <s v="ORD5214014A"/>
        <s v="ORDAE39FD27"/>
        <s v="ORD7DFBF926"/>
        <s v="ORDA42C2AFE"/>
        <s v="ORDEBB0CCC7"/>
        <s v="ORD1895CAB9"/>
        <s v="ORD3F85B1F1"/>
        <s v="ORD3ACBC130"/>
        <s v="ORD42F1D647"/>
        <s v="ORDBD58B1DE"/>
        <s v="ORD4D589526"/>
        <s v="ORD2898B414"/>
        <s v="ORD2BAA2EBB"/>
        <s v="ORDBADD3F7C"/>
        <s v="ORD82B4344F"/>
        <s v="ORD032AD0EC"/>
        <s v="ORDC432FFA5"/>
        <s v="ORD02F026A6"/>
        <s v="ORDD2482FE7"/>
        <s v="ORD56FD4872"/>
        <s v="ORD4F4303C6"/>
        <s v="ORD9B63FDC6"/>
        <s v="ORD72201B0B"/>
        <s v="ORDAFBA43CB"/>
        <s v="ORD4E4398C5"/>
        <s v="ORD7B9833E2"/>
        <s v="ORDB89961AF"/>
        <s v="ORD2E34124B"/>
        <s v="ORD58DE1663"/>
        <s v="ORDD5696733"/>
        <s v="ORDB9829B12"/>
        <s v="ORD6CA60C14"/>
        <s v="ORD72C3C477"/>
        <s v="ORDD9D3A5B7"/>
        <s v="ORD3A30CCAF"/>
        <s v="ORD1484A6E9"/>
        <s v="ORDEA16FEA5"/>
        <s v="ORDE0D05009"/>
        <s v="ORD114F1DB3"/>
        <s v="ORD665045E4"/>
        <s v="ORD27C9490C"/>
        <s v="ORD0B1BDA40"/>
        <s v="ORDFDA5E459"/>
        <s v="ORD51CA2550"/>
        <s v="ORD6A7E08FA"/>
        <s v="ORDEFBBA5B6"/>
        <s v="ORD3A418053"/>
        <s v="ORD7BBB3C50"/>
        <s v="ORDB28E0F6A"/>
        <s v="ORD51C7F7DC"/>
        <s v="ORDF3084E45"/>
        <s v="ORD5C5C9945"/>
        <s v="ORD06E4A5FC"/>
        <s v="ORD24669EC6"/>
        <s v="ORD031A6C9C"/>
        <s v="ORDB496285C"/>
        <s v="ORDA7D1E2C8"/>
        <s v="ORD6A9478A2"/>
        <s v="ORD767A9D57"/>
        <s v="ORD123F58C6"/>
        <s v="ORDE47C52F9"/>
        <s v="ORD49176A0F"/>
        <s v="ORD38899E07"/>
        <s v="ORDBC3C9ABE"/>
        <s v="ORD42EF0964"/>
        <s v="ORD5082361C"/>
        <s v="ORD2CDF503D"/>
        <s v="ORD9C6FA14A"/>
        <s v="ORD557E10A3"/>
        <s v="ORD4BE9EA30"/>
        <s v="ORD9DD2858F"/>
        <s v="ORDFDB97EDE"/>
        <s v="ORDE64481DB"/>
        <s v="ORD7743EBC8"/>
        <s v="ORD00813AAC"/>
        <s v="ORD518A822D"/>
        <s v="ORD3BC4BE2F"/>
        <s v="ORD421A0115"/>
        <s v="ORD1D1CBA42"/>
        <s v="ORD81A4A381"/>
        <s v="ORDD9DFB027"/>
        <s v="ORD22459FD6"/>
        <s v="ORD385585AE"/>
        <s v="ORD08DDA426"/>
        <s v="ORDCAB2E022"/>
        <s v="ORD209C96A4"/>
        <s v="ORD46121246"/>
        <s v="ORDF1E2C4FB"/>
        <s v="ORDCEA767CC"/>
        <s v="ORD4ADC1AA9"/>
        <s v="ORD65A2F711"/>
        <s v="ORD01C61D2B"/>
        <s v="ORD6A3544CF"/>
        <s v="ORD4EF1AE98"/>
        <s v="ORD4E2B4FDC"/>
        <s v="ORD4DCF9B06"/>
        <s v="ORD2F3D2779"/>
        <s v="ORDD07306E2"/>
        <s v="ORDB80CF882"/>
        <s v="ORD204212E0"/>
        <s v="ORD32E0D995"/>
        <s v="ORDA416E3E6"/>
        <s v="ORD69DA6117"/>
        <s v="ORDE3594066"/>
        <s v="ORDC6402853"/>
        <s v="ORD471A1644"/>
        <s v="ORD99BA20E5"/>
        <s v="ORD1617493C"/>
        <s v="ORDF999DD1F"/>
        <s v="ORD2ED48069"/>
        <s v="ORDEC77FCA2"/>
        <s v="ORD2F88C161"/>
        <s v="ORD8F3CF66A"/>
        <s v="ORD2D4B08D9"/>
        <s v="ORDF9ED89C9"/>
        <s v="ORD4182602C"/>
        <s v="ORD48C93E73"/>
        <s v="ORDA7094959"/>
        <s v="ORD3043270C"/>
        <s v="ORD2AEFE28A"/>
        <s v="ORD7C697687"/>
        <s v="ORD519CB025"/>
        <s v="ORDF371C4DB"/>
        <s v="ORD0321AF42"/>
        <s v="ORDB6AFE2D2"/>
        <s v="ORDB06881D4"/>
        <s v="ORD6DC9E501"/>
        <s v="ORD87AEFE5B"/>
        <s v="ORDCE5D797D"/>
        <s v="ORDCEF2D7C0"/>
        <s v="ORD009D54AD"/>
        <s v="ORDFA53CBBD"/>
        <s v="ORDA9CEEF7D"/>
        <s v="ORD19DDC26B"/>
        <s v="ORDE2520B37"/>
        <s v="ORDB975E21E"/>
        <s v="ORDCE46CE2A"/>
        <s v="ORDA673AC97"/>
        <s v="ORD2565BF7E"/>
        <s v="ORD7DC6A1E4"/>
        <s v="ORD079AD504"/>
        <s v="ORDBD172906"/>
        <s v="ORD2D482D9C"/>
        <s v="ORDDB13955E"/>
        <s v="ORD0F4AF12A"/>
        <s v="ORD78E403D0"/>
        <s v="ORDF760AE58"/>
        <s v="ORD2AEDE663"/>
        <s v="ORD8E49EC45"/>
        <s v="ORD68F3B5D2"/>
        <s v="ORDA9A9E626"/>
        <s v="ORDED403B5C"/>
        <s v="ORD69695645"/>
        <s v="ORD89A3AC40"/>
        <s v="ORDFFCF6FD1"/>
        <s v="ORDCFB7D0D6"/>
        <s v="ORDEFF6ADF8"/>
        <s v="ORDC8016DBF"/>
        <s v="ORD37A3B2B2"/>
        <s v="ORDF7275A6E"/>
        <s v="ORDDE3F4C91"/>
        <s v="ORDE2993473"/>
        <s v="ORD49222851"/>
        <s v="ORD2688D7CB"/>
        <s v="ORD49CDA555"/>
        <s v="ORD49A2ABD2"/>
        <s v="ORD0CB2D77E"/>
        <s v="ORDFAC7A61C"/>
        <s v="ORD5396F5AC"/>
        <s v="ORD77B282CC"/>
        <s v="ORD8038AED7"/>
        <s v="ORD8A701432"/>
        <s v="ORD0DF4599F"/>
        <s v="ORD7420E262"/>
        <s v="ORD97AFA0F3"/>
        <s v="ORD7F232FBF"/>
        <s v="ORD8D9CC7CC"/>
        <s v="ORDBC129920"/>
        <s v="ORD3ABFD921"/>
        <s v="ORD956A8BCA"/>
        <s v="ORDAD114348"/>
        <s v="ORDFBC70C32"/>
        <s v="ORD07EEC09B"/>
        <s v="ORDB21564F6"/>
        <s v="ORDAF91E019"/>
        <s v="ORDAEB4BEA2"/>
        <s v="ORDD3CDA0BD"/>
        <s v="ORD231EC677"/>
        <s v="ORDC7F82AB5"/>
        <s v="ORD4B986300"/>
        <s v="ORD4A88B488"/>
        <s v="ORDB2B5F98B"/>
        <s v="ORD9DC56A41"/>
        <s v="ORDBFB63B09"/>
        <s v="ORD9E725C37"/>
        <s v="ORD4D6C14D3"/>
        <s v="ORD7D4C3D81"/>
        <s v="ORD399571C7"/>
        <s v="ORD0403821B"/>
        <s v="ORD1D5BAE60"/>
        <s v="ORD727B176D"/>
        <s v="ORDCF879696"/>
        <s v="ORD2652FA72"/>
        <s v="ORDE6AC36B3"/>
        <s v="ORD60796C66"/>
        <s v="ORDF734F97A"/>
        <s v="ORD85F0A5FE"/>
        <s v="ORD472F54B3"/>
        <s v="ORD2A560A05"/>
        <s v="ORD563B956B"/>
        <s v="ORDD572AC6D"/>
        <s v="ORD6A449D42"/>
        <s v="ORD0B7BFEC0"/>
        <s v="ORDC6C6E922"/>
        <s v="ORDB378F7EE"/>
        <s v="ORD800BE538"/>
        <s v="ORD73EC283B"/>
        <s v="ORDBA897A99"/>
        <s v="ORDFB22635E"/>
        <s v="ORDDA7A06DF"/>
        <s v="ORDBF8A2577"/>
        <s v="ORDC4CE8782"/>
        <s v="ORD414F8B85"/>
        <s v="ORD38AD812A"/>
        <s v="ORD7E8FFE2E"/>
        <s v="ORD9B2114EF"/>
        <s v="ORD7F883D11"/>
        <s v="ORDBA2AC394"/>
        <s v="ORDAE1EA523"/>
        <s v="ORD96DB8408"/>
        <s v="ORD9F9ED399"/>
        <s v="ORD5CEF6D75"/>
        <s v="ORDBE0AE71A"/>
        <s v="ORD5BBC8D9A"/>
        <s v="ORD31E1155F"/>
        <s v="ORD1A0F4076"/>
        <s v="ORDDF79997A"/>
        <s v="ORDA15C21E8"/>
        <s v="ORDD1EC21BF"/>
        <s v="ORD6AF3A3A7"/>
        <s v="ORDFCCBD8F4"/>
        <s v="ORD6C815A6B"/>
        <s v="ORDEA0F0C3B"/>
        <s v="ORDC9A6715E"/>
        <s v="ORD9C8D74E6"/>
        <s v="ORD7FD1FA20"/>
        <s v="ORD9796706C"/>
        <s v="ORD6B042F26"/>
        <s v="ORD64320E5A"/>
        <s v="ORD0B3C5E74"/>
        <s v="ORDEF895536"/>
        <s v="ORD1F71F3C1"/>
        <s v="ORD7A0EFAAB"/>
        <s v="ORD6464AF64"/>
        <s v="ORD7B678F3B"/>
        <s v="ORDCC8CE547"/>
        <s v="ORD7C021D20"/>
        <s v="ORD94C08ED6"/>
        <s v="ORD11702D4F"/>
        <s v="ORD526AE856"/>
        <s v="ORD250CF546"/>
        <s v="ORD2F59346E"/>
        <s v="ORD4A02CFB0"/>
        <s v="ORDAB484701"/>
        <s v="ORDA2593376"/>
        <s v="ORDB5880C6E"/>
        <s v="ORD9ECC8814"/>
        <s v="ORDEC85F2E7"/>
        <s v="ORD10216B74"/>
        <s v="ORDF02882DD"/>
        <s v="ORDC19AA2DA"/>
        <s v="ORD202FCBF0"/>
        <s v="ORD3FDE178F"/>
        <s v="ORD3FBA50E5"/>
        <s v="ORD693B91F8"/>
        <s v="ORDED75C8C8"/>
        <s v="ORDC7C09274"/>
        <s v="ORD4D2B86B1"/>
        <s v="ORD0C2E7D56"/>
        <s v="ORD5A844684"/>
        <s v="ORD562FF58F"/>
        <s v="ORD0E76510B"/>
        <s v="ORDBC04E0BE"/>
        <s v="ORDEF79AC44"/>
        <s v="ORDB1B84192"/>
        <s v="ORD64ABD054"/>
        <s v="ORD67B56D2F"/>
        <s v="ORDD39CF45A"/>
        <s v="ORD450D20A3"/>
        <s v="ORD0B6B412D"/>
        <s v="ORD219118DF"/>
        <s v="ORD22F999AC"/>
        <s v="ORD45C079F8"/>
        <s v="ORD9F6B9F06"/>
        <s v="ORD8C605F16"/>
        <s v="ORD2868BB63"/>
        <s v="ORD78EB7B74"/>
        <s v="ORDEEC1018A"/>
        <s v="ORD8A9674F5"/>
        <s v="ORD911FBAB3"/>
        <s v="ORD6711F184"/>
        <s v="ORDA80531CF"/>
        <s v="ORDB3515039"/>
        <s v="ORD22FA7DD4"/>
        <s v="ORD2C81A3E8"/>
        <s v="ORD6CFFAD9F"/>
        <s v="ORD5BDDAD0E"/>
        <s v="ORD33BF749B"/>
        <s v="ORD370DCBA5"/>
        <s v="ORD692FC201"/>
        <s v="ORDE49A77FF"/>
        <s v="ORDC008A136"/>
        <s v="ORD730DA4F0"/>
        <s v="ORDB29D838B"/>
        <s v="ORD9BA43CB5"/>
        <s v="ORDF55A8631"/>
        <s v="ORD728E1A9B"/>
        <s v="ORDF91FC278"/>
        <s v="ORDADC74256"/>
        <s v="ORD65A07989"/>
        <s v="ORDF7A718E2"/>
        <s v="ORDCA7ACF9A"/>
        <s v="ORD81F9FC4A"/>
        <s v="ORD6F2EFEB4"/>
        <s v="ORD52F0BD9D"/>
        <s v="ORDBD3C6CA8"/>
        <s v="ORD7F52FA81"/>
        <s v="ORD1BD76023"/>
        <s v="ORD2921CD17"/>
        <s v="ORD59B72EC7"/>
        <s v="ORDBC5807E5"/>
        <s v="ORDB786532D"/>
        <s v="ORDD277BAC1"/>
        <s v="ORDDDF36F31"/>
        <s v="ORD04A653A4"/>
        <s v="ORD8D3AF4A8"/>
        <s v="ORD5F0AEA94"/>
        <s v="ORD6BDF9C14"/>
        <s v="ORDDEF652B2"/>
        <s v="ORD60A0A451"/>
        <s v="ORDD3899FE0"/>
        <s v="ORD3D7B1EA0"/>
        <s v="ORD4AFF3D58"/>
        <s v="ORD48D8F22E"/>
        <s v="ORD89E926B3"/>
        <s v="ORDBFDDBD67"/>
        <s v="ORD5469ABC1"/>
        <s v="ORDDB0F18DD"/>
        <s v="ORD7503FD4A"/>
        <s v="ORDBED956AA"/>
        <s v="ORDFE9EA92E"/>
        <s v="ORD6F94B7D8"/>
        <s v="ORD28D9A37E"/>
        <s v="ORD84DACD49"/>
        <s v="ORDAD31D630"/>
        <s v="ORD37111268"/>
        <s v="ORD19804739"/>
        <s v="ORD042E50DE"/>
        <s v="ORD8EE68A76"/>
        <s v="ORD74974D25"/>
        <s v="ORD5420AE3A"/>
        <s v="ORDB35AAD96"/>
        <s v="ORDB446489E"/>
        <s v="ORDD38BE3A5"/>
        <s v="ORDE03F9A97"/>
        <s v="ORDF79C3439"/>
        <s v="ORDCB7ED251"/>
        <s v="ORDA6427D9D"/>
        <s v="ORDA278BDD7"/>
        <s v="ORD6B2FC232"/>
        <s v="ORD809C27D3"/>
        <s v="ORD1A19EEDC"/>
        <s v="ORD06A98C1C"/>
        <s v="ORD4BEE6862"/>
        <s v="ORD49C611D1"/>
        <s v="ORDC193641B"/>
        <s v="ORDEB2484D6"/>
        <s v="ORD98D47AA2"/>
        <s v="ORD12483A45"/>
        <s v="ORD3BD7CB00"/>
        <s v="ORDC9FD77A4"/>
        <s v="ORD8B6F9079"/>
        <s v="ORDB2843096"/>
        <s v="ORD8A8A9A23"/>
        <s v="ORDE7B35E75"/>
        <s v="ORDC976E1B9"/>
        <s v="ORDAF8ED7E7"/>
        <s v="ORD9DA2440C"/>
        <s v="ORD26F4AFDC"/>
        <s v="ORDB2727A15"/>
        <s v="ORD63A2D31A"/>
        <s v="ORD51F9DFD5"/>
        <s v="ORD99446B84"/>
        <s v="ORDC3557682"/>
        <s v="ORD594823C5"/>
        <s v="ORD8F8CD72C"/>
        <s v="ORDB95D89A9"/>
        <s v="ORDD7EA27D2"/>
        <s v="ORD9C3DF274"/>
        <s v="ORD6108811D"/>
        <s v="ORD8ADA1581"/>
        <s v="ORD47D0338A"/>
        <s v="ORDA8D570EF"/>
        <s v="ORDBB3A0954"/>
        <s v="ORDE37A1684"/>
        <s v="ORD4186E71A"/>
        <s v="ORDC24A04CD"/>
        <s v="ORDEC2A5756"/>
        <s v="ORD1ECC16C2"/>
        <s v="ORD684975AD"/>
        <s v="ORDF871B696"/>
        <s v="ORD099F656F"/>
        <s v="ORDE20CA546"/>
        <s v="ORD458313F1"/>
        <s v="ORDDDEA8AD2"/>
        <s v="ORD9CC67FEF"/>
        <s v="ORD9DB3AAD3"/>
        <s v="ORD1E8C20AA"/>
        <s v="ORD99C02DA8"/>
        <s v="ORD20BBECB5"/>
        <s v="ORD02E934B3"/>
        <s v="ORDF8F67916"/>
        <s v="ORD9414239A"/>
        <s v="ORD93568D60"/>
        <s v="ORDEEA6F5CA"/>
        <s v="ORD29AB7AAD"/>
        <s v="ORD8660CD0A"/>
        <s v="ORDA52BA87A"/>
        <s v="ORD31D76D8B"/>
        <s v="ORD8D65256F"/>
        <s v="ORDBFA81C8C"/>
        <s v="ORD6A6D6523"/>
        <s v="ORD96F8449B"/>
        <s v="ORD2FD86B1E"/>
        <s v="ORDA6DDA9CA"/>
        <s v="ORD619961FE"/>
        <s v="ORDD2EC5958"/>
        <s v="ORD5F67ABEF"/>
        <s v="ORD052E8E14"/>
        <s v="ORD56D27E52"/>
        <s v="ORD60B10879"/>
        <s v="ORD6C834195"/>
        <s v="ORDF3357CB7"/>
        <s v="ORD8FB91493"/>
        <s v="ORD1B082092"/>
        <s v="ORD39C4A2B1"/>
        <s v="ORD59372A15"/>
        <s v="ORD8EBC04E3"/>
        <s v="ORD5873B6BB"/>
        <s v="ORD10B035C3"/>
        <s v="ORDD5A09081"/>
        <s v="ORD54D25A48"/>
        <s v="ORDCCDB01FA"/>
        <s v="ORD84742577"/>
        <s v="ORD2CE8B6C4"/>
        <s v="ORD0CB67890"/>
        <s v="ORD6437C3FE"/>
        <s v="ORD5E4ABE6B"/>
        <s v="ORD2A2DC80C"/>
        <s v="ORD1254684B"/>
        <s v="ORDBE9A4CC8"/>
        <s v="ORD5F72BE8F"/>
        <s v="ORDB63277A0"/>
        <s v="ORDE75CAC9A"/>
        <s v="ORDF4245941"/>
        <s v="ORDDB11EBEA"/>
        <s v="ORD2F2E9302"/>
        <s v="ORD4F04BB25"/>
        <s v="ORDEBC0EB6F"/>
        <s v="ORD5EFB05AF"/>
        <s v="ORDFA247F6F"/>
        <s v="ORDEB30D49F"/>
        <s v="ORD3E09A4C9"/>
        <s v="ORDB4D00695"/>
        <s v="ORD80FF521E"/>
        <s v="ORDD76607A9"/>
        <s v="ORD1E9CB514"/>
        <s v="ORDB5A499D6"/>
        <s v="ORDAE55F201"/>
        <s v="ORD3B59959B"/>
        <s v="ORDE1BEBCE1"/>
        <s v="ORDF6D3447C"/>
        <s v="ORD81CB024E"/>
        <s v="ORD83C5158D"/>
        <s v="ORD65AC6DF7"/>
        <s v="ORD183594D1"/>
        <s v="ORD0CB99856"/>
        <s v="ORD4C3604A9"/>
        <s v="ORDF6BE9643"/>
        <s v="ORD139713A1"/>
        <s v="ORDDC333FAE"/>
        <s v="ORD68943EC0"/>
        <s v="ORD8945AB95"/>
        <s v="ORD3BD912C8"/>
        <s v="ORDF6049F3F"/>
        <s v="ORD6947DE06"/>
        <s v="ORD10C7C988"/>
        <s v="ORDBCCC12D9"/>
        <s v="ORDDC38AAC7"/>
        <s v="ORDB4B032A1"/>
        <s v="ORDB2AC8DC3"/>
        <s v="ORD327CEA10"/>
        <s v="ORD5E7D02BD"/>
        <s v="ORDEEA763F4"/>
        <s v="ORD4CC51ED5"/>
        <s v="ORD8E0C12E4"/>
        <s v="ORD016BAC0A"/>
        <s v="ORDD9EB70F7"/>
        <s v="ORDADBB986D"/>
        <s v="ORD7165D07C"/>
        <s v="ORD51325A30"/>
        <s v="ORD5CF209BA"/>
        <s v="ORD2AF730D7"/>
        <s v="ORD179140D6"/>
        <s v="ORDBA8FDC2A"/>
        <s v="ORD827F833F"/>
        <s v="ORD86138848"/>
        <s v="ORDC2C9BEB8"/>
        <s v="ORDEF9AC912"/>
        <s v="ORD2A6C2DE0"/>
        <s v="ORD75CC7EE5"/>
        <s v="ORDA82CA8B5"/>
        <s v="ORD2E2A9AEA"/>
        <s v="ORDDB2EC11E"/>
        <s v="ORDC96C798E"/>
        <s v="ORD0FAE2DB2"/>
        <s v="ORD1E3299CE"/>
        <s v="ORD18706427"/>
        <s v="ORDAB7FE39A"/>
        <s v="ORDBCE26211"/>
        <s v="ORD688DD311"/>
        <s v="ORD4D2AE9B2"/>
        <s v="ORDEF923443"/>
        <s v="ORD3A86FD0F"/>
        <s v="ORDBFBB01BD"/>
        <s v="ORDB51CB58D"/>
        <s v="ORDBBBBCF38"/>
        <s v="ORDC435DCD3"/>
        <s v="ORDDB779545"/>
        <s v="ORDBDFE3E1C"/>
        <s v="ORD6F1592B6"/>
        <s v="ORDB766BEFC"/>
        <s v="ORD5AAEF5F2"/>
        <s v="ORD638E7141"/>
        <s v="ORDDB4ACE66"/>
        <s v="ORD25A2DE81"/>
        <s v="ORD9CBE9ECE"/>
        <s v="ORD3C8313CB"/>
        <s v="ORD73282678"/>
        <s v="ORDB0D0E6CE"/>
        <s v="ORDE1045E75"/>
        <s v="ORDCB1D427A"/>
        <s v="ORD46B166E6"/>
        <s v="ORD0FCF455B"/>
        <s v="ORD98C0BB2C"/>
        <s v="ORD9D0AB9C3"/>
        <s v="ORDD2846310"/>
        <s v="ORD218B5418"/>
        <s v="ORD58C2A10A"/>
        <s v="ORDAC96AE8A"/>
        <s v="ORDF8562C6B"/>
        <s v="ORDD37B95B6"/>
        <s v="ORD04D84767"/>
        <s v="ORD3666773B"/>
        <s v="ORDB854194B"/>
        <s v="ORDB4F5A214"/>
        <s v="ORD7903DC52"/>
        <s v="ORD57A58D21"/>
        <s v="ORD1EE47DF6"/>
        <s v="ORD2A9C7CAD"/>
        <s v="ORDDA674279"/>
        <s v="ORD1FEBC5AA"/>
        <s v="ORD2F2ECD8B"/>
        <s v="ORD46B48661"/>
        <s v="ORDB6F11743"/>
        <s v="ORD2019858F"/>
        <s v="ORD50A76B03"/>
        <s v="ORD0E0F79ED"/>
        <s v="ORD49CE5515"/>
        <s v="ORD6E4F2FCF"/>
        <s v="ORDB16DCEEF"/>
        <s v="ORDC3AA370C"/>
        <s v="ORD23887110"/>
        <s v="ORD192F053E"/>
        <s v="ORD114D17F3"/>
        <s v="ORD7F5ED789"/>
        <s v="ORDCA4C4FE7"/>
        <s v="ORDAA54E18B"/>
        <s v="ORD737B2D59"/>
        <s v="ORD3A667DE5"/>
        <s v="ORD5438E6B6"/>
        <s v="ORDB16CD226"/>
        <s v="ORD3B7B4F02"/>
        <s v="ORD8EB0265E"/>
        <s v="ORD724188CE"/>
        <s v="ORDC6196171"/>
        <s v="ORD38311943"/>
        <s v="ORD88FF76D3"/>
        <s v="ORD1728BF25"/>
        <s v="ORD7D5D138D"/>
        <s v="ORD85EB645C"/>
        <s v="ORD68AF445D"/>
        <s v="ORD8E84CC2C"/>
        <s v="ORDAB533128"/>
        <s v="ORD779D7AB3"/>
        <s v="ORD24485299"/>
        <s v="ORD40056B8A"/>
        <s v="ORDDFADF49C"/>
        <s v="ORDCDCD9B9F"/>
        <s v="ORD95CAFED9"/>
        <s v="ORDB7935D92"/>
        <s v="ORD785CD1A1"/>
        <s v="ORD09706B1A"/>
        <s v="ORD890E767D"/>
        <s v="ORD0DD53C72"/>
        <s v="ORD58479AB7"/>
        <s v="ORDADE4C1E1"/>
        <s v="ORD75714C9E"/>
        <s v="ORD1CC7783F"/>
        <s v="ORDBB59800B"/>
        <s v="ORD9A14A6D3"/>
        <s v="ORD60A80D31"/>
        <s v="ORD8CCFFE02"/>
        <s v="ORD123AC817"/>
        <s v="ORD1128B83C"/>
        <s v="ORDF46911DF"/>
        <s v="ORD4B6BA542"/>
        <s v="ORD96C02503"/>
        <s v="ORD1CAFBA4B"/>
        <s v="ORDFABC9671"/>
        <s v="ORDB6B911CC"/>
        <s v="ORD07462BC9"/>
        <s v="ORD06E83A1B"/>
        <s v="ORD81F728F7"/>
        <s v="ORD4D8787E7"/>
        <s v="ORD5D4D7A74"/>
        <s v="ORD53B179FA"/>
        <s v="ORD82F708EE"/>
        <s v="ORD752D513B"/>
        <s v="ORDA4B0BCC5"/>
        <s v="ORD84769387"/>
        <s v="ORD47D1B397"/>
        <s v="ORDD8E63C4F"/>
        <s v="ORD5465A718"/>
        <s v="ORD6537B1B2"/>
        <s v="ORD888325E0"/>
        <s v="ORD748F767F"/>
        <s v="ORDBB0F05BA"/>
        <s v="ORD21A31965"/>
        <s v="ORDEA3BAB2A"/>
        <s v="ORDC21EBB90"/>
        <s v="ORDE7508725"/>
        <s v="ORDBE072527"/>
        <s v="ORDD50DAC28"/>
        <s v="ORD1A9306AB"/>
        <s v="ORD810DEEDD"/>
        <s v="ORD79F62A6E"/>
        <s v="ORDC77E1FDA"/>
        <s v="ORD78C129B7"/>
        <s v="ORD95B2F396"/>
        <s v="ORD8D7429BD"/>
        <s v="ORDE48FF99F"/>
        <s v="ORD94251D19"/>
        <s v="ORDC48349AD"/>
        <s v="ORDE7EC55BF"/>
        <s v="ORD8EF04401"/>
        <s v="ORD2A0BD16D"/>
        <s v="ORD7A7CB01E"/>
        <s v="ORD870C4BB2"/>
        <s v="ORD863B9001"/>
        <s v="ORDCE68D5CC"/>
        <s v="ORD2CC4BDB9"/>
        <s v="ORDD8096658"/>
        <s v="ORDD15504C6"/>
        <s v="ORDC6570184"/>
        <s v="ORDA21E1566"/>
        <s v="ORDF752A006"/>
        <s v="ORD14992FA2"/>
        <s v="ORD30D06B6D"/>
        <s v="ORD5EB9FE13"/>
        <s v="ORD7A9A5589"/>
        <s v="ORDA02C7D1F"/>
        <s v="ORDFA39DF35"/>
        <s v="ORDB8804EC6"/>
        <s v="ORD7810FCE1"/>
        <s v="ORD030F9CEB"/>
        <s v="ORD6A353B80"/>
        <s v="ORD10F617E9"/>
        <s v="ORDDFA074B7"/>
        <s v="ORD7E767DA6"/>
        <s v="ORDEF6CCFFD"/>
        <s v="ORDDC90FF27"/>
        <s v="ORD21272D21"/>
        <s v="ORDB5A8B9C2"/>
        <s v="ORD057390BD"/>
        <s v="ORDAF386FC3"/>
        <s v="ORDCD2E666F"/>
        <s v="ORD3F44A6D5"/>
        <s v="ORD7488BD1C"/>
        <s v="ORDDC917702"/>
        <s v="ORD3CB0D804"/>
        <s v="ORD4A244BC7"/>
        <s v="ORD7D3F2526"/>
        <s v="ORD11FDC1E7"/>
        <s v="ORDA13B5B62"/>
        <s v="ORD3CAF2A04"/>
        <s v="ORDD5FEEC1D"/>
        <s v="ORDED57092E"/>
        <s v="ORD54A3D74F"/>
        <s v="ORD42387724"/>
        <s v="ORD5C93094E"/>
        <s v="ORD3FB7D9F9"/>
        <s v="ORD8041AB76"/>
        <s v="ORDEBDA0837"/>
        <s v="ORD78C047AA"/>
        <s v="ORD05B39379"/>
        <s v="ORD126D63EA"/>
        <s v="ORDB9D3BF56"/>
        <s v="ORD50F50363"/>
        <s v="ORD73B5885A"/>
        <s v="ORDEA4BAED6"/>
        <s v="ORD17B4CD98"/>
        <s v="ORDA4A87660"/>
        <s v="ORDF63F5D25"/>
        <s v="ORD1B723ACA"/>
        <s v="ORD425B1CBA"/>
        <s v="ORD5B7CFBD0"/>
        <s v="ORDCDC0C881"/>
        <s v="ORD2CCFB41C"/>
        <s v="ORD9AB64D78"/>
        <s v="ORDBBC3E1F5"/>
        <s v="ORD59A65E3C"/>
        <s v="ORD0B6C8A10"/>
        <s v="ORDBD9D1414"/>
        <s v="ORD108A757F"/>
        <s v="ORD32A7C35E"/>
        <s v="ORDB0350CD1"/>
        <s v="ORD2D2BE770"/>
        <s v="ORD58CF35A4"/>
        <s v="ORDF3C8CF4A"/>
        <s v="ORDDFC27240"/>
        <s v="ORD010A5BD7"/>
        <s v="ORD2E086EFE"/>
        <s v="ORDE89B394C"/>
        <s v="ORD486D7D98"/>
        <s v="ORD18DE6BEF"/>
        <s v="ORD8DD8A326"/>
        <s v="ORDEE09EDE5"/>
        <s v="ORD96308B04"/>
        <s v="ORD4A7D5EB5"/>
        <s v="ORD93691A8B"/>
        <s v="ORD69067B16"/>
        <s v="ORD175E76F3"/>
        <s v="ORD0A2E8839"/>
        <s v="ORDEEE1F3F5"/>
        <s v="ORD7106E9E2"/>
        <s v="ORD0C1C1C8A"/>
        <s v="ORD8904806A"/>
        <s v="ORDEB1296FB"/>
        <s v="ORD1BAAB01F"/>
        <s v="ORDF476A89F"/>
        <s v="ORD2B816519"/>
        <s v="ORDDF8D601A"/>
        <s v="ORD8708F6E7"/>
        <s v="ORD02C5F788"/>
        <s v="ORD613D39B7"/>
        <s v="ORD878CEF71"/>
        <s v="ORDC2146309"/>
        <s v="ORDFBE2DC86"/>
        <s v="ORDA0BBE987"/>
        <s v="ORDE44769BE"/>
        <s v="ORD1040BAA2"/>
        <s v="ORD9B0491FB"/>
        <s v="ORDE7F1F0DE"/>
        <s v="ORD9F643AE1"/>
        <s v="ORDDE78084E"/>
        <s v="ORD19C153F8"/>
        <s v="ORD5F6E97E6"/>
        <s v="ORDCBF027C9"/>
        <s v="ORDB4051948"/>
        <s v="ORDE9224185"/>
        <s v="ORD713D1B5F"/>
        <s v="ORD40ADE82C"/>
        <s v="ORD13D9B6B2"/>
        <s v="ORD8BCEF493"/>
        <s v="ORD595B2AD1"/>
        <s v="ORD5609D41D"/>
        <s v="ORDE1F02627"/>
        <s v="ORD6DC674AA"/>
        <s v="ORD370DAA2C"/>
        <s v="ORDC2585D97"/>
        <s v="ORD265BAC9F"/>
        <s v="ORD05174C0A"/>
        <s v="ORD20907431"/>
        <s v="ORD18E72984"/>
        <s v="ORDA349CEA3"/>
        <s v="ORDBD12C96C"/>
        <s v="ORD559EADB0"/>
        <s v="ORD2874DAB7"/>
        <s v="ORDD3338A35"/>
        <s v="ORDB02CEC8D"/>
        <s v="ORDB28C21FA"/>
        <s v="ORDA6E13C90"/>
        <s v="ORD04CA2196"/>
        <s v="ORD23451885"/>
        <s v="ORD370C4EE8"/>
        <s v="ORD85970287"/>
        <s v="ORD1C158A01"/>
        <s v="ORDBA360C2F"/>
        <s v="ORDAB803FC5"/>
        <s v="ORD24BCBA3E"/>
        <s v="ORDADE817B8"/>
        <s v="ORD213BD3D7"/>
        <s v="ORD569D8F48"/>
        <s v="ORD870D7146"/>
        <s v="ORD5B5BE799"/>
        <s v="ORD98649C90"/>
        <s v="ORDD4946BA9"/>
        <s v="ORDAF64E58A"/>
        <s v="ORD4C8A126E"/>
        <s v="ORD691D3914"/>
        <s v="ORDF50DE2EF"/>
        <s v="ORD7015DEEA"/>
        <s v="ORD6B3FFF39"/>
        <s v="ORD538414C8"/>
        <s v="ORDB909E560"/>
        <s v="ORDC1C645BD"/>
        <s v="ORD62681464"/>
        <s v="ORD97DC845C"/>
        <s v="ORDAFD7CD85"/>
        <s v="ORD7E02C0B2"/>
        <s v="ORD61C8EF20"/>
        <s v="ORD144BCFBC"/>
        <s v="ORDE1F24466"/>
        <s v="ORDA6C5D853"/>
        <s v="ORDE5E2CCF1"/>
        <s v="ORD328650EB"/>
        <s v="ORD10B9D303"/>
        <s v="ORD50CD794C"/>
        <s v="ORD3E27DF94"/>
        <s v="ORD96764DBD"/>
        <s v="ORD2FCA1AE6"/>
        <s v="ORDDE49977F"/>
        <s v="ORD1494E5E9"/>
        <s v="ORD90F848CB"/>
        <s v="ORD128C44F7"/>
        <s v="ORD4734BEEA"/>
        <s v="ORD94EA14B0"/>
        <s v="ORDC3DFB2B5"/>
        <s v="ORDCE3099A4"/>
        <s v="ORDC24C166C"/>
        <s v="ORDC0EDC3B7"/>
        <s v="ORDFF690104"/>
        <s v="ORD527088C3"/>
        <s v="ORDB4737475"/>
        <s v="ORD3141C0A3"/>
        <s v="ORD79FE191C"/>
        <s v="ORDA81B141E"/>
        <s v="ORD28205658"/>
        <s v="ORD906F461F"/>
        <s v="ORD4E3B520C"/>
        <s v="ORDD32246C8"/>
        <s v="ORD3CFBA17D"/>
        <s v="ORDF099C04C"/>
        <s v="ORD604CD72A"/>
        <s v="ORD3D8B1F25"/>
        <s v="ORDCE70FE6D"/>
        <s v="ORD640FB40C"/>
        <s v="ORDCF35756B"/>
        <s v="ORDFD019280"/>
        <s v="ORD3A8ED21F"/>
        <s v="ORD54A258ED"/>
        <s v="ORD99F59E08"/>
        <s v="ORDD9BFF552"/>
        <s v="ORD7B7ED2D6"/>
        <s v="ORD081BE318"/>
        <s v="ORDCCA838DE"/>
        <s v="ORDA7AC65CE"/>
        <s v="ORD3931D722"/>
        <s v="ORD796EFBBC"/>
        <s v="ORD6DE22440"/>
        <s v="ORDA8108A6F"/>
        <s v="ORD5FCE3658"/>
        <s v="ORDD0430937"/>
        <s v="ORD3F8F06AE"/>
        <s v="ORDC98F80F2"/>
        <s v="ORD6336796B"/>
        <s v="ORDFCA1AB2F"/>
        <s v="ORDB8A64FAF"/>
        <s v="ORD4E59AE92"/>
        <s v="ORD82A8FF47"/>
        <s v="ORDD797E367"/>
        <s v="ORD17BB57DE"/>
        <s v="ORD6050662B"/>
        <s v="ORD637EBF87"/>
        <s v="ORD748EC261"/>
        <s v="ORD716F6015"/>
        <s v="ORD46D44D38"/>
        <s v="ORD070958CC"/>
        <s v="ORDE44F7F8E"/>
        <s v="ORD71DDF4FD"/>
        <s v="ORDBF208CBC"/>
        <s v="ORD5F5A0800"/>
        <s v="ORDDB0485EA"/>
        <s v="ORD134F0B1C"/>
        <s v="ORD7DBADA53"/>
        <s v="ORD0ADE9646"/>
        <s v="ORDB6857E60"/>
        <s v="ORDCC270E80"/>
        <s v="ORDF85873EB"/>
        <s v="ORDD5E4DDC5"/>
        <s v="ORD4E69714E"/>
        <s v="ORDF55333BB"/>
        <s v="ORD0909C790"/>
        <s v="ORD37F22BE5"/>
        <s v="ORD674F26AE"/>
        <s v="ORD3EFB70E2"/>
        <s v="ORDE60A1A41"/>
        <s v="ORD15B6DDE6"/>
        <s v="ORD8CAE4E02"/>
        <s v="ORD2F2121FF"/>
        <s v="ORD04250062"/>
        <s v="ORD845387A6"/>
        <s v="ORDE0663024"/>
        <s v="ORDF934D936"/>
        <s v="ORDCE35F373"/>
        <s v="ORD31390562"/>
        <s v="ORD759CB0CF"/>
        <s v="ORDE8C10FB5"/>
        <s v="ORD0F7B5BB2"/>
        <s v="ORDF9F99385"/>
        <s v="ORDEAD88399"/>
        <s v="ORDB75A4D5F"/>
        <s v="ORD4544F1BC"/>
        <s v="ORD1D315D73"/>
        <s v="ORD5F939C1E"/>
        <s v="ORD808495C5"/>
        <s v="ORD72EAC6C0"/>
        <s v="ORD28BDA628"/>
        <s v="ORD9892CAE4"/>
        <s v="ORDC11573B6"/>
        <s v="ORD4C2B17E2"/>
        <s v="ORD3C475B7B"/>
        <s v="ORDD56763DB"/>
        <s v="ORDD94643EE"/>
        <s v="ORD6A957D8C"/>
        <s v="ORDA4AEF527"/>
        <s v="ORD6D486E26"/>
        <s v="ORDF04AC202"/>
        <s v="ORDB961BEAD"/>
        <s v="ORDF4D9357C"/>
        <s v="ORD942BA00F"/>
        <s v="ORD27B2ED8D"/>
        <s v="ORDE0C8490A"/>
        <s v="ORDF30ABEF0"/>
        <s v="ORD77EC8EBD"/>
        <s v="ORDCC7AB190"/>
        <s v="ORD91AC16DA"/>
        <s v="ORD451F5B8D"/>
        <s v="ORD6B06769D"/>
        <s v="ORDA8FFCC21"/>
        <s v="ORD60289A86"/>
        <s v="ORD11223A8B"/>
        <s v="ORDDD569578"/>
        <s v="ORD0F083F63"/>
        <s v="ORDFF9E6C71"/>
        <s v="ORD388BDD39"/>
        <s v="ORD0897F739"/>
        <s v="ORD2581DE54"/>
        <s v="ORDAF261EC7"/>
        <s v="ORDE36589D4"/>
        <s v="ORDD51A3F65"/>
        <s v="ORDAC9C6143"/>
        <s v="ORDF226F850"/>
        <s v="ORDAFBD14D3"/>
        <s v="ORDFC924F92"/>
        <s v="ORD8D38A4EE"/>
        <s v="ORD86CA491E"/>
        <s v="ORD90FEFB18"/>
        <s v="ORD080DDCA0"/>
        <s v="ORD34A4F6AA"/>
        <s v="ORD1F6BE90D"/>
        <s v="ORDAE65DAE6"/>
        <s v="ORD41659D3D"/>
        <s v="ORDD3019359"/>
        <s v="ORD5941330E"/>
        <s v="ORD55718292"/>
        <s v="ORDEA2BEBC4"/>
        <s v="ORDF74E3FC5"/>
        <s v="ORD85E87453"/>
        <s v="ORDBD12175E"/>
        <s v="ORD298361D5"/>
        <s v="ORD08EC8E68"/>
        <s v="ORD813CDDF8"/>
        <s v="ORD8716EFBB"/>
        <s v="ORDF069BD4C"/>
        <s v="ORD29303820"/>
        <s v="ORD499167D0"/>
        <s v="ORD7FD8050A"/>
        <s v="ORD6DC8BBCB"/>
        <s v="ORD2803D032"/>
        <s v="ORD9D1E82F5"/>
        <s v="ORD529158C3"/>
        <s v="ORDAE06E363"/>
        <s v="ORDECD3CE7A"/>
        <s v="ORDDDD0AFDD"/>
        <s v="ORD9674BDB4"/>
        <s v="ORD4BD241E6"/>
        <s v="ORDAE06CF47"/>
        <s v="ORD58D925DC"/>
        <s v="ORD8360E307"/>
        <s v="ORDD3B3CC7B"/>
        <s v="ORD10E43794"/>
        <s v="ORDC0BEE34F"/>
        <s v="ORDC3C3F5AD"/>
        <s v="ORD94569928"/>
        <s v="ORD5B36DAE5"/>
        <s v="ORDEEC97B27"/>
        <s v="ORDB752052E"/>
        <s v="ORD31E0100D"/>
        <s v="ORDFD4100F7"/>
        <s v="ORD5E9A886C"/>
        <s v="ORDB9AD62E4"/>
        <s v="ORD30545B5E"/>
        <s v="ORD853E27A3"/>
        <s v="ORD2041ED25"/>
        <s v="ORD0477221A"/>
        <s v="ORD0F3AE8C1"/>
        <s v="ORD1382717A"/>
        <s v="ORD36197AA6"/>
        <s v="ORDF8C0EF27"/>
        <s v="ORDFF9E85A7"/>
        <s v="ORD401E71F9"/>
        <s v="ORD29E70E31"/>
        <s v="ORD53282B76"/>
        <s v="ORD7D2BB224"/>
        <s v="ORDD6B4FF5D"/>
        <s v="ORDA172EAA4"/>
        <s v="ORD20B354B1"/>
        <s v="ORDA299FB8A"/>
        <s v="ORDAD558D73"/>
        <s v="ORD6E66EE41"/>
        <s v="ORD58C026C3"/>
        <s v="ORD359497A5"/>
        <s v="ORD25FD5905"/>
        <s v="ORDCD6EF3F0"/>
        <s v="ORDCF7BED32"/>
        <s v="ORDF36CCF36"/>
        <s v="ORD99DBBDA9"/>
        <s v="ORDA0639FDD"/>
        <s v="ORD08369647"/>
        <s v="ORD3BFAA436"/>
        <s v="ORDCFC76661"/>
        <s v="ORD4F346BE8"/>
        <s v="ORD1D7D2621"/>
        <s v="ORD49ABB083"/>
        <s v="ORDFAFD90FE"/>
        <s v="ORDD5EF4771"/>
        <s v="ORDD337EAC7"/>
        <s v="ORD9B6B1081"/>
        <s v="ORDCF25BFF5"/>
        <s v="ORDF47D5B13"/>
        <s v="ORDD7AFF27E"/>
        <s v="ORDDADBBACA"/>
        <s v="ORDF7CABB87"/>
        <s v="ORDB7A2B72D"/>
        <s v="ORD8D768E00"/>
        <s v="ORD7922BDEE"/>
        <s v="ORD0B6A82E2"/>
        <s v="ORD9D0E19BC"/>
        <s v="ORD10E2A37E"/>
        <s v="ORD69B7AB75"/>
        <s v="ORD6A692EC2"/>
        <s v="ORD1AADA42C"/>
        <s v="ORDAC0D5471"/>
        <s v="ORD2EF2B84A"/>
        <s v="ORD3BA2B362"/>
        <s v="ORD53024126"/>
        <s v="ORDF9CF904C"/>
        <s v="ORDF669E4D9"/>
        <s v="ORD83E321C1"/>
        <s v="ORDAB2D106E"/>
        <s v="ORD3B7055CC"/>
        <s v="ORDFCC4472F"/>
        <s v="ORDB44DA278"/>
        <s v="ORDCA9EA729"/>
        <s v="ORDE114A354"/>
        <s v="ORDBC3B593D"/>
        <s v="ORD499FEA84"/>
        <s v="ORDB1702BC7"/>
        <s v="ORD2818688D"/>
        <s v="ORD68EEF512"/>
        <s v="ORDBD32B02E"/>
        <s v="ORD68816BC8"/>
        <s v="ORD0D0DF124"/>
        <s v="ORD6B06769C"/>
        <s v="ORDB550A1E8"/>
        <s v="ORD8E4F984B"/>
        <s v="ORD2740AD57"/>
        <s v="ORD1C971EF3"/>
        <s v="ORD51E7ACCA"/>
        <s v="ORD14367782"/>
        <s v="ORDA2C502DA"/>
        <s v="ORD73F02C9A"/>
        <s v="ORD4AD3719D"/>
        <s v="ORD03462F75"/>
        <s v="ORD5760040B"/>
        <s v="ORD123C3E0C"/>
        <s v="ORD0CFD856C"/>
        <s v="ORD52FE0B3C"/>
        <s v="ORDD02D855B"/>
        <s v="ORD52B3E319"/>
        <s v="ORDCFB464AB"/>
        <s v="ORD1070E2EB"/>
        <s v="ORD9666E938"/>
        <s v="ORD8A153BFC"/>
        <s v="ORD426847B4"/>
        <s v="ORD654590BE"/>
        <s v="ORD77B6FE60"/>
        <s v="ORD9904BABB"/>
        <s v="ORD7E7C1AD1"/>
        <s v="ORD5DD338A5"/>
        <s v="ORD2EED86F2"/>
        <s v="ORD8FE9CECE"/>
        <s v="ORD7BD8B76D"/>
        <s v="ORDC33C93E0"/>
        <s v="ORD9931C1EF"/>
        <s v="ORDCD216A8B"/>
        <s v="ORD7A36FE19"/>
        <s v="ORD69558082"/>
        <s v="ORDEF4DFB55"/>
        <s v="ORD5461622C"/>
        <s v="ORD0F8624F0"/>
        <s v="ORDAE02EA35"/>
        <s v="ORDA5643687"/>
        <s v="ORD0E8FB2FF"/>
        <s v="ORD2FC84918"/>
        <s v="ORD91607DB7"/>
        <s v="ORD24F8171F"/>
        <s v="ORD4A69A7EA"/>
        <s v="ORD10EDF58F"/>
        <s v="ORD6D1D6F60"/>
        <s v="ORD715734DE"/>
        <s v="ORD2F8C7756"/>
        <s v="ORDB88E1FEA"/>
        <s v="ORD17F04AF0"/>
        <s v="ORD14D1E0AE"/>
        <s v="ORDA2228405"/>
        <s v="ORD699DD204"/>
        <s v="ORD5D79E309"/>
        <s v="ORDA2BA316D"/>
        <s v="ORD8CE5D2A5"/>
        <s v="ORD6ECAA4B2"/>
        <s v="ORD84159F0A"/>
        <s v="ORDA221AE0D"/>
        <s v="ORD8D59623D"/>
        <s v="ORDF153BCA9"/>
        <s v="ORDFD4425A1"/>
        <s v="ORD1092E4B0"/>
        <s v="ORD6F8F498F"/>
        <s v="ORD6761FC06"/>
        <s v="ORD8A169F32"/>
        <s v="ORD71D26053"/>
        <s v="ORDFB70C844"/>
        <s v="ORD5BCC37FD"/>
        <s v="ORDAF9E3329"/>
        <s v="ORD069BDDE3"/>
        <s v="ORD6B4649BB"/>
        <s v="ORDFB16346D"/>
        <s v="ORD5EE75023"/>
        <s v="ORD1F8A3ACE"/>
        <s v="ORDC54D9778"/>
        <s v="ORD7F5D6B19"/>
        <s v="ORD62B6D568"/>
        <s v="ORD67C2CBBB"/>
        <s v="ORD98418503"/>
        <s v="ORD5AE04959"/>
        <s v="ORD05A23CD3"/>
        <s v="ORDBAACCBEA"/>
        <s v="ORD4455F614"/>
        <s v="ORDD6105555"/>
        <s v="ORD7F08271D"/>
        <s v="ORD94B0AEE1"/>
        <s v="ORDE8964B3D"/>
        <s v="ORD9EB85520"/>
        <s v="ORDAF13B5FC"/>
        <s v="ORD0FDE4773"/>
        <s v="ORD258515C7"/>
        <s v="ORD6BD152B8"/>
        <s v="ORD824A620B"/>
        <s v="ORD48AC8174"/>
        <s v="ORD58759C0F"/>
        <s v="ORDEC6426B5"/>
        <s v="ORDD6739D47"/>
        <s v="ORD9E8FEC70"/>
        <s v="ORDBA41F352"/>
        <s v="ORDB53B66CE"/>
        <s v="ORD16FA4A86"/>
        <s v="ORD483673C2"/>
        <s v="ORD9AA6F8B2"/>
        <s v="ORD73B1E769"/>
        <s v="ORD961CF554"/>
        <s v="ORDEE098654"/>
        <s v="ORD22EEC32C"/>
        <s v="ORD6B979663"/>
        <s v="ORDABB45871"/>
        <s v="ORD0E52982E"/>
        <s v="ORD988003E4"/>
        <s v="ORD98572CC3"/>
        <s v="ORD6E0B7E6B"/>
        <s v="ORDF55708EA"/>
        <s v="ORDC77A6AB3"/>
        <s v="ORD9805E918"/>
        <s v="ORDA51FE905"/>
        <s v="ORD710E8CEA"/>
        <s v="ORD718C0EAE"/>
        <s v="ORD96C7807C"/>
        <s v="ORD8EEE592D"/>
        <s v="ORD4A1E0C10"/>
        <s v="ORD1C4ADF74"/>
        <s v="ORD85A719C2"/>
        <s v="ORDEB717FB0"/>
        <s v="ORDEECD2289"/>
        <s v="ORD23FA46EB"/>
        <s v="ORD0AED576A"/>
        <s v="ORD27746CE8"/>
        <s v="ORDED224276"/>
        <s v="ORDD3C4078D"/>
        <s v="ORD013353BA"/>
        <s v="ORDBD7A5DD0"/>
        <s v="ORD4A1A0C8F"/>
        <s v="ORD835B9B7E"/>
        <s v="ORDA3714A58"/>
        <s v="ORD1A191C7B"/>
        <s v="ORDF9DEBC18"/>
        <s v="ORDFB79002C"/>
        <s v="ORD00B676CD"/>
        <s v="ORD165C047B"/>
        <s v="ORDBC317754"/>
        <s v="ORDB9632EF0"/>
        <s v="ORD0A0D0A52"/>
        <s v="ORD9EA6D48D"/>
        <s v="ORD692B89FA"/>
        <s v="ORDCEEC7A53"/>
        <s v="ORD47A6732E"/>
        <s v="ORD5A3108EF"/>
        <s v="ORD18B0C204"/>
        <s v="ORD285B422B"/>
        <s v="ORD27412A18"/>
        <s v="ORD934ADD30"/>
        <s v="ORD0CE73B0A"/>
        <s v="ORDE8ED90EB"/>
        <s v="ORD07083408"/>
        <s v="ORDB83839F9"/>
        <s v="ORD299F21D1"/>
        <s v="ORDD2978539"/>
        <s v="ORD2523ED20"/>
        <s v="ORDC5FB63E5"/>
        <s v="ORDEE309E95"/>
        <s v="ORDAA778006"/>
        <s v="ORD2C111B94"/>
        <s v="ORDA1B09787"/>
        <s v="ORDF365C119"/>
        <s v="ORDEEE5C27E"/>
        <s v="ORD58B516A9"/>
        <s v="ORD7E0D3009"/>
        <s v="ORDB2156D61"/>
        <s v="ORD36C83581"/>
        <s v="ORD91E7A1FC"/>
        <s v="ORD5F889470"/>
        <s v="ORDCD2B9AA7"/>
        <s v="ORD9DB1DE4E"/>
        <s v="ORDCA97D6B3"/>
        <s v="ORD148F99D7"/>
        <s v="ORD3E6A4826"/>
        <s v="ORD9B152F7D"/>
        <s v="ORDE89BA34B"/>
        <s v="ORDE6E7F9FC"/>
        <s v="ORD87CF49F1"/>
        <s v="ORD0B3CE824"/>
        <s v="ORD3BE3BFD6"/>
        <s v="ORD69032A4D"/>
        <s v="ORD2054BCE5"/>
        <s v="ORD9F52713D"/>
        <s v="ORD030D09B0"/>
        <s v="ORDF77C5EFD"/>
        <s v="ORD792B6306"/>
        <s v="ORDAFAAACE2"/>
        <s v="ORD17C209B7"/>
        <s v="ORD5288A725"/>
        <s v="ORDFBE7D4BA"/>
        <s v="ORD624BEFE4"/>
        <s v="ORD03C1A685"/>
        <s v="ORDD8A5E597"/>
        <s v="ORD4B9AF612"/>
        <s v="ORD5363D3A7"/>
        <s v="ORD46827871"/>
        <s v="ORD90C5F740"/>
        <s v="ORDC7962C77"/>
        <s v="ORDFF9DA64B"/>
        <s v="ORDAFB80470"/>
        <s v="ORD37628223"/>
        <s v="ORD461790EA"/>
        <s v="ORD561FEA69"/>
        <s v="ORDBC15500F"/>
        <s v="ORDD04871D9"/>
        <s v="ORD0D155F8B"/>
        <s v="ORD4DB9A41F"/>
        <s v="ORD831342F7"/>
        <s v="ORDBD9AC0B7"/>
        <s v="ORD4F935162"/>
        <s v="ORD4A6F87AA"/>
        <s v="ORDC8F46809"/>
        <s v="ORD37777944"/>
        <s v="ORD50B416F0"/>
        <s v="ORD0ED8D5C8"/>
        <s v="ORD0B66DB25"/>
        <s v="ORD4CC89961"/>
        <s v="ORDE72EFE11"/>
        <s v="ORD55E9418D"/>
        <s v="ORD1365CC3A"/>
        <s v="ORD84DA163A"/>
        <s v="ORD1A732A51"/>
        <s v="ORDAE45B758"/>
        <s v="ORDA48044D8"/>
        <s v="ORD615521A5"/>
        <s v="ORD8440793D"/>
        <s v="ORD8DFCB35B"/>
        <s v="ORD92FCAB6D"/>
        <s v="ORD88A31F20"/>
        <s v="ORD33900B3E"/>
        <s v="ORD1E10D41E"/>
        <s v="ORD033395FE"/>
        <s v="ORD42A84B4A"/>
        <s v="ORD3B709DF1"/>
        <s v="ORD36877602"/>
        <s v="ORDD6276B48"/>
        <s v="ORD57A8525A"/>
        <s v="ORDFCEFC893"/>
        <s v="ORD34D80E48"/>
        <s v="ORDDB1E7E3D"/>
        <s v="ORDF94E073C"/>
        <s v="ORDADF382FE"/>
        <s v="ORD9B798FB6"/>
        <s v="ORD12E0DA90"/>
        <s v="ORDBA1C82B2"/>
        <s v="ORD5A363EE9"/>
        <s v="ORD83E2C9A3"/>
        <s v="ORDF290E83E"/>
        <s v="ORD5049A5E3"/>
        <s v="ORD3D836E77"/>
        <s v="ORDB87B09E1"/>
        <s v="ORD12354ED8"/>
        <s v="ORD0B0D4D1C"/>
        <s v="ORDE9DC7081"/>
        <s v="ORDB47E8E67"/>
        <s v="ORD33B25819"/>
        <s v="ORD8287EE27"/>
        <s v="ORDBDBE2ED4"/>
        <s v="ORDCDB2C0FE"/>
        <s v="ORD969DBF9B"/>
        <s v="ORD82D94BE2"/>
        <s v="ORDBACC17C0"/>
        <s v="ORDB1E349F7"/>
        <s v="ORD35E27F03"/>
        <s v="ORD7BA0786C"/>
        <s v="ORDBE7851B5"/>
        <s v="ORD39AEDDFA"/>
        <s v="ORD280E048E"/>
        <s v="ORDFF229C38"/>
        <s v="ORDF6C42059"/>
        <s v="ORDA706FDD4"/>
        <s v="ORDA4B6F054"/>
        <s v="ORD273A6A84"/>
        <s v="ORDBA749454"/>
        <s v="ORDF1D791EF"/>
        <s v="ORD7129EA2B"/>
        <s v="ORD10C355BC"/>
        <s v="ORDD82E56DE"/>
        <s v="ORD139EA3AA"/>
        <s v="ORDA66D3BC6"/>
        <s v="ORDB25AA48B"/>
        <s v="ORD74F6DC1B"/>
        <s v="ORD71C33DE4"/>
        <s v="ORDAA553A32"/>
        <s v="ORDF9403F3A"/>
        <s v="ORD60DF8ACE"/>
        <s v="ORD18DE9F37"/>
        <s v="ORDBA4BC16D"/>
        <s v="ORDC46D5C1B"/>
        <s v="ORDAD3393E7"/>
        <s v="ORDE271DFBC"/>
        <s v="ORD536336CF"/>
        <s v="ORDC1EE601D"/>
        <s v="ORD7B95D0AF"/>
        <s v="ORD1B6F721B"/>
        <s v="ORD674D382C"/>
        <s v="ORDA865E351"/>
        <s v="ORD5803E7B2"/>
        <s v="ORD8C0D32D9"/>
        <s v="ORD866CEAB6"/>
        <s v="ORDEFED1C50"/>
        <s v="ORDB390688C"/>
        <s v="ORDA1C96460"/>
        <s v="ORD460E0188"/>
        <s v="ORDEF98006A"/>
        <s v="ORD6A46CE7C"/>
        <s v="ORDD93150BB"/>
        <s v="ORD47FFA5D1"/>
        <s v="ORDDF95252D"/>
        <s v="ORD1354999E"/>
        <s v="ORDCEB03674"/>
        <s v="ORD669728C6"/>
        <s v="ORD150FE450"/>
        <s v="ORDDAFFC71C"/>
        <s v="ORDEAC9663E"/>
        <s v="ORDCE79CBBA"/>
        <s v="ORD718A9EB5"/>
        <s v="ORD6E751104"/>
        <s v="ORD177C0CAB"/>
        <s v="ORD18A66171"/>
        <s v="ORD1B6E0F1D"/>
        <s v="ORD2699A6C6"/>
        <s v="ORD7E808194"/>
        <s v="ORDA41431AA"/>
        <s v="ORDC1D78D76"/>
        <s v="ORDB7C9D2AA"/>
        <s v="ORD8A1E492A"/>
        <s v="ORDCCE5D37C"/>
        <s v="ORD5CDEAB49"/>
        <s v="ORD7FB59C22"/>
        <s v="ORD08FC82F2"/>
        <s v="ORDA4ED4233"/>
        <s v="ORD01EE0FDF"/>
        <s v="ORDE02E17CF"/>
        <s v="ORDFBB3149D"/>
        <s v="ORDAB6A0993"/>
        <s v="ORD5C6CF9D9"/>
        <s v="ORDCF1B984B"/>
        <s v="ORD063C8E29"/>
        <s v="ORDED52C91C"/>
        <s v="ORDEF178CB1"/>
        <s v="ORD1BFD68F4"/>
        <s v="ORD82660D6B"/>
        <s v="ORD2FB2577F"/>
        <s v="ORD3CD9479C"/>
        <s v="ORD7CF51533"/>
        <s v="ORD5D1ED606"/>
        <s v="ORD6397D7F3"/>
        <s v="ORD20DC2001"/>
        <s v="ORD3D3B132B"/>
        <s v="ORD6D42AE65"/>
        <s v="ORD5ACB557F"/>
        <s v="ORDAF49DC6A"/>
        <s v="ORDA95CBC38"/>
        <s v="ORDF3BF0CEC"/>
        <s v="ORDCBA769D7"/>
        <s v="ORD7A5144F3"/>
        <s v="ORDE144245A"/>
        <s v="ORD712BC4E4"/>
        <s v="ORDE778BBEE"/>
        <s v="ORD1A271D74"/>
        <s v="ORDD06C03E1"/>
        <s v="ORDE7CEDB88"/>
        <s v="ORD1A81EF7F"/>
        <s v="ORDF6C241E8"/>
        <s v="ORDEE1E71CF"/>
        <s v="ORDD8B73538"/>
        <s v="ORDFFCBE0FF"/>
        <s v="ORD507DCEBD"/>
        <s v="ORDCE811666"/>
        <s v="ORD686AD90E"/>
        <s v="ORD89CFF058"/>
        <s v="ORD219EB5B6"/>
        <s v="ORD46C8DB24"/>
        <s v="ORDE4FC629C"/>
        <s v="ORDAA09BFDF"/>
        <s v="ORD963ED2D5"/>
        <s v="ORDE23D5291"/>
        <s v="ORDA2F6A682"/>
        <s v="ORD2A20E2FA"/>
        <s v="ORD3BDE5937"/>
        <s v="ORDBDB8076B"/>
        <s v="ORDD72ACB7D"/>
        <s v="ORDB37AE65B"/>
        <s v="ORD980FBA45"/>
        <s v="ORDB0107A10"/>
        <s v="ORDCD24C540"/>
        <s v="ORD0DE6E633"/>
        <s v="ORD16444F63"/>
        <s v="ORDA2644AE2"/>
        <s v="ORD1F5A51D8"/>
        <s v="ORDA211D3B6"/>
        <s v="ORD1885B01E"/>
        <s v="ORD9DFEED9F"/>
        <s v="ORDCFB77A49"/>
        <s v="ORD5D98E90F"/>
        <s v="ORDBA501E14"/>
        <s v="ORDEDDD0E28"/>
        <s v="ORD15F51231"/>
        <s v="ORDF20939A8"/>
        <s v="ORD9A03CFD1"/>
        <s v="ORD4F2B54BC"/>
        <s v="ORDC4F025A2"/>
        <s v="ORD15099154"/>
        <s v="ORD34DF874D"/>
        <s v="ORD474109C3"/>
        <s v="ORDBC4B4537"/>
        <s v="ORDE553C1C4"/>
        <s v="ORDE024A91B"/>
        <s v="ORD72DDE790"/>
        <s v="ORD767FCCD1"/>
        <s v="ORD83AE1581"/>
        <s v="ORD9918628E"/>
        <s v="ORD4915E281"/>
        <s v="ORD60EBD64B"/>
        <s v="ORD0BECA94E"/>
        <s v="ORD87D31825"/>
        <s v="ORDBE278AB9"/>
        <s v="ORD4ACE5609"/>
        <s v="ORD1288F951"/>
        <s v="ORD316B36AB"/>
        <s v="ORDAE4E9118"/>
        <s v="ORD8B1C8BDD"/>
        <s v="ORDB80498FB"/>
        <s v="ORDDE84E319"/>
        <s v="ORDFC335562"/>
        <s v="ORD4CC10BDB"/>
        <s v="ORD1EC86229"/>
        <s v="ORDE8443062"/>
        <s v="ORD01E09102"/>
        <s v="ORD6E73F741"/>
        <s v="ORDE43EA333"/>
        <s v="ORD77E30EA8"/>
        <s v="ORD1C16DDB8"/>
        <s v="ORD382C44EE"/>
        <s v="ORD2AB9A10E"/>
        <s v="ORD544E035C"/>
        <s v="ORDF8935AB2"/>
        <s v="ORD16020785"/>
        <s v="ORD9B734C8D"/>
        <s v="ORD3E1DD8A9"/>
        <s v="ORDCE58D882"/>
        <s v="ORDF4CD963B"/>
        <s v="ORD34CAFCFE"/>
        <s v="ORD7A9D9368"/>
        <s v="ORD8CE61E61"/>
        <s v="ORD4ACA67F4"/>
        <s v="ORDC1C838A1"/>
        <s v="ORD84B4C550"/>
        <s v="ORD5CE0FB0B"/>
        <s v="ORDA969C1C5"/>
        <s v="ORD8831B40E"/>
        <s v="ORDC7521A67"/>
        <s v="ORD48BD8E94"/>
        <s v="ORDA4FB1EAB"/>
        <s v="ORD1122EDB0"/>
        <s v="ORD78E96BFD"/>
        <s v="ORD803882AA"/>
        <s v="ORDBC130BC6"/>
        <s v="ORDF7EBBBCC"/>
        <s v="ORD487BFD99"/>
        <s v="ORDB2367C33"/>
        <s v="ORD2C54B9FA"/>
        <s v="ORD95C0A382"/>
        <s v="ORD846EC034"/>
        <s v="ORD882DA065"/>
        <s v="ORDC5DB036D"/>
        <s v="ORDF914139A"/>
        <s v="ORD350B4C7E"/>
        <s v="ORD67A66583"/>
        <s v="ORD85B552A1"/>
        <s v="ORD3A766F66"/>
        <s v="ORD5FA49A74"/>
        <s v="ORD25AF4955"/>
        <s v="ORD11460117"/>
        <s v="ORDF3D81635"/>
        <s v="ORDF479EA6E"/>
        <s v="ORDE64DB06F"/>
        <s v="ORDEBD1F244"/>
        <s v="ORD65CE382F"/>
        <s v="ORD3C2BDB4E"/>
        <s v="ORD557FDB7B"/>
        <s v="ORDE2998659"/>
        <s v="ORD1D888EAA"/>
        <s v="ORD79E41C85"/>
        <s v="ORD4CDE02E6"/>
        <s v="ORDE0E31287"/>
        <s v="ORDDE7C63E0"/>
        <s v="ORDD2C71BC3"/>
        <s v="ORD56CBD766"/>
        <s v="ORD8E3D6823"/>
        <s v="ORD5DAEA872"/>
        <s v="ORDBE1858A5"/>
        <s v="ORDB7DEF6C5"/>
        <s v="ORD8986B089"/>
        <s v="ORD4D522982"/>
        <s v="ORD4E53D828"/>
        <s v="ORD55C98D8B"/>
        <s v="ORD48084314"/>
        <s v="ORD0C2709DB"/>
        <s v="ORDC093D97F"/>
        <s v="ORD9F55BB83"/>
        <s v="ORD356C337E"/>
        <s v="ORDA3D9C0D8"/>
        <s v="ORDA0AC937F"/>
        <s v="ORDC93824DD"/>
        <s v="ORD5173A3CD"/>
        <s v="ORD51B68319"/>
        <s v="ORD81A4B87D"/>
        <s v="ORDE3D4F1AF"/>
        <s v="ORDC9E2D68E"/>
        <s v="ORD69C9BF53"/>
        <s v="ORD09B1EB59"/>
        <s v="ORD39095093"/>
        <s v="ORD53BD83C5"/>
        <s v="ORD77BD9DC2"/>
        <s v="ORDAF04C004"/>
        <s v="ORD622A860D"/>
        <s v="ORDE84B2791"/>
        <s v="ORD38F3D407"/>
        <s v="ORD6F3BB49F"/>
        <s v="ORD77DCACD2"/>
        <s v="ORD04E430B5"/>
        <s v="ORD615F330C"/>
        <s v="ORD480EE40E"/>
        <s v="ORD75AFB1A6"/>
        <s v="ORD3FE6B890"/>
        <s v="ORD8D95805E"/>
        <s v="ORDAB496957"/>
        <s v="ORDFC8161BA"/>
        <s v="ORD0EB2847E"/>
        <s v="ORD00995A9D"/>
        <s v="ORD460DD235"/>
        <s v="ORDDF490C77"/>
        <s v="ORD68C3E215"/>
        <s v="ORD47326FAD"/>
        <s v="ORD469A5AD9"/>
        <s v="ORDCCE4BF29"/>
        <s v="ORD80726487"/>
        <s v="ORD86E37032"/>
        <s v="ORD73679EF7"/>
        <s v="ORD39C49E1C"/>
        <s v="ORD59D360F4"/>
        <s v="ORD2FA9F471"/>
        <s v="ORD6F50DD36"/>
        <s v="ORD2CE80C9D"/>
        <s v="ORDE936BCE2"/>
        <s v="ORD0D967FA6"/>
        <s v="ORDA289440B"/>
        <s v="ORDB0706930"/>
        <s v="ORDD530F251"/>
        <s v="ORDE3C06696"/>
        <s v="ORD0D37E4B6"/>
        <s v="ORD92268FF5"/>
        <s v="ORD165DCF9C"/>
        <s v="ORDA0A935DB"/>
        <s v="ORD1B92DE21"/>
        <s v="ORD4453C9BF"/>
        <s v="ORD28FEF32E"/>
        <s v="ORD280A5BD3"/>
        <s v="ORD9F2321BE"/>
        <s v="ORDE4348180"/>
        <s v="ORD06968F91"/>
        <s v="ORDE022F2EB"/>
        <s v="ORDCB5AB06B"/>
        <s v="ORD957C97B7"/>
        <s v="ORDB2E3F996"/>
        <s v="ORDE5BCBE7E"/>
        <s v="ORD596C2D8A"/>
        <s v="ORD22BDFC23"/>
        <s v="ORDD4D843DF"/>
        <s v="ORDBB126E5A"/>
        <s v="ORDF5E53881"/>
        <s v="ORD4C8B4C4A"/>
        <s v="ORDFA0BBD25"/>
        <s v="ORD6A66384F"/>
        <s v="ORD9A68A60E"/>
        <s v="ORDFD6F8DCB"/>
        <s v="ORDEE2D3FDF"/>
        <s v="ORD3F9E455C"/>
        <s v="ORDDE1FB169"/>
        <s v="ORD04460AE2"/>
        <s v="ORD5C36C495"/>
        <s v="ORDA3B3D165"/>
        <s v="ORD88141209"/>
        <s v="ORDEA7A297C"/>
        <s v="ORDED12D721"/>
        <s v="ORD378151C7"/>
        <s v="ORDD8CD4248"/>
        <s v="ORD969CE28B"/>
        <s v="ORD4BC9441C"/>
        <s v="ORD7E1E6175"/>
        <s v="ORD1E0244EE"/>
        <s v="ORDACE44F81"/>
        <s v="ORDC7FFED78"/>
        <s v="ORDF9AEF6F0"/>
        <s v="ORD848A9600"/>
        <s v="ORD1676E800"/>
        <s v="ORD897A3B8F"/>
        <s v="ORDDC6B5D35"/>
        <s v="ORD95EF26AA"/>
        <s v="ORDD6F71F1F"/>
        <s v="ORDD716D081"/>
        <s v="ORD2517197C"/>
        <s v="ORD8A7513EA"/>
        <s v="ORDF85503F0"/>
        <s v="ORD2CD6D422"/>
        <s v="ORD781ECFD9"/>
        <s v="ORDD8CD4A40"/>
        <s v="ORDE038E162"/>
        <s v="ORDEAAA76C1"/>
        <s v="ORDF4A43DA2"/>
        <s v="ORD92DB8DC1"/>
        <s v="ORD8F6ABE00"/>
        <s v="ORD48D780C3"/>
        <s v="ORDCCBEFD3B"/>
        <s v="ORDE696372B"/>
        <s v="ORD62D766A7"/>
        <s v="ORDA8BAEDBB"/>
        <s v="ORD361832E3"/>
        <s v="ORDB944D20E"/>
        <s v="ORDD8389F8E"/>
        <s v="ORD93E17B42"/>
        <s v="ORD08A199F5"/>
        <s v="ORD8ED3E8B6"/>
        <s v="ORD1FA20179"/>
        <s v="ORD11A93393"/>
        <s v="ORD967A339A"/>
        <s v="ORDBAE29683"/>
        <s v="ORDAE1B5C4C"/>
        <s v="ORDDB94350A"/>
        <s v="ORDE468C02E"/>
        <s v="ORDEC8CC18F"/>
        <s v="ORD9563D1E9"/>
        <s v="ORD7699AAAD"/>
        <s v="ORDFA1233E2"/>
        <s v="ORDD344FEE5"/>
        <s v="ORD3FED3AEB"/>
        <s v="ORD376CEC0C"/>
        <s v="ORDCFC41D89"/>
        <s v="ORD5AA9B2A8"/>
        <s v="ORDEA910BBE"/>
        <s v="ORDC681F3B6"/>
        <s v="ORD0ADAD565"/>
        <s v="ORD43396626"/>
        <s v="ORD80DF1FFD"/>
        <s v="ORD85B9CABE"/>
        <s v="ORDC8BCB758"/>
        <s v="ORD2E326ACE"/>
        <s v="ORD29725621"/>
        <s v="ORD03A1C8B2"/>
        <s v="ORD36118A85"/>
        <s v="ORD3B50D713"/>
        <s v="ORD7130CF21"/>
        <s v="ORD6410B7CB"/>
        <s v="ORDFD23107D"/>
        <s v="ORDAD39E943"/>
        <s v="ORD89BA76FA"/>
        <s v="ORD9213C868"/>
        <s v="ORD6D054A08"/>
        <s v="ORD8F9B34ED"/>
        <s v="ORD8A693BF9"/>
        <s v="ORD12D96089"/>
        <s v="ORD672DE370"/>
        <s v="ORD7D975F51"/>
        <s v="ORDDB0C8BAE"/>
        <s v="ORD4AC5D7F7"/>
        <s v="ORDEE064A40"/>
        <s v="ORD19035B12"/>
        <s v="ORD61BFA24C"/>
        <s v="ORD7E69E899"/>
        <s v="ORD5315EE64"/>
        <s v="ORD91119141"/>
        <s v="ORDBD6E5DD9"/>
        <s v="ORDCAF6EE25"/>
        <s v="ORD92333AAB"/>
        <s v="ORD6DB46BB2"/>
        <s v="ORDA58D4CDC"/>
        <s v="ORD9CFE8382"/>
        <s v="ORD57BA4ACC"/>
        <s v="ORD70650B1A"/>
        <s v="ORD48756985"/>
        <s v="ORD7ECA8D19"/>
        <s v="ORD908B3B02"/>
        <s v="ORD300207BA"/>
        <s v="ORD6D71AF0A"/>
        <s v="ORD625A1BED"/>
        <s v="ORD163910A2"/>
        <s v="ORDC2DADFB1"/>
        <s v="ORDC63761E5"/>
        <s v="ORD7E5722BA"/>
        <s v="ORD76EAD7F6"/>
        <s v="ORDB3F77ADC"/>
        <s v="ORD65CC61E5"/>
        <s v="ORD165C7EDC"/>
        <s v="ORD1C488AFB"/>
        <s v="ORD08D160EE"/>
        <s v="ORD278CF89D"/>
        <s v="ORDD4B0D838"/>
        <s v="ORDFB368AE2"/>
        <s v="ORD8EFA344D"/>
        <s v="ORD377508EE"/>
        <s v="ORDE8F01CB0"/>
        <s v="ORDF518765F"/>
        <s v="ORD8C0EAEB1"/>
        <s v="ORDAB2BD8E5"/>
        <s v="ORDA4EEDE02"/>
        <s v="ORD76086196"/>
        <s v="ORD225995CE"/>
        <s v="ORD2AC2B108"/>
        <s v="ORD860A853C"/>
        <s v="ORDC43A0C03"/>
        <s v="ORD229F7127"/>
        <s v="ORD58EAA706"/>
        <s v="ORDDDA5D46B"/>
        <s v="ORD65718B90"/>
        <s v="ORD1F935113"/>
        <s v="ORD79F1E6B9"/>
        <s v="ORDD2617851"/>
        <s v="ORD93A00DEB"/>
        <s v="ORD0448CCDC"/>
        <s v="ORD49A48B60"/>
        <s v="ORD75E180D9"/>
        <s v="ORD3B2FDD3D"/>
        <s v="ORD9F8D3F11"/>
        <s v="ORD4AE03A24"/>
        <s v="ORD3EE10B54"/>
        <s v="ORD7FD5553C"/>
        <s v="ORDCD7FE33E"/>
        <s v="ORD25C215BE"/>
        <s v="ORD70F0866A"/>
        <s v="ORDE3184023"/>
        <s v="ORD3843F2FE"/>
        <s v="ORD672A8616"/>
        <s v="ORD97EFCBE5"/>
        <s v="ORD32FF62D7"/>
        <s v="ORDBCCBC100"/>
        <s v="ORD3C210E23"/>
        <s v="ORD20601A05"/>
        <s v="ORDAD96AB2F"/>
        <s v="ORD53375B8B"/>
        <s v="ORD2E146635"/>
        <s v="ORDE10EE684"/>
        <s v="ORDE3B8EC79"/>
        <s v="ORD8B922A2D"/>
        <s v="ORDC3C79FA2"/>
        <s v="ORD725DE900"/>
        <s v="ORDA594DB3A"/>
        <s v="ORD43EF5810"/>
        <s v="ORD0DD69CAA"/>
        <s v="ORD1D6226EF"/>
        <s v="ORD78D36083"/>
        <s v="ORD6052C93B"/>
        <s v="ORD90C04D6D"/>
        <s v="ORDBFC152A2"/>
        <s v="ORDD9A3FD25"/>
        <s v="ORD92D88698"/>
        <s v="ORD73D5BC0D"/>
        <s v="ORD21421E9A"/>
        <s v="ORD4EA64143"/>
        <s v="ORD4CE37948"/>
        <s v="ORD459029C1"/>
        <s v="ORD6404BA57"/>
        <s v="ORD3DC096A4"/>
        <s v="ORDD54F98AA"/>
      </sharedItems>
    </cacheField>
    <cacheField name="Order_Date" numFmtId="0">
      <sharedItems/>
    </cacheField>
    <cacheField name=" Month" numFmtId="0">
      <sharedItems count="12">
        <s v="Jan"/>
        <s v="Feb"/>
        <s v="Mar"/>
        <s v="Apr"/>
        <s v="May"/>
        <s v="Jun"/>
        <s v="Jul"/>
        <s v="Aug"/>
        <s v="Sep"/>
        <s v="Oct"/>
        <s v="Nov"/>
        <s v="Dec"/>
      </sharedItems>
    </cacheField>
    <cacheField name="Customer_ID" numFmtId="0">
      <sharedItems/>
    </cacheField>
    <cacheField name="Product" numFmtId="0">
      <sharedItems count="10">
        <s v="Mobile"/>
        <s v="Headphones"/>
        <s v="Printer"/>
        <s v="Tablet"/>
        <s v="Camera"/>
        <s v="Mouse"/>
        <s v="Monitor"/>
        <s v="Keyboard"/>
        <s v="Laptop"/>
        <s v="Smartwatch"/>
      </sharedItems>
    </cacheField>
    <cacheField name="Units_Sold" numFmtId="0">
      <sharedItems containsSemiMixedTypes="0" containsString="0" containsNumber="1" containsInteger="1" minValue="1" maxValue="5"/>
    </cacheField>
    <cacheField name="Unit_Price" numFmtId="0">
      <sharedItems containsSemiMixedTypes="0" containsString="0" containsNumber="1" minValue="510.3" maxValue="49990.73"/>
    </cacheField>
    <cacheField name="Total_Revenue" numFmtId="0">
      <sharedItems containsSemiMixedTypes="0" containsString="0" containsNumber="1" minValue="553.29999999999995" maxValue="249953.65"/>
    </cacheField>
    <cacheField name="Region" numFmtId="0">
      <sharedItems count="4">
        <s v="North"/>
        <s v="South"/>
        <s v="West"/>
        <s v="East"/>
      </sharedItems>
    </cacheField>
    <cacheField name="Payment_Method" numFmtId="0">
      <sharedItems count="4">
        <s v="Credit Card"/>
        <s v="UPI"/>
        <s v="Debit Card"/>
        <s v="Cash"/>
      </sharedItems>
    </cacheField>
  </cacheFields>
  <extLst>
    <ext xmlns:x14="http://schemas.microsoft.com/office/spreadsheetml/2009/9/main" uri="{725AE2AE-9491-48be-B2B4-4EB974FC3084}">
      <x14:pivotCacheDefinition pivotCacheId="2403999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4">
  <r>
    <x v="0"/>
    <s v="2025-01-01"/>
    <x v="0"/>
    <s v="CUST1518"/>
    <x v="0"/>
    <n v="1"/>
    <n v="21690.49"/>
    <n v="21690.49"/>
    <x v="0"/>
    <x v="0"/>
  </r>
  <r>
    <x v="1"/>
    <s v="2025-01-01"/>
    <x v="0"/>
    <s v="CUST2778"/>
    <x v="1"/>
    <n v="1"/>
    <n v="44636.91"/>
    <n v="44636.91"/>
    <x v="1"/>
    <x v="1"/>
  </r>
  <r>
    <x v="2"/>
    <s v="2025-01-01"/>
    <x v="0"/>
    <s v="CUST8733"/>
    <x v="2"/>
    <n v="5"/>
    <n v="45119.3"/>
    <n v="225596.5"/>
    <x v="2"/>
    <x v="2"/>
  </r>
  <r>
    <x v="3"/>
    <s v="2025-01-01"/>
    <x v="0"/>
    <s v="CUST1675"/>
    <x v="2"/>
    <n v="5"/>
    <n v="48357.4"/>
    <n v="241787"/>
    <x v="1"/>
    <x v="0"/>
  </r>
  <r>
    <x v="4"/>
    <s v="2025-01-02"/>
    <x v="0"/>
    <s v="CUST5003"/>
    <x v="0"/>
    <n v="4"/>
    <n v="40106.019999999997"/>
    <n v="160424.07999999999"/>
    <x v="0"/>
    <x v="1"/>
  </r>
  <r>
    <x v="5"/>
    <s v="2025-01-02"/>
    <x v="0"/>
    <s v="CUST1345"/>
    <x v="3"/>
    <n v="3"/>
    <n v="40651.279999999999"/>
    <n v="121953.84"/>
    <x v="0"/>
    <x v="1"/>
  </r>
  <r>
    <x v="6"/>
    <s v="2025-01-02"/>
    <x v="0"/>
    <s v="CUST3228"/>
    <x v="0"/>
    <n v="4"/>
    <n v="15599.79"/>
    <n v="62399.16"/>
    <x v="0"/>
    <x v="3"/>
  </r>
  <r>
    <x v="7"/>
    <s v="2025-01-02"/>
    <x v="0"/>
    <s v="CUST2242"/>
    <x v="4"/>
    <n v="5"/>
    <n v="38998.800000000003"/>
    <n v="194994"/>
    <x v="0"/>
    <x v="0"/>
  </r>
  <r>
    <x v="8"/>
    <s v="2025-01-03"/>
    <x v="0"/>
    <s v="CUST6911"/>
    <x v="4"/>
    <n v="3"/>
    <n v="42359.53"/>
    <n v="127078.59"/>
    <x v="3"/>
    <x v="2"/>
  </r>
  <r>
    <x v="9"/>
    <s v="2025-01-03"/>
    <x v="0"/>
    <s v="CUST5980"/>
    <x v="0"/>
    <n v="1"/>
    <n v="42267.64"/>
    <n v="42267.64"/>
    <x v="2"/>
    <x v="3"/>
  </r>
  <r>
    <x v="10"/>
    <s v="2025-01-03"/>
    <x v="0"/>
    <s v="CUST4278"/>
    <x v="5"/>
    <n v="1"/>
    <n v="14588.05"/>
    <n v="14588.05"/>
    <x v="3"/>
    <x v="1"/>
  </r>
  <r>
    <x v="11"/>
    <s v="2025-01-03"/>
    <x v="0"/>
    <s v="CUST1107"/>
    <x v="5"/>
    <n v="2"/>
    <n v="46273.33"/>
    <n v="92546.66"/>
    <x v="1"/>
    <x v="1"/>
  </r>
  <r>
    <x v="12"/>
    <s v="2025-01-04"/>
    <x v="0"/>
    <s v="CUST5746"/>
    <x v="6"/>
    <n v="4"/>
    <n v="6990.65"/>
    <n v="27962.6"/>
    <x v="0"/>
    <x v="3"/>
  </r>
  <r>
    <x v="13"/>
    <s v="2025-01-04"/>
    <x v="0"/>
    <s v="CUST1621"/>
    <x v="7"/>
    <n v="2"/>
    <n v="1760.86"/>
    <n v="3521.72"/>
    <x v="2"/>
    <x v="2"/>
  </r>
  <r>
    <x v="14"/>
    <s v="2025-01-04"/>
    <x v="0"/>
    <s v="CUST5189"/>
    <x v="6"/>
    <n v="3"/>
    <n v="11930.53"/>
    <n v="35791.589999999997"/>
    <x v="2"/>
    <x v="1"/>
  </r>
  <r>
    <x v="15"/>
    <s v="2025-01-04"/>
    <x v="0"/>
    <s v="CUST6633"/>
    <x v="6"/>
    <n v="1"/>
    <n v="3820.43"/>
    <n v="3820.43"/>
    <x v="2"/>
    <x v="2"/>
  </r>
  <r>
    <x v="16"/>
    <s v="2025-01-04"/>
    <x v="0"/>
    <s v="CUST3679"/>
    <x v="2"/>
    <n v="5"/>
    <n v="22984.89"/>
    <n v="114924.45"/>
    <x v="3"/>
    <x v="0"/>
  </r>
  <r>
    <x v="17"/>
    <s v="2025-01-04"/>
    <x v="0"/>
    <s v="CUST6124"/>
    <x v="4"/>
    <n v="5"/>
    <n v="10989.05"/>
    <n v="54945.25"/>
    <x v="0"/>
    <x v="3"/>
  </r>
  <r>
    <x v="18"/>
    <s v="2025-01-04"/>
    <x v="0"/>
    <s v="CUST6866"/>
    <x v="3"/>
    <n v="1"/>
    <n v="16484.46"/>
    <n v="16484.46"/>
    <x v="0"/>
    <x v="2"/>
  </r>
  <r>
    <x v="19"/>
    <s v="2025-01-04"/>
    <x v="0"/>
    <s v="CUST9536"/>
    <x v="6"/>
    <n v="5"/>
    <n v="45237.23"/>
    <n v="226186.15"/>
    <x v="0"/>
    <x v="1"/>
  </r>
  <r>
    <x v="20"/>
    <s v="2025-01-05"/>
    <x v="0"/>
    <s v="CUST1327"/>
    <x v="8"/>
    <n v="2"/>
    <n v="34182.68"/>
    <n v="68365.36"/>
    <x v="2"/>
    <x v="0"/>
  </r>
  <r>
    <x v="21"/>
    <s v="2025-01-05"/>
    <x v="0"/>
    <s v="CUST2065"/>
    <x v="9"/>
    <n v="3"/>
    <n v="15756.64"/>
    <n v="47269.919999999998"/>
    <x v="1"/>
    <x v="2"/>
  </r>
  <r>
    <x v="22"/>
    <s v="2025-01-05"/>
    <x v="0"/>
    <s v="CUST3752"/>
    <x v="7"/>
    <n v="1"/>
    <n v="2042.7"/>
    <n v="2042.7"/>
    <x v="0"/>
    <x v="1"/>
  </r>
  <r>
    <x v="23"/>
    <s v="2025-01-05"/>
    <x v="0"/>
    <s v="CUST2680"/>
    <x v="1"/>
    <n v="2"/>
    <n v="35360.43"/>
    <n v="70720.86"/>
    <x v="0"/>
    <x v="0"/>
  </r>
  <r>
    <x v="24"/>
    <s v="2025-01-05"/>
    <x v="0"/>
    <s v="CUST5996"/>
    <x v="8"/>
    <n v="3"/>
    <n v="12802.29"/>
    <n v="38406.870000000003"/>
    <x v="1"/>
    <x v="2"/>
  </r>
  <r>
    <x v="25"/>
    <s v="2025-01-05"/>
    <x v="0"/>
    <s v="CUST7282"/>
    <x v="7"/>
    <n v="2"/>
    <n v="8932.1"/>
    <n v="17864.2"/>
    <x v="1"/>
    <x v="2"/>
  </r>
  <r>
    <x v="26"/>
    <s v="2025-01-06"/>
    <x v="0"/>
    <s v="CUST9254"/>
    <x v="0"/>
    <n v="1"/>
    <n v="30285.41"/>
    <n v="30285.41"/>
    <x v="3"/>
    <x v="2"/>
  </r>
  <r>
    <x v="27"/>
    <s v="2025-01-06"/>
    <x v="0"/>
    <s v="CUST4326"/>
    <x v="2"/>
    <n v="5"/>
    <n v="35572.14"/>
    <n v="177860.7"/>
    <x v="0"/>
    <x v="0"/>
  </r>
  <r>
    <x v="28"/>
    <s v="2025-01-06"/>
    <x v="0"/>
    <s v="CUST7390"/>
    <x v="6"/>
    <n v="1"/>
    <n v="46963.08"/>
    <n v="46963.08"/>
    <x v="2"/>
    <x v="3"/>
  </r>
  <r>
    <x v="29"/>
    <s v="2025-01-06"/>
    <x v="0"/>
    <s v="CUST4400"/>
    <x v="3"/>
    <n v="4"/>
    <n v="16639.75"/>
    <n v="66559"/>
    <x v="1"/>
    <x v="0"/>
  </r>
  <r>
    <x v="30"/>
    <s v="2025-01-07"/>
    <x v="0"/>
    <s v="CUST2378"/>
    <x v="1"/>
    <n v="2"/>
    <n v="31856.48"/>
    <n v="63712.959999999999"/>
    <x v="0"/>
    <x v="3"/>
  </r>
  <r>
    <x v="31"/>
    <s v="2025-01-07"/>
    <x v="0"/>
    <s v="CUST8704"/>
    <x v="1"/>
    <n v="3"/>
    <n v="19751.560000000001"/>
    <n v="59254.68"/>
    <x v="0"/>
    <x v="1"/>
  </r>
  <r>
    <x v="32"/>
    <s v="2025-01-07"/>
    <x v="0"/>
    <s v="CUST2430"/>
    <x v="4"/>
    <n v="5"/>
    <n v="17985.72"/>
    <n v="89928.6"/>
    <x v="1"/>
    <x v="2"/>
  </r>
  <r>
    <x v="33"/>
    <s v="2025-01-07"/>
    <x v="0"/>
    <s v="CUST2298"/>
    <x v="1"/>
    <n v="5"/>
    <n v="2528.36"/>
    <n v="12641.8"/>
    <x v="2"/>
    <x v="0"/>
  </r>
  <r>
    <x v="34"/>
    <s v="2025-01-07"/>
    <x v="0"/>
    <s v="CUST5866"/>
    <x v="8"/>
    <n v="3"/>
    <n v="30564.39"/>
    <n v="91693.17"/>
    <x v="2"/>
    <x v="2"/>
  </r>
  <r>
    <x v="35"/>
    <s v="2025-01-07"/>
    <x v="0"/>
    <s v="CUST2205"/>
    <x v="7"/>
    <n v="2"/>
    <n v="40371.089999999997"/>
    <n v="80742.179999999993"/>
    <x v="1"/>
    <x v="1"/>
  </r>
  <r>
    <x v="36"/>
    <s v="2025-01-07"/>
    <x v="0"/>
    <s v="CUST7415"/>
    <x v="6"/>
    <n v="5"/>
    <n v="45990.879999999997"/>
    <n v="229954.4"/>
    <x v="3"/>
    <x v="0"/>
  </r>
  <r>
    <x v="37"/>
    <s v="2025-01-08"/>
    <x v="0"/>
    <s v="CUST5429"/>
    <x v="5"/>
    <n v="4"/>
    <n v="15538.94"/>
    <n v="62155.76"/>
    <x v="1"/>
    <x v="2"/>
  </r>
  <r>
    <x v="38"/>
    <s v="2025-01-08"/>
    <x v="0"/>
    <s v="CUST6806"/>
    <x v="3"/>
    <n v="5"/>
    <n v="27891.06"/>
    <n v="139455.29999999999"/>
    <x v="2"/>
    <x v="1"/>
  </r>
  <r>
    <x v="39"/>
    <s v="2025-01-08"/>
    <x v="0"/>
    <s v="CUST1688"/>
    <x v="1"/>
    <n v="3"/>
    <n v="8522.2800000000007"/>
    <n v="25566.84"/>
    <x v="1"/>
    <x v="2"/>
  </r>
  <r>
    <x v="40"/>
    <s v="2025-01-08"/>
    <x v="0"/>
    <s v="CUST1342"/>
    <x v="1"/>
    <n v="3"/>
    <n v="44849.51"/>
    <n v="134548.53"/>
    <x v="0"/>
    <x v="3"/>
  </r>
  <r>
    <x v="41"/>
    <s v="2025-01-08"/>
    <x v="0"/>
    <s v="CUST9295"/>
    <x v="3"/>
    <n v="4"/>
    <n v="2372"/>
    <n v="9488"/>
    <x v="3"/>
    <x v="3"/>
  </r>
  <r>
    <x v="42"/>
    <s v="2025-01-08"/>
    <x v="0"/>
    <s v="CUST8772"/>
    <x v="8"/>
    <n v="4"/>
    <n v="47642.73"/>
    <n v="190570.92"/>
    <x v="0"/>
    <x v="2"/>
  </r>
  <r>
    <x v="43"/>
    <s v="2025-01-08"/>
    <x v="0"/>
    <s v="CUST2131"/>
    <x v="1"/>
    <n v="4"/>
    <n v="3643.3"/>
    <n v="14573.2"/>
    <x v="3"/>
    <x v="3"/>
  </r>
  <r>
    <x v="44"/>
    <s v="2025-01-09"/>
    <x v="0"/>
    <s v="CUST8807"/>
    <x v="5"/>
    <n v="4"/>
    <n v="23043.53"/>
    <n v="92174.12"/>
    <x v="0"/>
    <x v="2"/>
  </r>
  <r>
    <x v="45"/>
    <s v="2025-01-09"/>
    <x v="0"/>
    <s v="CUST3812"/>
    <x v="4"/>
    <n v="2"/>
    <n v="48339.23"/>
    <n v="96678.46"/>
    <x v="2"/>
    <x v="2"/>
  </r>
  <r>
    <x v="46"/>
    <s v="2025-01-09"/>
    <x v="0"/>
    <s v="CUST6757"/>
    <x v="2"/>
    <n v="3"/>
    <n v="45290.21"/>
    <n v="135870.63"/>
    <x v="3"/>
    <x v="1"/>
  </r>
  <r>
    <x v="47"/>
    <s v="2025-01-09"/>
    <x v="0"/>
    <s v="CUST9632"/>
    <x v="8"/>
    <n v="3"/>
    <n v="6394.16"/>
    <n v="19182.48"/>
    <x v="2"/>
    <x v="0"/>
  </r>
  <r>
    <x v="48"/>
    <s v="2025-01-09"/>
    <x v="0"/>
    <s v="CUST5418"/>
    <x v="5"/>
    <n v="1"/>
    <n v="7106.32"/>
    <n v="7106.32"/>
    <x v="1"/>
    <x v="2"/>
  </r>
  <r>
    <x v="49"/>
    <s v="2025-01-09"/>
    <x v="0"/>
    <s v="CUST2147"/>
    <x v="7"/>
    <n v="2"/>
    <n v="16907.28"/>
    <n v="33814.559999999998"/>
    <x v="0"/>
    <x v="1"/>
  </r>
  <r>
    <x v="50"/>
    <s v="2025-01-10"/>
    <x v="0"/>
    <s v="CUST5060"/>
    <x v="2"/>
    <n v="3"/>
    <n v="28227.360000000001"/>
    <n v="84682.08"/>
    <x v="3"/>
    <x v="0"/>
  </r>
  <r>
    <x v="51"/>
    <s v="2025-01-10"/>
    <x v="0"/>
    <s v="CUST7535"/>
    <x v="9"/>
    <n v="4"/>
    <n v="35388.21"/>
    <n v="141552.84"/>
    <x v="3"/>
    <x v="3"/>
  </r>
  <r>
    <x v="52"/>
    <s v="2025-01-10"/>
    <x v="0"/>
    <s v="CUST4324"/>
    <x v="6"/>
    <n v="1"/>
    <n v="24664.55"/>
    <n v="24664.55"/>
    <x v="3"/>
    <x v="3"/>
  </r>
  <r>
    <x v="53"/>
    <s v="2025-01-10"/>
    <x v="0"/>
    <s v="CUST8088"/>
    <x v="6"/>
    <n v="5"/>
    <n v="16947.150000000001"/>
    <n v="84735.75"/>
    <x v="3"/>
    <x v="3"/>
  </r>
  <r>
    <x v="54"/>
    <s v="2025-01-10"/>
    <x v="0"/>
    <s v="CUST3652"/>
    <x v="9"/>
    <n v="5"/>
    <n v="41279.269999999997"/>
    <n v="206396.35"/>
    <x v="3"/>
    <x v="0"/>
  </r>
  <r>
    <x v="55"/>
    <s v="2025-01-11"/>
    <x v="0"/>
    <s v="CUST2160"/>
    <x v="2"/>
    <n v="3"/>
    <n v="47900.68"/>
    <n v="143702.04"/>
    <x v="2"/>
    <x v="0"/>
  </r>
  <r>
    <x v="56"/>
    <s v="2025-01-11"/>
    <x v="0"/>
    <s v="CUST1990"/>
    <x v="1"/>
    <n v="2"/>
    <n v="32729.51"/>
    <n v="65459.02"/>
    <x v="1"/>
    <x v="0"/>
  </r>
  <r>
    <x v="57"/>
    <s v="2025-01-11"/>
    <x v="0"/>
    <s v="CUST2246"/>
    <x v="6"/>
    <n v="4"/>
    <n v="21897.22"/>
    <n v="87588.88"/>
    <x v="3"/>
    <x v="1"/>
  </r>
  <r>
    <x v="58"/>
    <s v="2025-01-11"/>
    <x v="0"/>
    <s v="CUST8868"/>
    <x v="8"/>
    <n v="2"/>
    <n v="48066.98"/>
    <n v="96133.96"/>
    <x v="3"/>
    <x v="1"/>
  </r>
  <r>
    <x v="59"/>
    <s v="2025-01-12"/>
    <x v="0"/>
    <s v="CUST1588"/>
    <x v="5"/>
    <n v="5"/>
    <n v="43277.8"/>
    <n v="216389"/>
    <x v="1"/>
    <x v="3"/>
  </r>
  <r>
    <x v="60"/>
    <s v="2025-01-12"/>
    <x v="0"/>
    <s v="CUST2306"/>
    <x v="9"/>
    <n v="1"/>
    <n v="21638.400000000001"/>
    <n v="21638.400000000001"/>
    <x v="3"/>
    <x v="0"/>
  </r>
  <r>
    <x v="61"/>
    <s v="2025-01-12"/>
    <x v="0"/>
    <s v="CUST6717"/>
    <x v="3"/>
    <n v="1"/>
    <n v="23010.82"/>
    <n v="23010.82"/>
    <x v="3"/>
    <x v="1"/>
  </r>
  <r>
    <x v="62"/>
    <s v="2025-01-12"/>
    <x v="0"/>
    <s v="CUST1821"/>
    <x v="0"/>
    <n v="4"/>
    <n v="38467.06"/>
    <n v="153868.24"/>
    <x v="2"/>
    <x v="0"/>
  </r>
  <r>
    <x v="63"/>
    <s v="2025-01-12"/>
    <x v="0"/>
    <s v="CUST3564"/>
    <x v="1"/>
    <n v="4"/>
    <n v="1405.42"/>
    <n v="5621.68"/>
    <x v="0"/>
    <x v="1"/>
  </r>
  <r>
    <x v="64"/>
    <s v="2025-01-13"/>
    <x v="0"/>
    <s v="CUST1752"/>
    <x v="2"/>
    <n v="5"/>
    <n v="970.46"/>
    <n v="4852.3"/>
    <x v="0"/>
    <x v="3"/>
  </r>
  <r>
    <x v="65"/>
    <s v="2025-01-13"/>
    <x v="0"/>
    <s v="CUST3105"/>
    <x v="3"/>
    <n v="3"/>
    <n v="49915.17"/>
    <n v="149745.51"/>
    <x v="1"/>
    <x v="2"/>
  </r>
  <r>
    <x v="66"/>
    <s v="2025-01-13"/>
    <x v="0"/>
    <s v="CUST2796"/>
    <x v="6"/>
    <n v="1"/>
    <n v="41942.92"/>
    <n v="41942.92"/>
    <x v="0"/>
    <x v="1"/>
  </r>
  <r>
    <x v="67"/>
    <s v="2025-01-13"/>
    <x v="0"/>
    <s v="CUST2393"/>
    <x v="5"/>
    <n v="4"/>
    <n v="42035.05"/>
    <n v="168140.2"/>
    <x v="0"/>
    <x v="1"/>
  </r>
  <r>
    <x v="68"/>
    <s v="2025-01-14"/>
    <x v="0"/>
    <s v="CUST9796"/>
    <x v="8"/>
    <n v="5"/>
    <n v="40836.17"/>
    <n v="204180.85"/>
    <x v="1"/>
    <x v="0"/>
  </r>
  <r>
    <x v="69"/>
    <s v="2025-01-14"/>
    <x v="0"/>
    <s v="CUST7154"/>
    <x v="7"/>
    <n v="1"/>
    <n v="37814.57"/>
    <n v="37814.57"/>
    <x v="2"/>
    <x v="0"/>
  </r>
  <r>
    <x v="70"/>
    <s v="2025-01-14"/>
    <x v="0"/>
    <s v="CUST4191"/>
    <x v="8"/>
    <n v="4"/>
    <n v="16520.72"/>
    <n v="66082.880000000005"/>
    <x v="3"/>
    <x v="0"/>
  </r>
  <r>
    <x v="71"/>
    <s v="2025-01-14"/>
    <x v="0"/>
    <s v="CUST1009"/>
    <x v="0"/>
    <n v="5"/>
    <n v="23079.27"/>
    <n v="115396.35"/>
    <x v="3"/>
    <x v="3"/>
  </r>
  <r>
    <x v="72"/>
    <s v="2025-01-15"/>
    <x v="0"/>
    <s v="CUST3038"/>
    <x v="6"/>
    <n v="1"/>
    <n v="16873.45"/>
    <n v="16873.45"/>
    <x v="3"/>
    <x v="2"/>
  </r>
  <r>
    <x v="73"/>
    <s v="2025-01-15"/>
    <x v="0"/>
    <s v="CUST7260"/>
    <x v="8"/>
    <n v="4"/>
    <n v="29642.16"/>
    <n v="118568.64"/>
    <x v="0"/>
    <x v="0"/>
  </r>
  <r>
    <x v="74"/>
    <s v="2025-01-15"/>
    <x v="0"/>
    <s v="CUST7919"/>
    <x v="1"/>
    <n v="1"/>
    <n v="31944.92"/>
    <n v="31944.92"/>
    <x v="0"/>
    <x v="0"/>
  </r>
  <r>
    <x v="75"/>
    <s v="2025-01-15"/>
    <x v="0"/>
    <s v="CUST6849"/>
    <x v="3"/>
    <n v="4"/>
    <n v="9953.5400000000009"/>
    <n v="39814.160000000003"/>
    <x v="3"/>
    <x v="3"/>
  </r>
  <r>
    <x v="76"/>
    <s v="2025-01-15"/>
    <x v="0"/>
    <s v="CUST5144"/>
    <x v="9"/>
    <n v="5"/>
    <n v="48503.99"/>
    <n v="242519.95"/>
    <x v="0"/>
    <x v="1"/>
  </r>
  <r>
    <x v="77"/>
    <s v="2025-01-15"/>
    <x v="0"/>
    <s v="CUST7306"/>
    <x v="2"/>
    <n v="1"/>
    <n v="33057.46"/>
    <n v="33057.46"/>
    <x v="3"/>
    <x v="0"/>
  </r>
  <r>
    <x v="78"/>
    <s v="2025-01-16"/>
    <x v="0"/>
    <s v="CUST8660"/>
    <x v="7"/>
    <n v="4"/>
    <n v="8762.25"/>
    <n v="35049"/>
    <x v="2"/>
    <x v="0"/>
  </r>
  <r>
    <x v="79"/>
    <s v="2025-01-16"/>
    <x v="0"/>
    <s v="CUST2675"/>
    <x v="5"/>
    <n v="1"/>
    <n v="1047.94"/>
    <n v="1047.94"/>
    <x v="2"/>
    <x v="2"/>
  </r>
  <r>
    <x v="80"/>
    <s v="2025-01-16"/>
    <x v="0"/>
    <s v="CUST3269"/>
    <x v="7"/>
    <n v="3"/>
    <n v="49436.81"/>
    <n v="148310.43"/>
    <x v="1"/>
    <x v="3"/>
  </r>
  <r>
    <x v="81"/>
    <s v="2025-01-16"/>
    <x v="0"/>
    <s v="CUST7403"/>
    <x v="7"/>
    <n v="5"/>
    <n v="43228.85"/>
    <n v="216144.25"/>
    <x v="2"/>
    <x v="0"/>
  </r>
  <r>
    <x v="82"/>
    <s v="2025-01-16"/>
    <x v="0"/>
    <s v="CUST3547"/>
    <x v="4"/>
    <n v="2"/>
    <n v="46424.46"/>
    <n v="92848.92"/>
    <x v="0"/>
    <x v="0"/>
  </r>
  <r>
    <x v="83"/>
    <s v="2025-01-16"/>
    <x v="0"/>
    <s v="CUST9558"/>
    <x v="0"/>
    <n v="2"/>
    <n v="43835.22"/>
    <n v="87670.44"/>
    <x v="1"/>
    <x v="3"/>
  </r>
  <r>
    <x v="84"/>
    <s v="2025-01-17"/>
    <x v="0"/>
    <s v="CUST3953"/>
    <x v="5"/>
    <n v="3"/>
    <n v="26125.65"/>
    <n v="78376.95"/>
    <x v="0"/>
    <x v="2"/>
  </r>
  <r>
    <x v="85"/>
    <s v="2025-01-17"/>
    <x v="0"/>
    <s v="CUST2792"/>
    <x v="6"/>
    <n v="2"/>
    <n v="2523.5"/>
    <n v="5047"/>
    <x v="1"/>
    <x v="3"/>
  </r>
  <r>
    <x v="86"/>
    <s v="2025-01-17"/>
    <x v="0"/>
    <s v="CUST4042"/>
    <x v="6"/>
    <n v="1"/>
    <n v="14054.16"/>
    <n v="14054.16"/>
    <x v="0"/>
    <x v="2"/>
  </r>
  <r>
    <x v="87"/>
    <s v="2025-01-17"/>
    <x v="0"/>
    <s v="CUST7049"/>
    <x v="9"/>
    <n v="4"/>
    <n v="48217.93"/>
    <n v="192871.72"/>
    <x v="2"/>
    <x v="2"/>
  </r>
  <r>
    <x v="88"/>
    <s v="2025-01-17"/>
    <x v="0"/>
    <s v="CUST8317"/>
    <x v="8"/>
    <n v="5"/>
    <n v="38914.47"/>
    <n v="194572.35"/>
    <x v="2"/>
    <x v="0"/>
  </r>
  <r>
    <x v="89"/>
    <s v="2025-01-17"/>
    <x v="0"/>
    <s v="CUST3311"/>
    <x v="0"/>
    <n v="3"/>
    <n v="19385.490000000002"/>
    <n v="58156.47"/>
    <x v="2"/>
    <x v="2"/>
  </r>
  <r>
    <x v="90"/>
    <s v="2025-01-17"/>
    <x v="0"/>
    <s v="CUST1855"/>
    <x v="5"/>
    <n v="5"/>
    <n v="15864.33"/>
    <n v="79321.649999999994"/>
    <x v="3"/>
    <x v="2"/>
  </r>
  <r>
    <x v="91"/>
    <s v="2025-01-17"/>
    <x v="0"/>
    <s v="CUST8847"/>
    <x v="6"/>
    <n v="2"/>
    <n v="1100.8900000000001"/>
    <n v="2201.7800000000002"/>
    <x v="2"/>
    <x v="3"/>
  </r>
  <r>
    <x v="92"/>
    <s v="2025-01-18"/>
    <x v="0"/>
    <s v="CUST3297"/>
    <x v="1"/>
    <n v="4"/>
    <n v="34180.6"/>
    <n v="136722.4"/>
    <x v="2"/>
    <x v="0"/>
  </r>
  <r>
    <x v="93"/>
    <s v="2025-01-18"/>
    <x v="0"/>
    <s v="CUST3114"/>
    <x v="4"/>
    <n v="5"/>
    <n v="5654.08"/>
    <n v="28270.400000000001"/>
    <x v="0"/>
    <x v="1"/>
  </r>
  <r>
    <x v="94"/>
    <s v="2025-01-18"/>
    <x v="0"/>
    <s v="CUST7122"/>
    <x v="9"/>
    <n v="2"/>
    <n v="25872.83"/>
    <n v="51745.66"/>
    <x v="3"/>
    <x v="0"/>
  </r>
  <r>
    <x v="95"/>
    <s v="2025-01-18"/>
    <x v="0"/>
    <s v="CUST1876"/>
    <x v="7"/>
    <n v="5"/>
    <n v="7951.25"/>
    <n v="39756.25"/>
    <x v="2"/>
    <x v="1"/>
  </r>
  <r>
    <x v="96"/>
    <s v="2025-01-18"/>
    <x v="0"/>
    <s v="CUST9105"/>
    <x v="1"/>
    <n v="2"/>
    <n v="26160.49"/>
    <n v="52320.98"/>
    <x v="0"/>
    <x v="3"/>
  </r>
  <r>
    <x v="97"/>
    <s v="2025-01-18"/>
    <x v="0"/>
    <s v="CUST6158"/>
    <x v="1"/>
    <n v="3"/>
    <n v="19949.84"/>
    <n v="59849.52"/>
    <x v="2"/>
    <x v="2"/>
  </r>
  <r>
    <x v="98"/>
    <s v="2025-01-18"/>
    <x v="0"/>
    <s v="CUST8573"/>
    <x v="2"/>
    <n v="1"/>
    <n v="17095.740000000002"/>
    <n v="17095.740000000002"/>
    <x v="3"/>
    <x v="0"/>
  </r>
  <r>
    <x v="99"/>
    <s v="2025-01-19"/>
    <x v="0"/>
    <s v="CUST4545"/>
    <x v="9"/>
    <n v="1"/>
    <n v="35747.14"/>
    <n v="35747.14"/>
    <x v="0"/>
    <x v="0"/>
  </r>
  <r>
    <x v="100"/>
    <s v="2025-01-19"/>
    <x v="0"/>
    <s v="CUST9924"/>
    <x v="5"/>
    <n v="4"/>
    <n v="8365.5400000000009"/>
    <n v="33462.160000000003"/>
    <x v="0"/>
    <x v="3"/>
  </r>
  <r>
    <x v="101"/>
    <s v="2025-01-19"/>
    <x v="0"/>
    <s v="CUST4466"/>
    <x v="6"/>
    <n v="1"/>
    <n v="30531.03"/>
    <n v="30531.03"/>
    <x v="1"/>
    <x v="3"/>
  </r>
  <r>
    <x v="102"/>
    <s v="2025-01-19"/>
    <x v="0"/>
    <s v="CUST8194"/>
    <x v="6"/>
    <n v="2"/>
    <n v="11080.67"/>
    <n v="22161.34"/>
    <x v="0"/>
    <x v="0"/>
  </r>
  <r>
    <x v="103"/>
    <s v="2025-01-20"/>
    <x v="0"/>
    <s v="CUST8353"/>
    <x v="4"/>
    <n v="3"/>
    <n v="34476.199999999997"/>
    <n v="103428.6"/>
    <x v="1"/>
    <x v="0"/>
  </r>
  <r>
    <x v="104"/>
    <s v="2025-01-20"/>
    <x v="0"/>
    <s v="CUST2311"/>
    <x v="7"/>
    <n v="2"/>
    <n v="8925.98"/>
    <n v="17851.96"/>
    <x v="1"/>
    <x v="3"/>
  </r>
  <r>
    <x v="105"/>
    <s v="2025-01-20"/>
    <x v="0"/>
    <s v="CUST1491"/>
    <x v="8"/>
    <n v="5"/>
    <n v="21186.33"/>
    <n v="105931.65"/>
    <x v="3"/>
    <x v="1"/>
  </r>
  <r>
    <x v="106"/>
    <s v="2025-01-21"/>
    <x v="0"/>
    <s v="CUST4952"/>
    <x v="2"/>
    <n v="1"/>
    <n v="7433.5"/>
    <n v="7433.5"/>
    <x v="2"/>
    <x v="2"/>
  </r>
  <r>
    <x v="107"/>
    <s v="2025-01-21"/>
    <x v="0"/>
    <s v="CUST5333"/>
    <x v="6"/>
    <n v="2"/>
    <n v="10119.76"/>
    <n v="20239.52"/>
    <x v="1"/>
    <x v="1"/>
  </r>
  <r>
    <x v="108"/>
    <s v="2025-01-21"/>
    <x v="0"/>
    <s v="CUST8374"/>
    <x v="1"/>
    <n v="3"/>
    <n v="30737.58"/>
    <n v="92212.74"/>
    <x v="3"/>
    <x v="0"/>
  </r>
  <r>
    <x v="109"/>
    <s v="2025-01-21"/>
    <x v="0"/>
    <s v="CUST8424"/>
    <x v="3"/>
    <n v="4"/>
    <n v="7170.83"/>
    <n v="28683.32"/>
    <x v="3"/>
    <x v="3"/>
  </r>
  <r>
    <x v="110"/>
    <s v="2025-01-21"/>
    <x v="0"/>
    <s v="CUST4332"/>
    <x v="9"/>
    <n v="1"/>
    <n v="17560.990000000002"/>
    <n v="17560.990000000002"/>
    <x v="1"/>
    <x v="3"/>
  </r>
  <r>
    <x v="111"/>
    <s v="2025-01-21"/>
    <x v="0"/>
    <s v="CUST2397"/>
    <x v="1"/>
    <n v="1"/>
    <n v="34348.04"/>
    <n v="34348.04"/>
    <x v="1"/>
    <x v="0"/>
  </r>
  <r>
    <x v="112"/>
    <s v="2025-01-22"/>
    <x v="0"/>
    <s v="CUST5037"/>
    <x v="0"/>
    <n v="2"/>
    <n v="4236.8900000000003"/>
    <n v="8473.7800000000007"/>
    <x v="3"/>
    <x v="2"/>
  </r>
  <r>
    <x v="113"/>
    <s v="2025-01-22"/>
    <x v="0"/>
    <s v="CUST6430"/>
    <x v="8"/>
    <n v="4"/>
    <n v="39640.93"/>
    <n v="158563.72"/>
    <x v="2"/>
    <x v="1"/>
  </r>
  <r>
    <x v="114"/>
    <s v="2025-01-22"/>
    <x v="0"/>
    <s v="CUST9326"/>
    <x v="4"/>
    <n v="3"/>
    <n v="4161.72"/>
    <n v="12485.16"/>
    <x v="3"/>
    <x v="3"/>
  </r>
  <r>
    <x v="115"/>
    <s v="2025-01-22"/>
    <x v="0"/>
    <s v="CUST5812"/>
    <x v="8"/>
    <n v="5"/>
    <n v="48789.24"/>
    <n v="243946.2"/>
    <x v="3"/>
    <x v="2"/>
  </r>
  <r>
    <x v="116"/>
    <s v="2025-01-22"/>
    <x v="0"/>
    <s v="CUST2764"/>
    <x v="1"/>
    <n v="2"/>
    <n v="29505.5"/>
    <n v="59011"/>
    <x v="1"/>
    <x v="0"/>
  </r>
  <r>
    <x v="117"/>
    <s v="2025-01-22"/>
    <x v="0"/>
    <s v="CUST3010"/>
    <x v="1"/>
    <n v="5"/>
    <n v="26346.95"/>
    <n v="131734.75"/>
    <x v="0"/>
    <x v="0"/>
  </r>
  <r>
    <x v="118"/>
    <s v="2025-01-23"/>
    <x v="0"/>
    <s v="CUST6017"/>
    <x v="8"/>
    <n v="5"/>
    <n v="15880.46"/>
    <n v="79402.3"/>
    <x v="2"/>
    <x v="1"/>
  </r>
  <r>
    <x v="119"/>
    <s v="2025-01-23"/>
    <x v="0"/>
    <s v="CUST3455"/>
    <x v="1"/>
    <n v="3"/>
    <n v="33642.620000000003"/>
    <n v="100927.86"/>
    <x v="0"/>
    <x v="0"/>
  </r>
  <r>
    <x v="120"/>
    <s v="2025-01-23"/>
    <x v="0"/>
    <s v="CUST7592"/>
    <x v="9"/>
    <n v="3"/>
    <n v="34429.31"/>
    <n v="103287.93"/>
    <x v="2"/>
    <x v="0"/>
  </r>
  <r>
    <x v="121"/>
    <s v="2025-01-23"/>
    <x v="0"/>
    <s v="CUST5198"/>
    <x v="7"/>
    <n v="5"/>
    <n v="27707.88"/>
    <n v="138539.4"/>
    <x v="3"/>
    <x v="1"/>
  </r>
  <r>
    <x v="122"/>
    <s v="2025-01-23"/>
    <x v="0"/>
    <s v="CUST7756"/>
    <x v="7"/>
    <n v="5"/>
    <n v="23723.87"/>
    <n v="118619.35"/>
    <x v="0"/>
    <x v="3"/>
  </r>
  <r>
    <x v="123"/>
    <s v="2025-01-23"/>
    <x v="0"/>
    <s v="CUST7842"/>
    <x v="1"/>
    <n v="3"/>
    <n v="41007.230000000003"/>
    <n v="123021.69"/>
    <x v="1"/>
    <x v="0"/>
  </r>
  <r>
    <x v="124"/>
    <s v="2025-01-23"/>
    <x v="0"/>
    <s v="CUST8422"/>
    <x v="7"/>
    <n v="2"/>
    <n v="45937.62"/>
    <n v="91875.24"/>
    <x v="1"/>
    <x v="0"/>
  </r>
  <r>
    <x v="125"/>
    <s v="2025-01-23"/>
    <x v="0"/>
    <s v="CUST5119"/>
    <x v="1"/>
    <n v="5"/>
    <n v="40683.43"/>
    <n v="203417.15"/>
    <x v="3"/>
    <x v="1"/>
  </r>
  <r>
    <x v="126"/>
    <s v="2025-01-24"/>
    <x v="0"/>
    <s v="CUST5896"/>
    <x v="2"/>
    <n v="3"/>
    <n v="44369.919999999998"/>
    <n v="133109.76000000001"/>
    <x v="1"/>
    <x v="2"/>
  </r>
  <r>
    <x v="127"/>
    <s v="2025-01-24"/>
    <x v="0"/>
    <s v="CUST2492"/>
    <x v="4"/>
    <n v="3"/>
    <n v="2952.5"/>
    <n v="8857.5"/>
    <x v="0"/>
    <x v="1"/>
  </r>
  <r>
    <x v="128"/>
    <s v="2025-01-24"/>
    <x v="0"/>
    <s v="CUST4027"/>
    <x v="0"/>
    <n v="1"/>
    <n v="48785.56"/>
    <n v="48785.56"/>
    <x v="3"/>
    <x v="0"/>
  </r>
  <r>
    <x v="129"/>
    <s v="2025-01-25"/>
    <x v="0"/>
    <s v="CUST2025"/>
    <x v="3"/>
    <n v="2"/>
    <n v="40681.1"/>
    <n v="81362.2"/>
    <x v="1"/>
    <x v="2"/>
  </r>
  <r>
    <x v="130"/>
    <s v="2025-01-25"/>
    <x v="0"/>
    <s v="CUST2943"/>
    <x v="3"/>
    <n v="4"/>
    <n v="49705.37"/>
    <n v="198821.48"/>
    <x v="0"/>
    <x v="3"/>
  </r>
  <r>
    <x v="131"/>
    <s v="2025-01-25"/>
    <x v="0"/>
    <s v="CUST6968"/>
    <x v="4"/>
    <n v="2"/>
    <n v="37595.79"/>
    <n v="75191.58"/>
    <x v="2"/>
    <x v="3"/>
  </r>
  <r>
    <x v="132"/>
    <s v="2025-01-25"/>
    <x v="0"/>
    <s v="CUST5406"/>
    <x v="9"/>
    <n v="5"/>
    <n v="9875.02"/>
    <n v="49375.1"/>
    <x v="0"/>
    <x v="1"/>
  </r>
  <r>
    <x v="133"/>
    <s v="2025-01-25"/>
    <x v="0"/>
    <s v="CUST3478"/>
    <x v="1"/>
    <n v="3"/>
    <n v="3936.12"/>
    <n v="11808.36"/>
    <x v="2"/>
    <x v="3"/>
  </r>
  <r>
    <x v="134"/>
    <s v="2025-01-26"/>
    <x v="0"/>
    <s v="CUST6901"/>
    <x v="4"/>
    <n v="4"/>
    <n v="47879.86"/>
    <n v="191519.44"/>
    <x v="1"/>
    <x v="1"/>
  </r>
  <r>
    <x v="135"/>
    <s v="2025-01-26"/>
    <x v="0"/>
    <s v="CUST1269"/>
    <x v="5"/>
    <n v="3"/>
    <n v="27173.22"/>
    <n v="81519.66"/>
    <x v="2"/>
    <x v="3"/>
  </r>
  <r>
    <x v="136"/>
    <s v="2025-01-26"/>
    <x v="0"/>
    <s v="CUST8994"/>
    <x v="2"/>
    <n v="2"/>
    <n v="48901.9"/>
    <n v="97803.8"/>
    <x v="2"/>
    <x v="3"/>
  </r>
  <r>
    <x v="137"/>
    <s v="2025-01-27"/>
    <x v="0"/>
    <s v="CUST6129"/>
    <x v="7"/>
    <n v="2"/>
    <n v="41668.19"/>
    <n v="83336.38"/>
    <x v="1"/>
    <x v="2"/>
  </r>
  <r>
    <x v="138"/>
    <s v="2025-01-27"/>
    <x v="0"/>
    <s v="CUST1757"/>
    <x v="5"/>
    <n v="5"/>
    <n v="6932.2"/>
    <n v="34661"/>
    <x v="3"/>
    <x v="0"/>
  </r>
  <r>
    <x v="139"/>
    <s v="2025-01-27"/>
    <x v="0"/>
    <s v="CUST1896"/>
    <x v="0"/>
    <n v="2"/>
    <n v="25782.45"/>
    <n v="51564.9"/>
    <x v="0"/>
    <x v="2"/>
  </r>
  <r>
    <x v="140"/>
    <s v="2025-01-27"/>
    <x v="0"/>
    <s v="CUST8119"/>
    <x v="0"/>
    <n v="3"/>
    <n v="8251.7099999999991"/>
    <n v="24755.13"/>
    <x v="1"/>
    <x v="1"/>
  </r>
  <r>
    <x v="141"/>
    <s v="2025-01-27"/>
    <x v="0"/>
    <s v="CUST6621"/>
    <x v="5"/>
    <n v="2"/>
    <n v="17216.04"/>
    <n v="34432.080000000002"/>
    <x v="3"/>
    <x v="2"/>
  </r>
  <r>
    <x v="142"/>
    <s v="2025-01-27"/>
    <x v="0"/>
    <s v="CUST2431"/>
    <x v="5"/>
    <n v="4"/>
    <n v="42261.5"/>
    <n v="169046"/>
    <x v="3"/>
    <x v="2"/>
  </r>
  <r>
    <x v="143"/>
    <s v="2025-01-28"/>
    <x v="0"/>
    <s v="CUST3913"/>
    <x v="9"/>
    <n v="5"/>
    <n v="3341.56"/>
    <n v="16707.8"/>
    <x v="3"/>
    <x v="0"/>
  </r>
  <r>
    <x v="144"/>
    <s v="2025-01-28"/>
    <x v="0"/>
    <s v="CUST6959"/>
    <x v="5"/>
    <n v="4"/>
    <n v="43103.28"/>
    <n v="172413.12"/>
    <x v="2"/>
    <x v="0"/>
  </r>
  <r>
    <x v="145"/>
    <s v="2025-01-28"/>
    <x v="0"/>
    <s v="CUST9750"/>
    <x v="5"/>
    <n v="2"/>
    <n v="36835.379999999997"/>
    <n v="73670.759999999995"/>
    <x v="3"/>
    <x v="2"/>
  </r>
  <r>
    <x v="146"/>
    <s v="2025-01-29"/>
    <x v="0"/>
    <s v="CUST2319"/>
    <x v="6"/>
    <n v="4"/>
    <n v="10422.56"/>
    <n v="41690.239999999998"/>
    <x v="0"/>
    <x v="3"/>
  </r>
  <r>
    <x v="147"/>
    <s v="2025-01-29"/>
    <x v="0"/>
    <s v="CUST8235"/>
    <x v="0"/>
    <n v="5"/>
    <n v="48210.95"/>
    <n v="241054.75"/>
    <x v="0"/>
    <x v="0"/>
  </r>
  <r>
    <x v="148"/>
    <s v="2025-01-29"/>
    <x v="0"/>
    <s v="CUST5145"/>
    <x v="4"/>
    <n v="4"/>
    <n v="40139.620000000003"/>
    <n v="160558.48000000001"/>
    <x v="2"/>
    <x v="0"/>
  </r>
  <r>
    <x v="149"/>
    <s v="2025-01-29"/>
    <x v="0"/>
    <s v="CUST5040"/>
    <x v="7"/>
    <n v="3"/>
    <n v="36262.46"/>
    <n v="108787.38"/>
    <x v="0"/>
    <x v="0"/>
  </r>
  <r>
    <x v="150"/>
    <s v="2025-01-30"/>
    <x v="0"/>
    <s v="CUST4782"/>
    <x v="4"/>
    <n v="4"/>
    <n v="44756.52"/>
    <n v="179026.08"/>
    <x v="0"/>
    <x v="3"/>
  </r>
  <r>
    <x v="151"/>
    <s v="2025-01-30"/>
    <x v="0"/>
    <s v="CUST8715"/>
    <x v="2"/>
    <n v="4"/>
    <n v="17881.54"/>
    <n v="71526.16"/>
    <x v="2"/>
    <x v="1"/>
  </r>
  <r>
    <x v="152"/>
    <s v="2025-01-30"/>
    <x v="0"/>
    <s v="CUST1434"/>
    <x v="5"/>
    <n v="5"/>
    <n v="48162.47"/>
    <n v="240812.35"/>
    <x v="1"/>
    <x v="2"/>
  </r>
  <r>
    <x v="153"/>
    <s v="2025-01-30"/>
    <x v="0"/>
    <s v="CUST2872"/>
    <x v="5"/>
    <n v="4"/>
    <n v="17701.080000000002"/>
    <n v="70804.320000000007"/>
    <x v="3"/>
    <x v="0"/>
  </r>
  <r>
    <x v="154"/>
    <s v="2025-01-30"/>
    <x v="0"/>
    <s v="CUST8215"/>
    <x v="1"/>
    <n v="3"/>
    <n v="45749.69"/>
    <n v="137249.07"/>
    <x v="1"/>
    <x v="0"/>
  </r>
  <r>
    <x v="155"/>
    <s v="2025-01-30"/>
    <x v="0"/>
    <s v="CUST3862"/>
    <x v="2"/>
    <n v="4"/>
    <n v="33063.25"/>
    <n v="132253"/>
    <x v="2"/>
    <x v="2"/>
  </r>
  <r>
    <x v="156"/>
    <s v="2025-01-31"/>
    <x v="0"/>
    <s v="CUST4806"/>
    <x v="5"/>
    <n v="2"/>
    <n v="8860.84"/>
    <n v="17721.68"/>
    <x v="0"/>
    <x v="0"/>
  </r>
  <r>
    <x v="157"/>
    <s v="2025-01-31"/>
    <x v="0"/>
    <s v="CUST9700"/>
    <x v="2"/>
    <n v="5"/>
    <n v="8473.85"/>
    <n v="42369.25"/>
    <x v="3"/>
    <x v="1"/>
  </r>
  <r>
    <x v="158"/>
    <s v="2025-01-31"/>
    <x v="0"/>
    <s v="CUST7541"/>
    <x v="2"/>
    <n v="3"/>
    <n v="21317.13"/>
    <n v="63951.39"/>
    <x v="2"/>
    <x v="1"/>
  </r>
  <r>
    <x v="159"/>
    <s v="2025-02-01"/>
    <x v="1"/>
    <s v="CUST6390"/>
    <x v="4"/>
    <n v="4"/>
    <n v="48201.760000000002"/>
    <n v="192807.04000000001"/>
    <x v="3"/>
    <x v="1"/>
  </r>
  <r>
    <x v="160"/>
    <s v="2025-02-01"/>
    <x v="1"/>
    <s v="CUST4746"/>
    <x v="9"/>
    <n v="1"/>
    <n v="31035.040000000001"/>
    <n v="31035.040000000001"/>
    <x v="2"/>
    <x v="0"/>
  </r>
  <r>
    <x v="161"/>
    <s v="2025-02-01"/>
    <x v="1"/>
    <s v="CUST6347"/>
    <x v="3"/>
    <n v="2"/>
    <n v="38844.43"/>
    <n v="77688.86"/>
    <x v="2"/>
    <x v="0"/>
  </r>
  <r>
    <x v="162"/>
    <s v="2025-02-01"/>
    <x v="1"/>
    <s v="CUST1303"/>
    <x v="8"/>
    <n v="1"/>
    <n v="29922.85"/>
    <n v="29922.85"/>
    <x v="2"/>
    <x v="3"/>
  </r>
  <r>
    <x v="163"/>
    <s v="2025-02-01"/>
    <x v="1"/>
    <s v="CUST9860"/>
    <x v="0"/>
    <n v="5"/>
    <n v="13702.28"/>
    <n v="68511.399999999994"/>
    <x v="1"/>
    <x v="2"/>
  </r>
  <r>
    <x v="164"/>
    <s v="2025-02-01"/>
    <x v="1"/>
    <s v="CUST9986"/>
    <x v="9"/>
    <n v="3"/>
    <n v="7107.16"/>
    <n v="21321.48"/>
    <x v="0"/>
    <x v="2"/>
  </r>
  <r>
    <x v="165"/>
    <s v="2025-02-02"/>
    <x v="1"/>
    <s v="CUST3031"/>
    <x v="4"/>
    <n v="2"/>
    <n v="2419.5500000000002"/>
    <n v="4839.1000000000004"/>
    <x v="0"/>
    <x v="2"/>
  </r>
  <r>
    <x v="166"/>
    <s v="2025-02-02"/>
    <x v="1"/>
    <s v="CUST6816"/>
    <x v="5"/>
    <n v="4"/>
    <n v="46400.98"/>
    <n v="185603.92"/>
    <x v="2"/>
    <x v="1"/>
  </r>
  <r>
    <x v="167"/>
    <s v="2025-02-02"/>
    <x v="1"/>
    <s v="CUST7658"/>
    <x v="6"/>
    <n v="1"/>
    <n v="32253.27"/>
    <n v="32253.27"/>
    <x v="0"/>
    <x v="2"/>
  </r>
  <r>
    <x v="168"/>
    <s v="2025-02-02"/>
    <x v="1"/>
    <s v="CUST5374"/>
    <x v="2"/>
    <n v="3"/>
    <n v="47094.75"/>
    <n v="141284.25"/>
    <x v="3"/>
    <x v="1"/>
  </r>
  <r>
    <x v="169"/>
    <s v="2025-02-02"/>
    <x v="1"/>
    <s v="CUST1625"/>
    <x v="8"/>
    <n v="2"/>
    <n v="9146.35"/>
    <n v="18292.7"/>
    <x v="0"/>
    <x v="3"/>
  </r>
  <r>
    <x v="170"/>
    <s v="2025-02-03"/>
    <x v="1"/>
    <s v="CUST8761"/>
    <x v="9"/>
    <n v="3"/>
    <n v="37295.83"/>
    <n v="111887.49"/>
    <x v="2"/>
    <x v="0"/>
  </r>
  <r>
    <x v="171"/>
    <s v="2025-02-03"/>
    <x v="1"/>
    <s v="CUST6244"/>
    <x v="5"/>
    <n v="1"/>
    <n v="44205.16"/>
    <n v="44205.16"/>
    <x v="1"/>
    <x v="2"/>
  </r>
  <r>
    <x v="172"/>
    <s v="2025-02-03"/>
    <x v="1"/>
    <s v="CUST6073"/>
    <x v="2"/>
    <n v="2"/>
    <n v="44675.98"/>
    <n v="89351.96"/>
    <x v="2"/>
    <x v="3"/>
  </r>
  <r>
    <x v="173"/>
    <s v="2025-02-03"/>
    <x v="1"/>
    <s v="CUST9736"/>
    <x v="6"/>
    <n v="3"/>
    <n v="15264.63"/>
    <n v="45793.89"/>
    <x v="2"/>
    <x v="3"/>
  </r>
  <r>
    <x v="174"/>
    <s v="2025-02-04"/>
    <x v="1"/>
    <s v="CUST9944"/>
    <x v="4"/>
    <n v="1"/>
    <n v="44582.01"/>
    <n v="44582.01"/>
    <x v="2"/>
    <x v="1"/>
  </r>
  <r>
    <x v="175"/>
    <s v="2025-02-04"/>
    <x v="1"/>
    <s v="CUST4421"/>
    <x v="0"/>
    <n v="4"/>
    <n v="5705.66"/>
    <n v="22822.639999999999"/>
    <x v="3"/>
    <x v="0"/>
  </r>
  <r>
    <x v="176"/>
    <s v="2025-02-04"/>
    <x v="1"/>
    <s v="CUST3234"/>
    <x v="8"/>
    <n v="4"/>
    <n v="18356.84"/>
    <n v="73427.360000000001"/>
    <x v="2"/>
    <x v="2"/>
  </r>
  <r>
    <x v="177"/>
    <s v="2025-02-04"/>
    <x v="1"/>
    <s v="CUST6205"/>
    <x v="1"/>
    <n v="1"/>
    <n v="21911.21"/>
    <n v="21911.21"/>
    <x v="1"/>
    <x v="1"/>
  </r>
  <r>
    <x v="178"/>
    <s v="2025-02-04"/>
    <x v="1"/>
    <s v="CUST6997"/>
    <x v="4"/>
    <n v="4"/>
    <n v="23093.46"/>
    <n v="92373.84"/>
    <x v="1"/>
    <x v="1"/>
  </r>
  <r>
    <x v="179"/>
    <s v="2025-02-04"/>
    <x v="1"/>
    <s v="CUST6351"/>
    <x v="1"/>
    <n v="3"/>
    <n v="4292.6499999999996"/>
    <n v="12877.95"/>
    <x v="2"/>
    <x v="3"/>
  </r>
  <r>
    <x v="180"/>
    <s v="2025-02-04"/>
    <x v="1"/>
    <s v="CUST7208"/>
    <x v="6"/>
    <n v="5"/>
    <n v="28487.16"/>
    <n v="142435.79999999999"/>
    <x v="3"/>
    <x v="2"/>
  </r>
  <r>
    <x v="181"/>
    <s v="2025-02-04"/>
    <x v="1"/>
    <s v="CUST3664"/>
    <x v="1"/>
    <n v="2"/>
    <n v="47407.68"/>
    <n v="94815.360000000001"/>
    <x v="3"/>
    <x v="0"/>
  </r>
  <r>
    <x v="182"/>
    <s v="2025-02-05"/>
    <x v="1"/>
    <s v="CUST4009"/>
    <x v="0"/>
    <n v="4"/>
    <n v="6200.6"/>
    <n v="24802.400000000001"/>
    <x v="0"/>
    <x v="1"/>
  </r>
  <r>
    <x v="183"/>
    <s v="2025-02-05"/>
    <x v="1"/>
    <s v="CUST3575"/>
    <x v="7"/>
    <n v="5"/>
    <n v="15769.55"/>
    <n v="78847.75"/>
    <x v="2"/>
    <x v="2"/>
  </r>
  <r>
    <x v="184"/>
    <s v="2025-02-05"/>
    <x v="1"/>
    <s v="CUST6055"/>
    <x v="5"/>
    <n v="4"/>
    <n v="15351.75"/>
    <n v="61407"/>
    <x v="1"/>
    <x v="3"/>
  </r>
  <r>
    <x v="185"/>
    <s v="2025-02-05"/>
    <x v="1"/>
    <s v="CUST5443"/>
    <x v="7"/>
    <n v="5"/>
    <n v="6944.48"/>
    <n v="34722.400000000001"/>
    <x v="2"/>
    <x v="0"/>
  </r>
  <r>
    <x v="186"/>
    <s v="2025-02-05"/>
    <x v="1"/>
    <s v="CUST9923"/>
    <x v="3"/>
    <n v="4"/>
    <n v="23258.67"/>
    <n v="93034.68"/>
    <x v="1"/>
    <x v="1"/>
  </r>
  <r>
    <x v="187"/>
    <s v="2025-02-06"/>
    <x v="1"/>
    <s v="CUST3568"/>
    <x v="1"/>
    <n v="1"/>
    <n v="10646.52"/>
    <n v="10646.52"/>
    <x v="1"/>
    <x v="0"/>
  </r>
  <r>
    <x v="188"/>
    <s v="2025-02-06"/>
    <x v="1"/>
    <s v="CUST7171"/>
    <x v="7"/>
    <n v="5"/>
    <n v="10889.46"/>
    <n v="54447.3"/>
    <x v="2"/>
    <x v="2"/>
  </r>
  <r>
    <x v="189"/>
    <s v="2025-02-06"/>
    <x v="1"/>
    <s v="CUST3554"/>
    <x v="2"/>
    <n v="5"/>
    <n v="30448.36"/>
    <n v="152241.79999999999"/>
    <x v="0"/>
    <x v="1"/>
  </r>
  <r>
    <x v="190"/>
    <s v="2025-02-06"/>
    <x v="1"/>
    <s v="CUST6522"/>
    <x v="9"/>
    <n v="2"/>
    <n v="20086.02"/>
    <n v="40172.04"/>
    <x v="2"/>
    <x v="1"/>
  </r>
  <r>
    <x v="191"/>
    <s v="2025-02-07"/>
    <x v="1"/>
    <s v="CUST6403"/>
    <x v="5"/>
    <n v="5"/>
    <n v="47498.09"/>
    <n v="237490.45"/>
    <x v="0"/>
    <x v="2"/>
  </r>
  <r>
    <x v="192"/>
    <s v="2025-02-07"/>
    <x v="1"/>
    <s v="CUST4097"/>
    <x v="9"/>
    <n v="5"/>
    <n v="20019.919999999998"/>
    <n v="100099.6"/>
    <x v="3"/>
    <x v="2"/>
  </r>
  <r>
    <x v="193"/>
    <s v="2025-02-07"/>
    <x v="1"/>
    <s v="CUST9824"/>
    <x v="3"/>
    <n v="5"/>
    <n v="28209.58"/>
    <n v="141047.9"/>
    <x v="2"/>
    <x v="1"/>
  </r>
  <r>
    <x v="194"/>
    <s v="2025-02-07"/>
    <x v="1"/>
    <s v="CUST7326"/>
    <x v="0"/>
    <n v="5"/>
    <n v="7812.52"/>
    <n v="39062.6"/>
    <x v="2"/>
    <x v="2"/>
  </r>
  <r>
    <x v="195"/>
    <s v="2025-02-07"/>
    <x v="1"/>
    <s v="CUST5822"/>
    <x v="3"/>
    <n v="3"/>
    <n v="17365.02"/>
    <n v="52095.06"/>
    <x v="0"/>
    <x v="2"/>
  </r>
  <r>
    <x v="196"/>
    <s v="2025-02-08"/>
    <x v="1"/>
    <s v="CUST9504"/>
    <x v="7"/>
    <n v="4"/>
    <n v="30035.19"/>
    <n v="120140.76"/>
    <x v="3"/>
    <x v="1"/>
  </r>
  <r>
    <x v="197"/>
    <s v="2025-02-08"/>
    <x v="1"/>
    <s v="CUST9787"/>
    <x v="9"/>
    <n v="3"/>
    <n v="46969.88"/>
    <n v="140909.64000000001"/>
    <x v="0"/>
    <x v="0"/>
  </r>
  <r>
    <x v="198"/>
    <s v="2025-02-08"/>
    <x v="1"/>
    <s v="CUST5469"/>
    <x v="0"/>
    <n v="4"/>
    <n v="43692.54"/>
    <n v="174770.16"/>
    <x v="3"/>
    <x v="1"/>
  </r>
  <r>
    <x v="199"/>
    <s v="2025-02-08"/>
    <x v="1"/>
    <s v="CUST9847"/>
    <x v="3"/>
    <n v="1"/>
    <n v="22118.99"/>
    <n v="22118.99"/>
    <x v="3"/>
    <x v="2"/>
  </r>
  <r>
    <x v="200"/>
    <s v="2025-02-08"/>
    <x v="1"/>
    <s v="CUST4257"/>
    <x v="4"/>
    <n v="4"/>
    <n v="41023.18"/>
    <n v="164092.72"/>
    <x v="1"/>
    <x v="0"/>
  </r>
  <r>
    <x v="201"/>
    <s v="2025-02-08"/>
    <x v="1"/>
    <s v="CUST1964"/>
    <x v="5"/>
    <n v="5"/>
    <n v="4352.17"/>
    <n v="21760.85"/>
    <x v="2"/>
    <x v="1"/>
  </r>
  <r>
    <x v="202"/>
    <s v="2025-02-09"/>
    <x v="1"/>
    <s v="CUST5578"/>
    <x v="0"/>
    <n v="5"/>
    <n v="13420.79"/>
    <n v="67103.95"/>
    <x v="3"/>
    <x v="3"/>
  </r>
  <r>
    <x v="203"/>
    <s v="2025-02-09"/>
    <x v="1"/>
    <s v="CUST9319"/>
    <x v="8"/>
    <n v="5"/>
    <n v="41444.400000000001"/>
    <n v="207222"/>
    <x v="0"/>
    <x v="0"/>
  </r>
  <r>
    <x v="204"/>
    <s v="2025-02-09"/>
    <x v="1"/>
    <s v="CUST7030"/>
    <x v="4"/>
    <n v="4"/>
    <n v="49149.69"/>
    <n v="196598.76"/>
    <x v="3"/>
    <x v="2"/>
  </r>
  <r>
    <x v="205"/>
    <s v="2025-02-10"/>
    <x v="1"/>
    <s v="CUST3347"/>
    <x v="9"/>
    <n v="3"/>
    <n v="3190.61"/>
    <n v="9571.83"/>
    <x v="3"/>
    <x v="0"/>
  </r>
  <r>
    <x v="206"/>
    <s v="2025-02-10"/>
    <x v="1"/>
    <s v="CUST4883"/>
    <x v="6"/>
    <n v="4"/>
    <n v="31920.71"/>
    <n v="127682.84"/>
    <x v="1"/>
    <x v="2"/>
  </r>
  <r>
    <x v="207"/>
    <s v="2025-02-10"/>
    <x v="1"/>
    <s v="CUST6748"/>
    <x v="5"/>
    <n v="5"/>
    <n v="39463.800000000003"/>
    <n v="197319"/>
    <x v="0"/>
    <x v="1"/>
  </r>
  <r>
    <x v="208"/>
    <s v="2025-02-11"/>
    <x v="1"/>
    <s v="CUST4573"/>
    <x v="0"/>
    <n v="3"/>
    <n v="44737.34"/>
    <n v="134212.01999999999"/>
    <x v="3"/>
    <x v="1"/>
  </r>
  <r>
    <x v="209"/>
    <s v="2025-02-11"/>
    <x v="1"/>
    <s v="CUST4535"/>
    <x v="1"/>
    <n v="5"/>
    <n v="25754.240000000002"/>
    <n v="128771.2"/>
    <x v="2"/>
    <x v="1"/>
  </r>
  <r>
    <x v="210"/>
    <s v="2025-02-11"/>
    <x v="1"/>
    <s v="CUST9772"/>
    <x v="9"/>
    <n v="4"/>
    <n v="20629.7"/>
    <n v="82518.8"/>
    <x v="2"/>
    <x v="1"/>
  </r>
  <r>
    <x v="211"/>
    <s v="2025-02-11"/>
    <x v="1"/>
    <s v="CUST5003"/>
    <x v="7"/>
    <n v="3"/>
    <n v="40315.599999999999"/>
    <n v="120946.8"/>
    <x v="0"/>
    <x v="2"/>
  </r>
  <r>
    <x v="212"/>
    <s v="2025-02-11"/>
    <x v="1"/>
    <s v="CUST5037"/>
    <x v="8"/>
    <n v="1"/>
    <n v="24817.48"/>
    <n v="24817.48"/>
    <x v="0"/>
    <x v="1"/>
  </r>
  <r>
    <x v="213"/>
    <s v="2025-02-11"/>
    <x v="1"/>
    <s v="CUST3132"/>
    <x v="5"/>
    <n v="2"/>
    <n v="16108.2"/>
    <n v="32216.400000000001"/>
    <x v="1"/>
    <x v="1"/>
  </r>
  <r>
    <x v="214"/>
    <s v="2025-02-11"/>
    <x v="1"/>
    <s v="CUST1212"/>
    <x v="0"/>
    <n v="3"/>
    <n v="22619.77"/>
    <n v="67859.31"/>
    <x v="3"/>
    <x v="3"/>
  </r>
  <r>
    <x v="215"/>
    <s v="2025-02-12"/>
    <x v="1"/>
    <s v="CUST5849"/>
    <x v="4"/>
    <n v="3"/>
    <n v="37883.54"/>
    <n v="113650.62"/>
    <x v="2"/>
    <x v="2"/>
  </r>
  <r>
    <x v="216"/>
    <s v="2025-02-12"/>
    <x v="1"/>
    <s v="CUST4102"/>
    <x v="4"/>
    <n v="1"/>
    <n v="24383.03"/>
    <n v="24383.03"/>
    <x v="0"/>
    <x v="1"/>
  </r>
  <r>
    <x v="217"/>
    <s v="2025-02-12"/>
    <x v="1"/>
    <s v="CUST1037"/>
    <x v="9"/>
    <n v="4"/>
    <n v="29808.01"/>
    <n v="119232.04"/>
    <x v="2"/>
    <x v="0"/>
  </r>
  <r>
    <x v="218"/>
    <s v="2025-02-12"/>
    <x v="1"/>
    <s v="CUST6597"/>
    <x v="3"/>
    <n v="3"/>
    <n v="31723.7"/>
    <n v="95171.1"/>
    <x v="1"/>
    <x v="3"/>
  </r>
  <r>
    <x v="219"/>
    <s v="2025-02-12"/>
    <x v="1"/>
    <s v="CUST1302"/>
    <x v="9"/>
    <n v="4"/>
    <n v="29102.25"/>
    <n v="116409"/>
    <x v="2"/>
    <x v="2"/>
  </r>
  <r>
    <x v="220"/>
    <s v="2025-02-12"/>
    <x v="1"/>
    <s v="CUST3564"/>
    <x v="6"/>
    <n v="1"/>
    <n v="23412.5"/>
    <n v="23412.5"/>
    <x v="2"/>
    <x v="0"/>
  </r>
  <r>
    <x v="221"/>
    <s v="2025-02-13"/>
    <x v="1"/>
    <s v="CUST7071"/>
    <x v="9"/>
    <n v="2"/>
    <n v="4407.0200000000004"/>
    <n v="8814.0400000000009"/>
    <x v="2"/>
    <x v="2"/>
  </r>
  <r>
    <x v="222"/>
    <s v="2025-02-13"/>
    <x v="1"/>
    <s v="CUST4843"/>
    <x v="0"/>
    <n v="1"/>
    <n v="35077.279999999999"/>
    <n v="35077.279999999999"/>
    <x v="3"/>
    <x v="1"/>
  </r>
  <r>
    <x v="223"/>
    <s v="2025-02-13"/>
    <x v="1"/>
    <s v="CUST4412"/>
    <x v="1"/>
    <n v="4"/>
    <n v="17163.080000000002"/>
    <n v="68652.320000000007"/>
    <x v="1"/>
    <x v="2"/>
  </r>
  <r>
    <x v="224"/>
    <s v="2025-02-14"/>
    <x v="1"/>
    <s v="CUST4962"/>
    <x v="6"/>
    <n v="5"/>
    <n v="15358.68"/>
    <n v="76793.399999999994"/>
    <x v="0"/>
    <x v="2"/>
  </r>
  <r>
    <x v="225"/>
    <s v="2025-02-14"/>
    <x v="1"/>
    <s v="CUST7115"/>
    <x v="2"/>
    <n v="4"/>
    <n v="38536.42"/>
    <n v="154145.68"/>
    <x v="1"/>
    <x v="2"/>
  </r>
  <r>
    <x v="226"/>
    <s v="2025-02-14"/>
    <x v="1"/>
    <s v="CUST1786"/>
    <x v="4"/>
    <n v="5"/>
    <n v="17899.02"/>
    <n v="89495.1"/>
    <x v="0"/>
    <x v="2"/>
  </r>
  <r>
    <x v="227"/>
    <s v="2025-02-14"/>
    <x v="1"/>
    <s v="CUST6467"/>
    <x v="4"/>
    <n v="4"/>
    <n v="16152.29"/>
    <n v="64609.16"/>
    <x v="0"/>
    <x v="2"/>
  </r>
  <r>
    <x v="228"/>
    <s v="2025-02-15"/>
    <x v="1"/>
    <s v="CUST4066"/>
    <x v="7"/>
    <n v="4"/>
    <n v="41314.400000000001"/>
    <n v="165257.60000000001"/>
    <x v="1"/>
    <x v="3"/>
  </r>
  <r>
    <x v="229"/>
    <s v="2025-02-15"/>
    <x v="1"/>
    <s v="CUST4458"/>
    <x v="7"/>
    <n v="3"/>
    <n v="18322.849999999999"/>
    <n v="54968.55"/>
    <x v="3"/>
    <x v="3"/>
  </r>
  <r>
    <x v="230"/>
    <s v="2025-02-15"/>
    <x v="1"/>
    <s v="CUST8168"/>
    <x v="5"/>
    <n v="5"/>
    <n v="18431.689999999999"/>
    <n v="92158.45"/>
    <x v="2"/>
    <x v="0"/>
  </r>
  <r>
    <x v="231"/>
    <s v="2025-02-16"/>
    <x v="1"/>
    <s v="CUST6090"/>
    <x v="2"/>
    <n v="5"/>
    <n v="3889.74"/>
    <n v="19448.7"/>
    <x v="2"/>
    <x v="1"/>
  </r>
  <r>
    <x v="232"/>
    <s v="2025-02-16"/>
    <x v="1"/>
    <s v="CUST5021"/>
    <x v="2"/>
    <n v="2"/>
    <n v="31964.62"/>
    <n v="63929.24"/>
    <x v="1"/>
    <x v="0"/>
  </r>
  <r>
    <x v="233"/>
    <s v="2025-02-16"/>
    <x v="1"/>
    <s v="CUST7739"/>
    <x v="8"/>
    <n v="5"/>
    <n v="11130.15"/>
    <n v="55650.75"/>
    <x v="2"/>
    <x v="0"/>
  </r>
  <r>
    <x v="234"/>
    <s v="2025-02-16"/>
    <x v="1"/>
    <s v="CUST4898"/>
    <x v="4"/>
    <n v="4"/>
    <n v="36639.519999999997"/>
    <n v="146558.07999999999"/>
    <x v="2"/>
    <x v="3"/>
  </r>
  <r>
    <x v="235"/>
    <s v="2025-02-16"/>
    <x v="1"/>
    <s v="CUST2495"/>
    <x v="4"/>
    <n v="3"/>
    <n v="16856.11"/>
    <n v="50568.33"/>
    <x v="1"/>
    <x v="0"/>
  </r>
  <r>
    <x v="236"/>
    <s v="2025-02-17"/>
    <x v="1"/>
    <s v="CUST5113"/>
    <x v="6"/>
    <n v="4"/>
    <n v="22496.91"/>
    <n v="89987.64"/>
    <x v="2"/>
    <x v="0"/>
  </r>
  <r>
    <x v="237"/>
    <s v="2025-02-17"/>
    <x v="1"/>
    <s v="CUST7100"/>
    <x v="2"/>
    <n v="3"/>
    <n v="22126.86"/>
    <n v="66380.58"/>
    <x v="2"/>
    <x v="1"/>
  </r>
  <r>
    <x v="238"/>
    <s v="2025-02-17"/>
    <x v="1"/>
    <s v="CUST3014"/>
    <x v="0"/>
    <n v="5"/>
    <n v="32354.28"/>
    <n v="161771.4"/>
    <x v="1"/>
    <x v="2"/>
  </r>
  <r>
    <x v="239"/>
    <s v="2025-02-17"/>
    <x v="1"/>
    <s v="CUST4118"/>
    <x v="5"/>
    <n v="3"/>
    <n v="4999.43"/>
    <n v="14998.29"/>
    <x v="0"/>
    <x v="2"/>
  </r>
  <r>
    <x v="240"/>
    <s v="2025-02-17"/>
    <x v="1"/>
    <s v="CUST8957"/>
    <x v="3"/>
    <n v="1"/>
    <n v="43519.5"/>
    <n v="43519.5"/>
    <x v="3"/>
    <x v="0"/>
  </r>
  <r>
    <x v="241"/>
    <s v="2025-02-18"/>
    <x v="1"/>
    <s v="CUST4012"/>
    <x v="8"/>
    <n v="3"/>
    <n v="43848.480000000003"/>
    <n v="131545.44"/>
    <x v="3"/>
    <x v="0"/>
  </r>
  <r>
    <x v="242"/>
    <s v="2025-02-18"/>
    <x v="1"/>
    <s v="CUST7821"/>
    <x v="1"/>
    <n v="4"/>
    <n v="44422.559999999998"/>
    <n v="177690.23999999999"/>
    <x v="1"/>
    <x v="1"/>
  </r>
  <r>
    <x v="243"/>
    <s v="2025-02-18"/>
    <x v="1"/>
    <s v="CUST3500"/>
    <x v="2"/>
    <n v="5"/>
    <n v="37251.14"/>
    <n v="186255.7"/>
    <x v="0"/>
    <x v="1"/>
  </r>
  <r>
    <x v="244"/>
    <s v="2025-02-18"/>
    <x v="1"/>
    <s v="CUST6089"/>
    <x v="2"/>
    <n v="5"/>
    <n v="13288.19"/>
    <n v="66440.95"/>
    <x v="1"/>
    <x v="1"/>
  </r>
  <r>
    <x v="245"/>
    <s v="2025-02-18"/>
    <x v="1"/>
    <s v="CUST9173"/>
    <x v="8"/>
    <n v="5"/>
    <n v="15576.91"/>
    <n v="77884.55"/>
    <x v="2"/>
    <x v="2"/>
  </r>
  <r>
    <x v="246"/>
    <s v="2025-02-18"/>
    <x v="1"/>
    <s v="CUST1413"/>
    <x v="9"/>
    <n v="5"/>
    <n v="14026.27"/>
    <n v="70131.350000000006"/>
    <x v="3"/>
    <x v="2"/>
  </r>
  <r>
    <x v="247"/>
    <s v="2025-02-18"/>
    <x v="1"/>
    <s v="CUST5647"/>
    <x v="7"/>
    <n v="4"/>
    <n v="39239.86"/>
    <n v="156959.44"/>
    <x v="0"/>
    <x v="0"/>
  </r>
  <r>
    <x v="248"/>
    <s v="2025-02-19"/>
    <x v="1"/>
    <s v="CUST6743"/>
    <x v="1"/>
    <n v="3"/>
    <n v="48838.720000000001"/>
    <n v="146516.16"/>
    <x v="3"/>
    <x v="1"/>
  </r>
  <r>
    <x v="249"/>
    <s v="2025-02-19"/>
    <x v="1"/>
    <s v="CUST6206"/>
    <x v="5"/>
    <n v="1"/>
    <n v="1390.72"/>
    <n v="1390.72"/>
    <x v="3"/>
    <x v="3"/>
  </r>
  <r>
    <x v="250"/>
    <s v="2025-02-19"/>
    <x v="1"/>
    <s v="CUST8521"/>
    <x v="0"/>
    <n v="4"/>
    <n v="28506.12"/>
    <n v="114024.48"/>
    <x v="2"/>
    <x v="0"/>
  </r>
  <r>
    <x v="251"/>
    <s v="2025-02-19"/>
    <x v="1"/>
    <s v="CUST3826"/>
    <x v="8"/>
    <n v="4"/>
    <n v="16087.63"/>
    <n v="64350.52"/>
    <x v="0"/>
    <x v="0"/>
  </r>
  <r>
    <x v="252"/>
    <s v="2025-02-19"/>
    <x v="1"/>
    <s v="CUST3716"/>
    <x v="2"/>
    <n v="4"/>
    <n v="38457.46"/>
    <n v="153829.84"/>
    <x v="1"/>
    <x v="1"/>
  </r>
  <r>
    <x v="253"/>
    <s v="2025-02-19"/>
    <x v="1"/>
    <s v="CUST4840"/>
    <x v="1"/>
    <n v="1"/>
    <n v="44058.57"/>
    <n v="44058.57"/>
    <x v="2"/>
    <x v="3"/>
  </r>
  <r>
    <x v="254"/>
    <s v="2025-02-19"/>
    <x v="1"/>
    <s v="CUST1606"/>
    <x v="3"/>
    <n v="2"/>
    <n v="14128.07"/>
    <n v="28256.14"/>
    <x v="0"/>
    <x v="0"/>
  </r>
  <r>
    <x v="255"/>
    <s v="2025-02-20"/>
    <x v="1"/>
    <s v="CUST5837"/>
    <x v="6"/>
    <n v="1"/>
    <n v="37865.64"/>
    <n v="37865.64"/>
    <x v="1"/>
    <x v="2"/>
  </r>
  <r>
    <x v="256"/>
    <s v="2025-02-20"/>
    <x v="1"/>
    <s v="CUST4988"/>
    <x v="9"/>
    <n v="2"/>
    <n v="29413.32"/>
    <n v="58826.64"/>
    <x v="0"/>
    <x v="1"/>
  </r>
  <r>
    <x v="257"/>
    <s v="2025-02-20"/>
    <x v="1"/>
    <s v="CUST9929"/>
    <x v="0"/>
    <n v="1"/>
    <n v="2736.4"/>
    <n v="2736.4"/>
    <x v="3"/>
    <x v="1"/>
  </r>
  <r>
    <x v="258"/>
    <s v="2025-02-20"/>
    <x v="1"/>
    <s v="CUST1165"/>
    <x v="0"/>
    <n v="1"/>
    <n v="42929.34"/>
    <n v="42929.34"/>
    <x v="2"/>
    <x v="3"/>
  </r>
  <r>
    <x v="259"/>
    <s v="2025-02-20"/>
    <x v="1"/>
    <s v="CUST1447"/>
    <x v="4"/>
    <n v="2"/>
    <n v="39492.39"/>
    <n v="78984.78"/>
    <x v="2"/>
    <x v="0"/>
  </r>
  <r>
    <x v="260"/>
    <s v="2025-02-20"/>
    <x v="1"/>
    <s v="CUST1305"/>
    <x v="3"/>
    <n v="2"/>
    <n v="10701.19"/>
    <n v="21402.38"/>
    <x v="1"/>
    <x v="1"/>
  </r>
  <r>
    <x v="261"/>
    <s v="2025-02-20"/>
    <x v="1"/>
    <s v="CUST2072"/>
    <x v="2"/>
    <n v="4"/>
    <n v="22509.040000000001"/>
    <n v="90036.160000000003"/>
    <x v="2"/>
    <x v="0"/>
  </r>
  <r>
    <x v="262"/>
    <s v="2025-02-20"/>
    <x v="1"/>
    <s v="CUST6500"/>
    <x v="9"/>
    <n v="1"/>
    <n v="10503.36"/>
    <n v="10503.36"/>
    <x v="1"/>
    <x v="0"/>
  </r>
  <r>
    <x v="263"/>
    <s v="2025-02-21"/>
    <x v="1"/>
    <s v="CUST8770"/>
    <x v="1"/>
    <n v="4"/>
    <n v="14160.38"/>
    <n v="56641.52"/>
    <x v="1"/>
    <x v="0"/>
  </r>
  <r>
    <x v="264"/>
    <s v="2025-02-21"/>
    <x v="1"/>
    <s v="CUST7792"/>
    <x v="5"/>
    <n v="1"/>
    <n v="20973.82"/>
    <n v="20973.82"/>
    <x v="2"/>
    <x v="1"/>
  </r>
  <r>
    <x v="265"/>
    <s v="2025-02-21"/>
    <x v="1"/>
    <s v="CUST5681"/>
    <x v="4"/>
    <n v="2"/>
    <n v="28864.74"/>
    <n v="57729.48"/>
    <x v="0"/>
    <x v="0"/>
  </r>
  <r>
    <x v="266"/>
    <s v="2025-02-21"/>
    <x v="1"/>
    <s v="CUST2137"/>
    <x v="5"/>
    <n v="1"/>
    <n v="22570.21"/>
    <n v="22570.21"/>
    <x v="1"/>
    <x v="1"/>
  </r>
  <r>
    <x v="267"/>
    <s v="2025-02-21"/>
    <x v="1"/>
    <s v="CUST3259"/>
    <x v="1"/>
    <n v="2"/>
    <n v="40825.43"/>
    <n v="81650.86"/>
    <x v="0"/>
    <x v="0"/>
  </r>
  <r>
    <x v="268"/>
    <s v="2025-02-22"/>
    <x v="1"/>
    <s v="CUST3667"/>
    <x v="4"/>
    <n v="4"/>
    <n v="3327.81"/>
    <n v="13311.24"/>
    <x v="0"/>
    <x v="0"/>
  </r>
  <r>
    <x v="269"/>
    <s v="2025-02-22"/>
    <x v="1"/>
    <s v="CUST7524"/>
    <x v="1"/>
    <n v="2"/>
    <n v="29866.74"/>
    <n v="59733.48"/>
    <x v="3"/>
    <x v="3"/>
  </r>
  <r>
    <x v="270"/>
    <s v="2025-02-22"/>
    <x v="1"/>
    <s v="CUST5945"/>
    <x v="3"/>
    <n v="1"/>
    <n v="41043.379999999997"/>
    <n v="41043.379999999997"/>
    <x v="3"/>
    <x v="2"/>
  </r>
  <r>
    <x v="271"/>
    <s v="2025-02-22"/>
    <x v="1"/>
    <s v="CUST5340"/>
    <x v="3"/>
    <n v="2"/>
    <n v="17043.32"/>
    <n v="34086.639999999999"/>
    <x v="0"/>
    <x v="3"/>
  </r>
  <r>
    <x v="272"/>
    <s v="2025-02-23"/>
    <x v="1"/>
    <s v="CUST2237"/>
    <x v="2"/>
    <n v="2"/>
    <n v="31552.11"/>
    <n v="63104.22"/>
    <x v="2"/>
    <x v="3"/>
  </r>
  <r>
    <x v="273"/>
    <s v="2025-02-23"/>
    <x v="1"/>
    <s v="CUST8255"/>
    <x v="9"/>
    <n v="4"/>
    <n v="552.54"/>
    <n v="2210.16"/>
    <x v="0"/>
    <x v="3"/>
  </r>
  <r>
    <x v="274"/>
    <s v="2025-02-23"/>
    <x v="1"/>
    <s v="CUST5727"/>
    <x v="1"/>
    <n v="3"/>
    <n v="25789.26"/>
    <n v="77367.78"/>
    <x v="0"/>
    <x v="0"/>
  </r>
  <r>
    <x v="275"/>
    <s v="2025-02-24"/>
    <x v="1"/>
    <s v="CUST9106"/>
    <x v="1"/>
    <n v="1"/>
    <n v="15545.88"/>
    <n v="15545.88"/>
    <x v="2"/>
    <x v="1"/>
  </r>
  <r>
    <x v="276"/>
    <s v="2025-02-24"/>
    <x v="1"/>
    <s v="CUST5641"/>
    <x v="3"/>
    <n v="2"/>
    <n v="32712.16"/>
    <n v="65424.32"/>
    <x v="2"/>
    <x v="1"/>
  </r>
  <r>
    <x v="277"/>
    <s v="2025-02-24"/>
    <x v="1"/>
    <s v="CUST7423"/>
    <x v="0"/>
    <n v="1"/>
    <n v="640.54"/>
    <n v="640.54"/>
    <x v="3"/>
    <x v="3"/>
  </r>
  <r>
    <x v="278"/>
    <s v="2025-02-24"/>
    <x v="1"/>
    <s v="CUST4534"/>
    <x v="2"/>
    <n v="4"/>
    <n v="10090.81"/>
    <n v="40363.24"/>
    <x v="1"/>
    <x v="2"/>
  </r>
  <r>
    <x v="279"/>
    <s v="2025-02-24"/>
    <x v="1"/>
    <s v="CUST4649"/>
    <x v="6"/>
    <n v="3"/>
    <n v="35176.65"/>
    <n v="105529.95"/>
    <x v="1"/>
    <x v="2"/>
  </r>
  <r>
    <x v="280"/>
    <s v="2025-02-24"/>
    <x v="1"/>
    <s v="CUST9262"/>
    <x v="3"/>
    <n v="4"/>
    <n v="38933.85"/>
    <n v="155735.4"/>
    <x v="2"/>
    <x v="1"/>
  </r>
  <r>
    <x v="281"/>
    <s v="2025-02-24"/>
    <x v="1"/>
    <s v="CUST1677"/>
    <x v="4"/>
    <n v="5"/>
    <n v="35427.78"/>
    <n v="177138.9"/>
    <x v="1"/>
    <x v="3"/>
  </r>
  <r>
    <x v="282"/>
    <s v="2025-02-24"/>
    <x v="1"/>
    <s v="CUST6413"/>
    <x v="2"/>
    <n v="3"/>
    <n v="25565.54"/>
    <n v="76696.62"/>
    <x v="3"/>
    <x v="0"/>
  </r>
  <r>
    <x v="283"/>
    <s v="2025-02-25"/>
    <x v="1"/>
    <s v="CUST7324"/>
    <x v="7"/>
    <n v="5"/>
    <n v="8699.36"/>
    <n v="43496.800000000003"/>
    <x v="3"/>
    <x v="3"/>
  </r>
  <r>
    <x v="284"/>
    <s v="2025-02-25"/>
    <x v="1"/>
    <s v="CUST9490"/>
    <x v="2"/>
    <n v="5"/>
    <n v="49230.59"/>
    <n v="246152.95"/>
    <x v="3"/>
    <x v="0"/>
  </r>
  <r>
    <x v="285"/>
    <s v="2025-02-25"/>
    <x v="1"/>
    <s v="CUST3661"/>
    <x v="4"/>
    <n v="2"/>
    <n v="24188.45"/>
    <n v="48376.9"/>
    <x v="2"/>
    <x v="3"/>
  </r>
  <r>
    <x v="286"/>
    <s v="2025-02-25"/>
    <x v="1"/>
    <s v="CUST9121"/>
    <x v="7"/>
    <n v="3"/>
    <n v="46559.92"/>
    <n v="139679.76"/>
    <x v="3"/>
    <x v="1"/>
  </r>
  <r>
    <x v="287"/>
    <s v="2025-02-26"/>
    <x v="1"/>
    <s v="CUST8935"/>
    <x v="0"/>
    <n v="2"/>
    <n v="49270.28"/>
    <n v="98540.56"/>
    <x v="1"/>
    <x v="0"/>
  </r>
  <r>
    <x v="288"/>
    <s v="2025-02-26"/>
    <x v="1"/>
    <s v="CUST5902"/>
    <x v="9"/>
    <n v="1"/>
    <n v="36769.07"/>
    <n v="36769.07"/>
    <x v="1"/>
    <x v="3"/>
  </r>
  <r>
    <x v="289"/>
    <s v="2025-02-26"/>
    <x v="1"/>
    <s v="CUST4744"/>
    <x v="0"/>
    <n v="1"/>
    <n v="15940.31"/>
    <n v="15940.31"/>
    <x v="2"/>
    <x v="0"/>
  </r>
  <r>
    <x v="290"/>
    <s v="2025-02-26"/>
    <x v="1"/>
    <s v="CUST4371"/>
    <x v="1"/>
    <n v="2"/>
    <n v="32085.279999999999"/>
    <n v="64170.559999999998"/>
    <x v="1"/>
    <x v="2"/>
  </r>
  <r>
    <x v="291"/>
    <s v="2025-02-27"/>
    <x v="1"/>
    <s v="CUST6725"/>
    <x v="1"/>
    <n v="5"/>
    <n v="39270.699999999997"/>
    <n v="196353.5"/>
    <x v="3"/>
    <x v="3"/>
  </r>
  <r>
    <x v="292"/>
    <s v="2025-02-27"/>
    <x v="1"/>
    <s v="CUST6546"/>
    <x v="6"/>
    <n v="2"/>
    <n v="27795.82"/>
    <n v="55591.64"/>
    <x v="2"/>
    <x v="2"/>
  </r>
  <r>
    <x v="293"/>
    <s v="2025-02-27"/>
    <x v="1"/>
    <s v="CUST6987"/>
    <x v="1"/>
    <n v="2"/>
    <n v="40678.980000000003"/>
    <n v="81357.960000000006"/>
    <x v="1"/>
    <x v="2"/>
  </r>
  <r>
    <x v="294"/>
    <s v="2025-02-27"/>
    <x v="1"/>
    <s v="CUST4350"/>
    <x v="3"/>
    <n v="2"/>
    <n v="29413.86"/>
    <n v="58827.72"/>
    <x v="3"/>
    <x v="1"/>
  </r>
  <r>
    <x v="295"/>
    <s v="2025-02-28"/>
    <x v="1"/>
    <s v="CUST4075"/>
    <x v="8"/>
    <n v="3"/>
    <n v="36372.089999999997"/>
    <n v="109116.27"/>
    <x v="3"/>
    <x v="1"/>
  </r>
  <r>
    <x v="296"/>
    <s v="2025-02-28"/>
    <x v="1"/>
    <s v="CUST3497"/>
    <x v="9"/>
    <n v="1"/>
    <n v="39168.870000000003"/>
    <n v="39168.870000000003"/>
    <x v="3"/>
    <x v="1"/>
  </r>
  <r>
    <x v="297"/>
    <s v="2025-02-28"/>
    <x v="1"/>
    <s v="CUST6731"/>
    <x v="8"/>
    <n v="4"/>
    <n v="4888.82"/>
    <n v="19555.28"/>
    <x v="1"/>
    <x v="0"/>
  </r>
  <r>
    <x v="298"/>
    <s v="2025-02-28"/>
    <x v="1"/>
    <s v="CUST3990"/>
    <x v="6"/>
    <n v="5"/>
    <n v="45665.23"/>
    <n v="228326.15"/>
    <x v="0"/>
    <x v="3"/>
  </r>
  <r>
    <x v="299"/>
    <s v="2025-02-28"/>
    <x v="1"/>
    <s v="CUST8593"/>
    <x v="7"/>
    <n v="4"/>
    <n v="30615.07"/>
    <n v="122460.28"/>
    <x v="0"/>
    <x v="1"/>
  </r>
  <r>
    <x v="300"/>
    <s v="2025-02-28"/>
    <x v="1"/>
    <s v="CUST7317"/>
    <x v="6"/>
    <n v="1"/>
    <n v="12178.6"/>
    <n v="12178.6"/>
    <x v="2"/>
    <x v="1"/>
  </r>
  <r>
    <x v="301"/>
    <s v="2025-02-28"/>
    <x v="1"/>
    <s v="CUST6239"/>
    <x v="5"/>
    <n v="4"/>
    <n v="32259.759999999998"/>
    <n v="129039.03999999999"/>
    <x v="0"/>
    <x v="3"/>
  </r>
  <r>
    <x v="302"/>
    <s v="2025-03-01"/>
    <x v="2"/>
    <s v="CUST2336"/>
    <x v="6"/>
    <n v="4"/>
    <n v="38492.5"/>
    <n v="153970"/>
    <x v="3"/>
    <x v="1"/>
  </r>
  <r>
    <x v="303"/>
    <s v="2025-03-01"/>
    <x v="2"/>
    <s v="CUST2718"/>
    <x v="6"/>
    <n v="4"/>
    <n v="927.18"/>
    <n v="3708.72"/>
    <x v="2"/>
    <x v="0"/>
  </r>
  <r>
    <x v="304"/>
    <s v="2025-03-01"/>
    <x v="2"/>
    <s v="CUST3534"/>
    <x v="8"/>
    <n v="4"/>
    <n v="42501.98"/>
    <n v="170007.92"/>
    <x v="3"/>
    <x v="0"/>
  </r>
  <r>
    <x v="305"/>
    <s v="2025-03-01"/>
    <x v="2"/>
    <s v="CUST9750"/>
    <x v="4"/>
    <n v="5"/>
    <n v="11580.35"/>
    <n v="57901.75"/>
    <x v="2"/>
    <x v="1"/>
  </r>
  <r>
    <x v="306"/>
    <s v="2025-03-01"/>
    <x v="2"/>
    <s v="CUST1285"/>
    <x v="7"/>
    <n v="1"/>
    <n v="32013.97"/>
    <n v="32013.97"/>
    <x v="3"/>
    <x v="1"/>
  </r>
  <r>
    <x v="307"/>
    <s v="2025-03-01"/>
    <x v="2"/>
    <s v="CUST6274"/>
    <x v="8"/>
    <n v="1"/>
    <n v="17719.07"/>
    <n v="17719.07"/>
    <x v="2"/>
    <x v="3"/>
  </r>
  <r>
    <x v="308"/>
    <s v="2025-03-01"/>
    <x v="2"/>
    <s v="CUST8256"/>
    <x v="8"/>
    <n v="5"/>
    <n v="15752.46"/>
    <n v="78762.3"/>
    <x v="0"/>
    <x v="2"/>
  </r>
  <r>
    <x v="309"/>
    <s v="2025-03-01"/>
    <x v="2"/>
    <s v="CUST7412"/>
    <x v="7"/>
    <n v="3"/>
    <n v="48024.71"/>
    <n v="144074.13"/>
    <x v="0"/>
    <x v="0"/>
  </r>
  <r>
    <x v="310"/>
    <s v="2025-03-02"/>
    <x v="2"/>
    <s v="CUST3402"/>
    <x v="2"/>
    <n v="1"/>
    <n v="10271.620000000001"/>
    <n v="10271.620000000001"/>
    <x v="3"/>
    <x v="2"/>
  </r>
  <r>
    <x v="311"/>
    <s v="2025-03-02"/>
    <x v="2"/>
    <s v="CUST5597"/>
    <x v="7"/>
    <n v="1"/>
    <n v="39808.800000000003"/>
    <n v="39808.800000000003"/>
    <x v="3"/>
    <x v="2"/>
  </r>
  <r>
    <x v="312"/>
    <s v="2025-03-02"/>
    <x v="2"/>
    <s v="CUST5098"/>
    <x v="9"/>
    <n v="4"/>
    <n v="42251.58"/>
    <n v="169006.32"/>
    <x v="3"/>
    <x v="0"/>
  </r>
  <r>
    <x v="313"/>
    <s v="2025-03-02"/>
    <x v="2"/>
    <s v="CUST9674"/>
    <x v="7"/>
    <n v="2"/>
    <n v="36665.379999999997"/>
    <n v="73330.759999999995"/>
    <x v="3"/>
    <x v="3"/>
  </r>
  <r>
    <x v="314"/>
    <s v="2025-03-02"/>
    <x v="2"/>
    <s v="CUST8564"/>
    <x v="5"/>
    <n v="3"/>
    <n v="13837.38"/>
    <n v="41512.14"/>
    <x v="0"/>
    <x v="1"/>
  </r>
  <r>
    <x v="315"/>
    <s v="2025-03-02"/>
    <x v="2"/>
    <s v="CUST1932"/>
    <x v="4"/>
    <n v="3"/>
    <n v="37511.39"/>
    <n v="112534.17"/>
    <x v="1"/>
    <x v="1"/>
  </r>
  <r>
    <x v="316"/>
    <s v="2025-03-03"/>
    <x v="2"/>
    <s v="CUST5556"/>
    <x v="8"/>
    <n v="2"/>
    <n v="25546.98"/>
    <n v="51093.96"/>
    <x v="0"/>
    <x v="1"/>
  </r>
  <r>
    <x v="317"/>
    <s v="2025-03-03"/>
    <x v="2"/>
    <s v="CUST5507"/>
    <x v="2"/>
    <n v="3"/>
    <n v="36446.43"/>
    <n v="109339.29"/>
    <x v="2"/>
    <x v="0"/>
  </r>
  <r>
    <x v="318"/>
    <s v="2025-03-03"/>
    <x v="2"/>
    <s v="CUST5528"/>
    <x v="7"/>
    <n v="2"/>
    <n v="5548.95"/>
    <n v="11097.9"/>
    <x v="2"/>
    <x v="2"/>
  </r>
  <r>
    <x v="319"/>
    <s v="2025-03-03"/>
    <x v="2"/>
    <s v="CUST5814"/>
    <x v="3"/>
    <n v="5"/>
    <n v="48121.88"/>
    <n v="240609.4"/>
    <x v="3"/>
    <x v="1"/>
  </r>
  <r>
    <x v="320"/>
    <s v="2025-03-03"/>
    <x v="2"/>
    <s v="CUST8064"/>
    <x v="4"/>
    <n v="1"/>
    <n v="10126.51"/>
    <n v="10126.51"/>
    <x v="3"/>
    <x v="2"/>
  </r>
  <r>
    <x v="321"/>
    <s v="2025-03-03"/>
    <x v="2"/>
    <s v="CUST5449"/>
    <x v="9"/>
    <n v="4"/>
    <n v="12917.08"/>
    <n v="51668.32"/>
    <x v="0"/>
    <x v="2"/>
  </r>
  <r>
    <x v="322"/>
    <s v="2025-03-03"/>
    <x v="2"/>
    <s v="CUST8190"/>
    <x v="4"/>
    <n v="4"/>
    <n v="23762.79"/>
    <n v="95051.16"/>
    <x v="3"/>
    <x v="2"/>
  </r>
  <r>
    <x v="323"/>
    <s v="2025-03-04"/>
    <x v="2"/>
    <s v="CUST7405"/>
    <x v="8"/>
    <n v="2"/>
    <n v="6743.95"/>
    <n v="13487.9"/>
    <x v="3"/>
    <x v="2"/>
  </r>
  <r>
    <x v="324"/>
    <s v="2025-03-04"/>
    <x v="2"/>
    <s v="CUST8609"/>
    <x v="2"/>
    <n v="5"/>
    <n v="42587.12"/>
    <n v="212935.6"/>
    <x v="2"/>
    <x v="0"/>
  </r>
  <r>
    <x v="325"/>
    <s v="2025-03-04"/>
    <x v="2"/>
    <s v="CUST6073"/>
    <x v="9"/>
    <n v="1"/>
    <n v="35685.19"/>
    <n v="35685.19"/>
    <x v="3"/>
    <x v="3"/>
  </r>
  <r>
    <x v="326"/>
    <s v="2025-03-04"/>
    <x v="2"/>
    <s v="CUST9711"/>
    <x v="9"/>
    <n v="2"/>
    <n v="47268.54"/>
    <n v="94537.08"/>
    <x v="1"/>
    <x v="2"/>
  </r>
  <r>
    <x v="327"/>
    <s v="2025-03-05"/>
    <x v="2"/>
    <s v="CUST4061"/>
    <x v="8"/>
    <n v="5"/>
    <n v="44500.79"/>
    <n v="222503.95"/>
    <x v="2"/>
    <x v="2"/>
  </r>
  <r>
    <x v="328"/>
    <s v="2025-03-05"/>
    <x v="2"/>
    <s v="CUST2259"/>
    <x v="8"/>
    <n v="3"/>
    <n v="4595.21"/>
    <n v="13785.63"/>
    <x v="2"/>
    <x v="0"/>
  </r>
  <r>
    <x v="329"/>
    <s v="2025-03-05"/>
    <x v="2"/>
    <s v="CUST6982"/>
    <x v="3"/>
    <n v="2"/>
    <n v="30291.31"/>
    <n v="60582.62"/>
    <x v="2"/>
    <x v="2"/>
  </r>
  <r>
    <x v="330"/>
    <s v="2025-03-05"/>
    <x v="2"/>
    <s v="CUST1761"/>
    <x v="0"/>
    <n v="4"/>
    <n v="10616.28"/>
    <n v="42465.120000000003"/>
    <x v="3"/>
    <x v="1"/>
  </r>
  <r>
    <x v="331"/>
    <s v="2025-03-05"/>
    <x v="2"/>
    <s v="CUST1967"/>
    <x v="9"/>
    <n v="4"/>
    <n v="3248.56"/>
    <n v="12994.24"/>
    <x v="0"/>
    <x v="0"/>
  </r>
  <r>
    <x v="332"/>
    <s v="2025-03-05"/>
    <x v="2"/>
    <s v="CUST1919"/>
    <x v="5"/>
    <n v="1"/>
    <n v="49892.52"/>
    <n v="49892.52"/>
    <x v="0"/>
    <x v="2"/>
  </r>
  <r>
    <x v="333"/>
    <s v="2025-03-05"/>
    <x v="2"/>
    <s v="CUST2769"/>
    <x v="3"/>
    <n v="3"/>
    <n v="10720.33"/>
    <n v="32160.99"/>
    <x v="3"/>
    <x v="1"/>
  </r>
  <r>
    <x v="334"/>
    <s v="2025-03-05"/>
    <x v="2"/>
    <s v="CUST9930"/>
    <x v="9"/>
    <n v="4"/>
    <n v="29833.03"/>
    <n v="119332.12"/>
    <x v="2"/>
    <x v="2"/>
  </r>
  <r>
    <x v="335"/>
    <s v="2025-03-06"/>
    <x v="2"/>
    <s v="CUST9370"/>
    <x v="0"/>
    <n v="1"/>
    <n v="17513.23"/>
    <n v="17513.23"/>
    <x v="2"/>
    <x v="0"/>
  </r>
  <r>
    <x v="336"/>
    <s v="2025-03-06"/>
    <x v="2"/>
    <s v="CUST5284"/>
    <x v="8"/>
    <n v="3"/>
    <n v="6209.26"/>
    <n v="18627.78"/>
    <x v="3"/>
    <x v="2"/>
  </r>
  <r>
    <x v="337"/>
    <s v="2025-03-06"/>
    <x v="2"/>
    <s v="CUST9974"/>
    <x v="5"/>
    <n v="1"/>
    <n v="33386.49"/>
    <n v="33386.49"/>
    <x v="3"/>
    <x v="0"/>
  </r>
  <r>
    <x v="338"/>
    <s v="2025-03-06"/>
    <x v="2"/>
    <s v="CUST3169"/>
    <x v="0"/>
    <n v="4"/>
    <n v="46873.06"/>
    <n v="187492.24"/>
    <x v="0"/>
    <x v="0"/>
  </r>
  <r>
    <x v="339"/>
    <s v="2025-03-06"/>
    <x v="2"/>
    <s v="CUST3082"/>
    <x v="1"/>
    <n v="3"/>
    <n v="39357.620000000003"/>
    <n v="118072.86"/>
    <x v="1"/>
    <x v="2"/>
  </r>
  <r>
    <x v="340"/>
    <s v="2025-03-06"/>
    <x v="2"/>
    <s v="CUST8736"/>
    <x v="9"/>
    <n v="4"/>
    <n v="36382.36"/>
    <n v="145529.44"/>
    <x v="0"/>
    <x v="2"/>
  </r>
  <r>
    <x v="341"/>
    <s v="2025-03-06"/>
    <x v="2"/>
    <s v="CUST6007"/>
    <x v="5"/>
    <n v="5"/>
    <n v="46215.32"/>
    <n v="231076.6"/>
    <x v="3"/>
    <x v="1"/>
  </r>
  <r>
    <x v="342"/>
    <s v="2025-03-06"/>
    <x v="2"/>
    <s v="CUST4497"/>
    <x v="4"/>
    <n v="2"/>
    <n v="5032.3900000000003"/>
    <n v="10064.780000000001"/>
    <x v="2"/>
    <x v="2"/>
  </r>
  <r>
    <x v="343"/>
    <s v="2025-03-07"/>
    <x v="2"/>
    <s v="CUST2194"/>
    <x v="1"/>
    <n v="2"/>
    <n v="12445.27"/>
    <n v="24890.54"/>
    <x v="1"/>
    <x v="1"/>
  </r>
  <r>
    <x v="344"/>
    <s v="2025-03-07"/>
    <x v="2"/>
    <s v="CUST1314"/>
    <x v="1"/>
    <n v="4"/>
    <n v="45254.04"/>
    <n v="181016.16"/>
    <x v="0"/>
    <x v="1"/>
  </r>
  <r>
    <x v="345"/>
    <s v="2025-03-07"/>
    <x v="2"/>
    <s v="CUST1520"/>
    <x v="6"/>
    <n v="2"/>
    <n v="5363.49"/>
    <n v="10726.98"/>
    <x v="1"/>
    <x v="2"/>
  </r>
  <r>
    <x v="346"/>
    <s v="2025-03-07"/>
    <x v="2"/>
    <s v="CUST1915"/>
    <x v="6"/>
    <n v="5"/>
    <n v="48118.28"/>
    <n v="240591.4"/>
    <x v="3"/>
    <x v="1"/>
  </r>
  <r>
    <x v="347"/>
    <s v="2025-03-07"/>
    <x v="2"/>
    <s v="CUST7587"/>
    <x v="9"/>
    <n v="1"/>
    <n v="44835"/>
    <n v="44835"/>
    <x v="1"/>
    <x v="0"/>
  </r>
  <r>
    <x v="348"/>
    <s v="2025-03-07"/>
    <x v="2"/>
    <s v="CUST2369"/>
    <x v="8"/>
    <n v="1"/>
    <n v="14636.49"/>
    <n v="14636.49"/>
    <x v="2"/>
    <x v="1"/>
  </r>
  <r>
    <x v="349"/>
    <s v="2025-03-08"/>
    <x v="2"/>
    <s v="CUST1780"/>
    <x v="7"/>
    <n v="1"/>
    <n v="41393.300000000003"/>
    <n v="41393.300000000003"/>
    <x v="2"/>
    <x v="0"/>
  </r>
  <r>
    <x v="350"/>
    <s v="2025-03-08"/>
    <x v="2"/>
    <s v="CUST3935"/>
    <x v="2"/>
    <n v="5"/>
    <n v="22031.15"/>
    <n v="110155.75"/>
    <x v="0"/>
    <x v="1"/>
  </r>
  <r>
    <x v="351"/>
    <s v="2025-03-08"/>
    <x v="2"/>
    <s v="CUST5183"/>
    <x v="3"/>
    <n v="4"/>
    <n v="45933.62"/>
    <n v="183734.48"/>
    <x v="2"/>
    <x v="3"/>
  </r>
  <r>
    <x v="352"/>
    <s v="2025-03-08"/>
    <x v="2"/>
    <s v="CUST6662"/>
    <x v="6"/>
    <n v="1"/>
    <n v="8708.39"/>
    <n v="8708.39"/>
    <x v="1"/>
    <x v="0"/>
  </r>
  <r>
    <x v="353"/>
    <s v="2025-03-08"/>
    <x v="2"/>
    <s v="CUST4104"/>
    <x v="2"/>
    <n v="5"/>
    <n v="22796.65"/>
    <n v="113983.25"/>
    <x v="1"/>
    <x v="3"/>
  </r>
  <r>
    <x v="354"/>
    <s v="2025-03-08"/>
    <x v="2"/>
    <s v="CUST8273"/>
    <x v="9"/>
    <n v="5"/>
    <n v="25049.54"/>
    <n v="125247.7"/>
    <x v="3"/>
    <x v="1"/>
  </r>
  <r>
    <x v="355"/>
    <s v="2025-03-08"/>
    <x v="2"/>
    <s v="CUST1872"/>
    <x v="6"/>
    <n v="2"/>
    <n v="10012.02"/>
    <n v="20024.04"/>
    <x v="3"/>
    <x v="1"/>
  </r>
  <r>
    <x v="356"/>
    <s v="2025-03-08"/>
    <x v="2"/>
    <s v="CUST7144"/>
    <x v="0"/>
    <n v="1"/>
    <n v="14872.01"/>
    <n v="14872.01"/>
    <x v="0"/>
    <x v="0"/>
  </r>
  <r>
    <x v="357"/>
    <s v="2025-03-09"/>
    <x v="2"/>
    <s v="CUST7864"/>
    <x v="7"/>
    <n v="4"/>
    <n v="15402.55"/>
    <n v="61610.2"/>
    <x v="2"/>
    <x v="1"/>
  </r>
  <r>
    <x v="358"/>
    <s v="2025-03-09"/>
    <x v="2"/>
    <s v="CUST9463"/>
    <x v="9"/>
    <n v="4"/>
    <n v="20214.849999999999"/>
    <n v="80859.399999999994"/>
    <x v="1"/>
    <x v="3"/>
  </r>
  <r>
    <x v="359"/>
    <s v="2025-03-09"/>
    <x v="2"/>
    <s v="CUST7483"/>
    <x v="9"/>
    <n v="4"/>
    <n v="27979.11"/>
    <n v="111916.44"/>
    <x v="2"/>
    <x v="0"/>
  </r>
  <r>
    <x v="360"/>
    <s v="2025-03-09"/>
    <x v="2"/>
    <s v="CUST3735"/>
    <x v="0"/>
    <n v="2"/>
    <n v="31098.080000000002"/>
    <n v="62196.160000000003"/>
    <x v="2"/>
    <x v="2"/>
  </r>
  <r>
    <x v="361"/>
    <s v="2025-03-09"/>
    <x v="2"/>
    <s v="CUST8227"/>
    <x v="2"/>
    <n v="1"/>
    <n v="42883.78"/>
    <n v="42883.78"/>
    <x v="0"/>
    <x v="2"/>
  </r>
  <r>
    <x v="362"/>
    <s v="2025-03-09"/>
    <x v="2"/>
    <s v="CUST6123"/>
    <x v="6"/>
    <n v="2"/>
    <n v="21621.65"/>
    <n v="43243.3"/>
    <x v="3"/>
    <x v="1"/>
  </r>
  <r>
    <x v="363"/>
    <s v="2025-03-09"/>
    <x v="2"/>
    <s v="CUST7114"/>
    <x v="5"/>
    <n v="1"/>
    <n v="37793.78"/>
    <n v="37793.78"/>
    <x v="0"/>
    <x v="1"/>
  </r>
  <r>
    <x v="364"/>
    <s v="2025-03-09"/>
    <x v="2"/>
    <s v="CUST7250"/>
    <x v="9"/>
    <n v="4"/>
    <n v="28416.55"/>
    <n v="113666.2"/>
    <x v="0"/>
    <x v="1"/>
  </r>
  <r>
    <x v="365"/>
    <s v="2025-03-10"/>
    <x v="2"/>
    <s v="CUST9406"/>
    <x v="1"/>
    <n v="3"/>
    <n v="46229.48"/>
    <n v="138688.44"/>
    <x v="1"/>
    <x v="2"/>
  </r>
  <r>
    <x v="366"/>
    <s v="2025-03-10"/>
    <x v="2"/>
    <s v="CUST9719"/>
    <x v="4"/>
    <n v="5"/>
    <n v="46283.13"/>
    <n v="231415.65"/>
    <x v="0"/>
    <x v="3"/>
  </r>
  <r>
    <x v="367"/>
    <s v="2025-03-10"/>
    <x v="2"/>
    <s v="CUST6916"/>
    <x v="4"/>
    <n v="3"/>
    <n v="28119.78"/>
    <n v="84359.34"/>
    <x v="1"/>
    <x v="0"/>
  </r>
  <r>
    <x v="368"/>
    <s v="2025-03-10"/>
    <x v="2"/>
    <s v="CUST4834"/>
    <x v="9"/>
    <n v="5"/>
    <n v="7724.34"/>
    <n v="38621.699999999997"/>
    <x v="2"/>
    <x v="0"/>
  </r>
  <r>
    <x v="369"/>
    <s v="2025-03-10"/>
    <x v="2"/>
    <s v="CUST5726"/>
    <x v="0"/>
    <n v="5"/>
    <n v="37423.550000000003"/>
    <n v="187117.75"/>
    <x v="3"/>
    <x v="3"/>
  </r>
  <r>
    <x v="370"/>
    <s v="2025-03-10"/>
    <x v="2"/>
    <s v="CUST1310"/>
    <x v="8"/>
    <n v="2"/>
    <n v="21871.31"/>
    <n v="43742.62"/>
    <x v="3"/>
    <x v="2"/>
  </r>
  <r>
    <x v="371"/>
    <s v="2025-03-10"/>
    <x v="2"/>
    <s v="CUST3370"/>
    <x v="6"/>
    <n v="3"/>
    <n v="8980.2800000000007"/>
    <n v="26940.84"/>
    <x v="3"/>
    <x v="3"/>
  </r>
  <r>
    <x v="372"/>
    <s v="2025-03-10"/>
    <x v="2"/>
    <s v="CUST1011"/>
    <x v="2"/>
    <n v="5"/>
    <n v="2083.89"/>
    <n v="10419.450000000001"/>
    <x v="0"/>
    <x v="0"/>
  </r>
  <r>
    <x v="373"/>
    <s v="2025-03-11"/>
    <x v="2"/>
    <s v="CUST7431"/>
    <x v="6"/>
    <n v="3"/>
    <n v="3499.89"/>
    <n v="10499.67"/>
    <x v="1"/>
    <x v="1"/>
  </r>
  <r>
    <x v="374"/>
    <s v="2025-03-11"/>
    <x v="2"/>
    <s v="CUST1560"/>
    <x v="2"/>
    <n v="1"/>
    <n v="45989.33"/>
    <n v="45989.33"/>
    <x v="0"/>
    <x v="2"/>
  </r>
  <r>
    <x v="375"/>
    <s v="2025-03-11"/>
    <x v="2"/>
    <s v="CUST8322"/>
    <x v="0"/>
    <n v="2"/>
    <n v="49397.5"/>
    <n v="98795"/>
    <x v="3"/>
    <x v="1"/>
  </r>
  <r>
    <x v="376"/>
    <s v="2025-03-11"/>
    <x v="2"/>
    <s v="CUST3397"/>
    <x v="5"/>
    <n v="5"/>
    <n v="12506.81"/>
    <n v="62534.05"/>
    <x v="3"/>
    <x v="1"/>
  </r>
  <r>
    <x v="377"/>
    <s v="2025-03-11"/>
    <x v="2"/>
    <s v="CUST2999"/>
    <x v="6"/>
    <n v="4"/>
    <n v="31441.81"/>
    <n v="125767.24"/>
    <x v="0"/>
    <x v="1"/>
  </r>
  <r>
    <x v="378"/>
    <s v="2025-03-11"/>
    <x v="2"/>
    <s v="CUST8272"/>
    <x v="3"/>
    <n v="4"/>
    <n v="28043.09"/>
    <n v="112172.36"/>
    <x v="3"/>
    <x v="1"/>
  </r>
  <r>
    <x v="379"/>
    <s v="2025-03-12"/>
    <x v="2"/>
    <s v="CUST5479"/>
    <x v="0"/>
    <n v="2"/>
    <n v="40206.480000000003"/>
    <n v="80412.960000000006"/>
    <x v="1"/>
    <x v="3"/>
  </r>
  <r>
    <x v="380"/>
    <s v="2025-03-12"/>
    <x v="2"/>
    <s v="CUST9308"/>
    <x v="5"/>
    <n v="2"/>
    <n v="2477.27"/>
    <n v="4954.54"/>
    <x v="2"/>
    <x v="0"/>
  </r>
  <r>
    <x v="381"/>
    <s v="2025-03-12"/>
    <x v="2"/>
    <s v="CUST3223"/>
    <x v="9"/>
    <n v="4"/>
    <n v="9697.01"/>
    <n v="38788.04"/>
    <x v="3"/>
    <x v="2"/>
  </r>
  <r>
    <x v="382"/>
    <s v="2025-03-12"/>
    <x v="2"/>
    <s v="CUST1134"/>
    <x v="2"/>
    <n v="3"/>
    <n v="14067.41"/>
    <n v="42202.23"/>
    <x v="1"/>
    <x v="1"/>
  </r>
  <r>
    <x v="383"/>
    <s v="2025-03-12"/>
    <x v="2"/>
    <s v="CUST6408"/>
    <x v="4"/>
    <n v="5"/>
    <n v="28159.3"/>
    <n v="140796.5"/>
    <x v="1"/>
    <x v="1"/>
  </r>
  <r>
    <x v="384"/>
    <s v="2025-03-12"/>
    <x v="2"/>
    <s v="CUST2757"/>
    <x v="1"/>
    <n v="2"/>
    <n v="24921.23"/>
    <n v="49842.46"/>
    <x v="1"/>
    <x v="1"/>
  </r>
  <r>
    <x v="385"/>
    <s v="2025-03-12"/>
    <x v="2"/>
    <s v="CUST9395"/>
    <x v="6"/>
    <n v="1"/>
    <n v="44448.51"/>
    <n v="44448.51"/>
    <x v="3"/>
    <x v="1"/>
  </r>
  <r>
    <x v="386"/>
    <s v="2025-03-13"/>
    <x v="2"/>
    <s v="CUST1065"/>
    <x v="4"/>
    <n v="5"/>
    <n v="18334.57"/>
    <n v="91672.85"/>
    <x v="0"/>
    <x v="1"/>
  </r>
  <r>
    <x v="387"/>
    <s v="2025-03-13"/>
    <x v="2"/>
    <s v="CUST1235"/>
    <x v="1"/>
    <n v="1"/>
    <n v="11745.42"/>
    <n v="11745.42"/>
    <x v="2"/>
    <x v="0"/>
  </r>
  <r>
    <x v="388"/>
    <s v="2025-03-13"/>
    <x v="2"/>
    <s v="CUST2666"/>
    <x v="7"/>
    <n v="5"/>
    <n v="34134.75"/>
    <n v="170673.75"/>
    <x v="3"/>
    <x v="3"/>
  </r>
  <r>
    <x v="389"/>
    <s v="2025-03-13"/>
    <x v="2"/>
    <s v="CUST1918"/>
    <x v="3"/>
    <n v="1"/>
    <n v="12762.49"/>
    <n v="12762.49"/>
    <x v="3"/>
    <x v="3"/>
  </r>
  <r>
    <x v="390"/>
    <s v="2025-03-14"/>
    <x v="2"/>
    <s v="CUST8062"/>
    <x v="2"/>
    <n v="5"/>
    <n v="32210.29"/>
    <n v="161051.45000000001"/>
    <x v="1"/>
    <x v="2"/>
  </r>
  <r>
    <x v="391"/>
    <s v="2025-03-14"/>
    <x v="2"/>
    <s v="CUST5002"/>
    <x v="7"/>
    <n v="5"/>
    <n v="1588.37"/>
    <n v="7941.85"/>
    <x v="3"/>
    <x v="1"/>
  </r>
  <r>
    <x v="392"/>
    <s v="2025-03-14"/>
    <x v="2"/>
    <s v="CUST2996"/>
    <x v="3"/>
    <n v="5"/>
    <n v="37013.26"/>
    <n v="185066.3"/>
    <x v="0"/>
    <x v="0"/>
  </r>
  <r>
    <x v="393"/>
    <s v="2025-03-14"/>
    <x v="2"/>
    <s v="CUST3134"/>
    <x v="0"/>
    <n v="2"/>
    <n v="24539.99"/>
    <n v="49079.98"/>
    <x v="0"/>
    <x v="0"/>
  </r>
  <r>
    <x v="394"/>
    <s v="2025-03-15"/>
    <x v="2"/>
    <s v="CUST7434"/>
    <x v="5"/>
    <n v="3"/>
    <n v="23544.7"/>
    <n v="70634.100000000006"/>
    <x v="3"/>
    <x v="0"/>
  </r>
  <r>
    <x v="395"/>
    <s v="2025-03-15"/>
    <x v="2"/>
    <s v="CUST8410"/>
    <x v="1"/>
    <n v="4"/>
    <n v="11018.18"/>
    <n v="44072.72"/>
    <x v="1"/>
    <x v="3"/>
  </r>
  <r>
    <x v="396"/>
    <s v="2025-03-15"/>
    <x v="2"/>
    <s v="CUST4461"/>
    <x v="5"/>
    <n v="3"/>
    <n v="36780.78"/>
    <n v="110342.34"/>
    <x v="2"/>
    <x v="3"/>
  </r>
  <r>
    <x v="397"/>
    <s v="2025-03-15"/>
    <x v="2"/>
    <s v="CUST3551"/>
    <x v="5"/>
    <n v="2"/>
    <n v="21170.89"/>
    <n v="42341.78"/>
    <x v="0"/>
    <x v="3"/>
  </r>
  <r>
    <x v="398"/>
    <s v="2025-03-15"/>
    <x v="2"/>
    <s v="CUST6702"/>
    <x v="1"/>
    <n v="2"/>
    <n v="47851.38"/>
    <n v="95702.76"/>
    <x v="2"/>
    <x v="3"/>
  </r>
  <r>
    <x v="399"/>
    <s v="2025-03-15"/>
    <x v="2"/>
    <s v="CUST9357"/>
    <x v="8"/>
    <n v="2"/>
    <n v="14863.28"/>
    <n v="29726.560000000001"/>
    <x v="3"/>
    <x v="0"/>
  </r>
  <r>
    <x v="400"/>
    <s v="2025-03-15"/>
    <x v="2"/>
    <s v="CUST5774"/>
    <x v="4"/>
    <n v="1"/>
    <n v="42958.65"/>
    <n v="42958.65"/>
    <x v="1"/>
    <x v="2"/>
  </r>
  <r>
    <x v="401"/>
    <s v="2025-03-15"/>
    <x v="2"/>
    <s v="CUST8639"/>
    <x v="4"/>
    <n v="4"/>
    <n v="30292.32"/>
    <n v="121169.28"/>
    <x v="1"/>
    <x v="3"/>
  </r>
  <r>
    <x v="402"/>
    <s v="2025-03-16"/>
    <x v="2"/>
    <s v="CUST8878"/>
    <x v="6"/>
    <n v="3"/>
    <n v="47929.17"/>
    <n v="143787.51"/>
    <x v="2"/>
    <x v="0"/>
  </r>
  <r>
    <x v="403"/>
    <s v="2025-03-16"/>
    <x v="2"/>
    <s v="CUST1600"/>
    <x v="4"/>
    <n v="3"/>
    <n v="10520.77"/>
    <n v="31562.31"/>
    <x v="3"/>
    <x v="1"/>
  </r>
  <r>
    <x v="404"/>
    <s v="2025-03-16"/>
    <x v="2"/>
    <s v="CUST9695"/>
    <x v="9"/>
    <n v="4"/>
    <n v="13903.98"/>
    <n v="55615.92"/>
    <x v="0"/>
    <x v="3"/>
  </r>
  <r>
    <x v="405"/>
    <s v="2025-03-17"/>
    <x v="2"/>
    <s v="CUST9870"/>
    <x v="7"/>
    <n v="1"/>
    <n v="27727.19"/>
    <n v="27727.19"/>
    <x v="2"/>
    <x v="0"/>
  </r>
  <r>
    <x v="406"/>
    <s v="2025-03-17"/>
    <x v="2"/>
    <s v="CUST2520"/>
    <x v="7"/>
    <n v="5"/>
    <n v="10372.56"/>
    <n v="51862.8"/>
    <x v="3"/>
    <x v="3"/>
  </r>
  <r>
    <x v="407"/>
    <s v="2025-03-17"/>
    <x v="2"/>
    <s v="CUST8667"/>
    <x v="8"/>
    <n v="1"/>
    <n v="3496.28"/>
    <n v="3496.28"/>
    <x v="3"/>
    <x v="1"/>
  </r>
  <r>
    <x v="408"/>
    <s v="2025-03-17"/>
    <x v="2"/>
    <s v="CUST1558"/>
    <x v="2"/>
    <n v="4"/>
    <n v="39072.18"/>
    <n v="156288.72"/>
    <x v="3"/>
    <x v="2"/>
  </r>
  <r>
    <x v="409"/>
    <s v="2025-03-17"/>
    <x v="2"/>
    <s v="CUST4010"/>
    <x v="9"/>
    <n v="4"/>
    <n v="27862.46"/>
    <n v="111449.84"/>
    <x v="1"/>
    <x v="1"/>
  </r>
  <r>
    <x v="410"/>
    <s v="2025-03-18"/>
    <x v="2"/>
    <s v="CUST2022"/>
    <x v="3"/>
    <n v="2"/>
    <n v="30924.880000000001"/>
    <n v="61849.760000000002"/>
    <x v="3"/>
    <x v="1"/>
  </r>
  <r>
    <x v="411"/>
    <s v="2025-03-18"/>
    <x v="2"/>
    <s v="CUST8382"/>
    <x v="9"/>
    <n v="2"/>
    <n v="35872.370000000003"/>
    <n v="71744.740000000005"/>
    <x v="0"/>
    <x v="2"/>
  </r>
  <r>
    <x v="412"/>
    <s v="2025-03-18"/>
    <x v="2"/>
    <s v="CUST1538"/>
    <x v="3"/>
    <n v="4"/>
    <n v="44803.5"/>
    <n v="179214"/>
    <x v="2"/>
    <x v="0"/>
  </r>
  <r>
    <x v="413"/>
    <s v="2025-03-18"/>
    <x v="2"/>
    <s v="CUST3760"/>
    <x v="9"/>
    <n v="3"/>
    <n v="7334.71"/>
    <n v="22004.13"/>
    <x v="0"/>
    <x v="3"/>
  </r>
  <r>
    <x v="414"/>
    <s v="2025-03-18"/>
    <x v="2"/>
    <s v="CUST3928"/>
    <x v="6"/>
    <n v="5"/>
    <n v="25868.99"/>
    <n v="129344.95"/>
    <x v="3"/>
    <x v="2"/>
  </r>
  <r>
    <x v="415"/>
    <s v="2025-03-18"/>
    <x v="2"/>
    <s v="CUST2492"/>
    <x v="4"/>
    <n v="5"/>
    <n v="623.34"/>
    <n v="3116.7"/>
    <x v="1"/>
    <x v="1"/>
  </r>
  <r>
    <x v="416"/>
    <s v="2025-03-18"/>
    <x v="2"/>
    <s v="CUST5692"/>
    <x v="3"/>
    <n v="1"/>
    <n v="11603.05"/>
    <n v="11603.05"/>
    <x v="0"/>
    <x v="3"/>
  </r>
  <r>
    <x v="417"/>
    <s v="2025-03-19"/>
    <x v="2"/>
    <s v="CUST5656"/>
    <x v="3"/>
    <n v="5"/>
    <n v="40619.67"/>
    <n v="203098.35"/>
    <x v="2"/>
    <x v="0"/>
  </r>
  <r>
    <x v="418"/>
    <s v="2025-03-19"/>
    <x v="2"/>
    <s v="CUST7571"/>
    <x v="1"/>
    <n v="3"/>
    <n v="35495.050000000003"/>
    <n v="106485.15"/>
    <x v="1"/>
    <x v="1"/>
  </r>
  <r>
    <x v="419"/>
    <s v="2025-03-19"/>
    <x v="2"/>
    <s v="CUST7758"/>
    <x v="9"/>
    <n v="2"/>
    <n v="37724.129999999997"/>
    <n v="75448.259999999995"/>
    <x v="3"/>
    <x v="2"/>
  </r>
  <r>
    <x v="420"/>
    <s v="2025-03-19"/>
    <x v="2"/>
    <s v="CUST1873"/>
    <x v="2"/>
    <n v="2"/>
    <n v="33404.93"/>
    <n v="66809.86"/>
    <x v="1"/>
    <x v="2"/>
  </r>
  <r>
    <x v="421"/>
    <s v="2025-03-19"/>
    <x v="2"/>
    <s v="CUST1668"/>
    <x v="4"/>
    <n v="2"/>
    <n v="19596.169999999998"/>
    <n v="39192.339999999997"/>
    <x v="2"/>
    <x v="1"/>
  </r>
  <r>
    <x v="422"/>
    <s v="2025-03-19"/>
    <x v="2"/>
    <s v="CUST3451"/>
    <x v="1"/>
    <n v="1"/>
    <n v="46851.23"/>
    <n v="46851.23"/>
    <x v="1"/>
    <x v="3"/>
  </r>
  <r>
    <x v="423"/>
    <s v="2025-03-20"/>
    <x v="2"/>
    <s v="CUST2079"/>
    <x v="7"/>
    <n v="3"/>
    <n v="23044.11"/>
    <n v="69132.33"/>
    <x v="0"/>
    <x v="1"/>
  </r>
  <r>
    <x v="424"/>
    <s v="2025-03-20"/>
    <x v="2"/>
    <s v="CUST2940"/>
    <x v="1"/>
    <n v="4"/>
    <n v="5535.55"/>
    <n v="22142.2"/>
    <x v="3"/>
    <x v="2"/>
  </r>
  <r>
    <x v="425"/>
    <s v="2025-03-20"/>
    <x v="2"/>
    <s v="CUST6839"/>
    <x v="2"/>
    <n v="5"/>
    <n v="43447.51"/>
    <n v="217237.55"/>
    <x v="2"/>
    <x v="0"/>
  </r>
  <r>
    <x v="426"/>
    <s v="2025-03-20"/>
    <x v="2"/>
    <s v="CUST9145"/>
    <x v="2"/>
    <n v="2"/>
    <n v="36528.49"/>
    <n v="73056.98"/>
    <x v="0"/>
    <x v="3"/>
  </r>
  <r>
    <x v="427"/>
    <s v="2025-03-21"/>
    <x v="2"/>
    <s v="CUST4033"/>
    <x v="7"/>
    <n v="3"/>
    <n v="24329.17"/>
    <n v="72987.509999999995"/>
    <x v="1"/>
    <x v="3"/>
  </r>
  <r>
    <x v="428"/>
    <s v="2025-03-21"/>
    <x v="2"/>
    <s v="CUST8777"/>
    <x v="9"/>
    <n v="2"/>
    <n v="20360.2"/>
    <n v="40720.400000000001"/>
    <x v="2"/>
    <x v="3"/>
  </r>
  <r>
    <x v="429"/>
    <s v="2025-03-21"/>
    <x v="2"/>
    <s v="CUST4416"/>
    <x v="7"/>
    <n v="1"/>
    <n v="41777.919999999998"/>
    <n v="41777.919999999998"/>
    <x v="3"/>
    <x v="1"/>
  </r>
  <r>
    <x v="430"/>
    <s v="2025-03-21"/>
    <x v="2"/>
    <s v="CUST6334"/>
    <x v="8"/>
    <n v="1"/>
    <n v="48178.36"/>
    <n v="48178.36"/>
    <x v="2"/>
    <x v="3"/>
  </r>
  <r>
    <x v="431"/>
    <s v="2025-03-22"/>
    <x v="2"/>
    <s v="CUST6290"/>
    <x v="0"/>
    <n v="2"/>
    <n v="15350.3"/>
    <n v="30700.6"/>
    <x v="0"/>
    <x v="1"/>
  </r>
  <r>
    <x v="432"/>
    <s v="2025-03-22"/>
    <x v="2"/>
    <s v="CUST5953"/>
    <x v="7"/>
    <n v="3"/>
    <n v="1808.53"/>
    <n v="5425.59"/>
    <x v="2"/>
    <x v="1"/>
  </r>
  <r>
    <x v="433"/>
    <s v="2025-03-22"/>
    <x v="2"/>
    <s v="CUST1266"/>
    <x v="3"/>
    <n v="2"/>
    <n v="45475.72"/>
    <n v="90951.44"/>
    <x v="1"/>
    <x v="1"/>
  </r>
  <r>
    <x v="434"/>
    <s v="2025-03-23"/>
    <x v="2"/>
    <s v="CUST5687"/>
    <x v="5"/>
    <n v="3"/>
    <n v="14884.38"/>
    <n v="44653.14"/>
    <x v="2"/>
    <x v="1"/>
  </r>
  <r>
    <x v="435"/>
    <s v="2025-03-23"/>
    <x v="2"/>
    <s v="CUST9721"/>
    <x v="8"/>
    <n v="1"/>
    <n v="7693.66"/>
    <n v="7693.66"/>
    <x v="0"/>
    <x v="0"/>
  </r>
  <r>
    <x v="436"/>
    <s v="2025-03-23"/>
    <x v="2"/>
    <s v="CUST3351"/>
    <x v="2"/>
    <n v="3"/>
    <n v="29760.61"/>
    <n v="89281.83"/>
    <x v="1"/>
    <x v="0"/>
  </r>
  <r>
    <x v="437"/>
    <s v="2025-03-23"/>
    <x v="2"/>
    <s v="CUST3963"/>
    <x v="5"/>
    <n v="2"/>
    <n v="30286.57"/>
    <n v="60573.14"/>
    <x v="1"/>
    <x v="3"/>
  </r>
  <r>
    <x v="438"/>
    <s v="2025-03-23"/>
    <x v="2"/>
    <s v="CUST2253"/>
    <x v="1"/>
    <n v="4"/>
    <n v="33547.33"/>
    <n v="134189.32"/>
    <x v="2"/>
    <x v="2"/>
  </r>
  <r>
    <x v="439"/>
    <s v="2025-03-23"/>
    <x v="2"/>
    <s v="CUST9907"/>
    <x v="0"/>
    <n v="2"/>
    <n v="40036.519999999997"/>
    <n v="80073.039999999994"/>
    <x v="0"/>
    <x v="3"/>
  </r>
  <r>
    <x v="440"/>
    <s v="2025-03-23"/>
    <x v="2"/>
    <s v="CUST3924"/>
    <x v="7"/>
    <n v="1"/>
    <n v="27631.27"/>
    <n v="27631.27"/>
    <x v="1"/>
    <x v="2"/>
  </r>
  <r>
    <x v="441"/>
    <s v="2025-03-24"/>
    <x v="2"/>
    <s v="CUST5183"/>
    <x v="9"/>
    <n v="1"/>
    <n v="4232.53"/>
    <n v="4232.53"/>
    <x v="2"/>
    <x v="1"/>
  </r>
  <r>
    <x v="442"/>
    <s v="2025-03-24"/>
    <x v="2"/>
    <s v="CUST3582"/>
    <x v="4"/>
    <n v="5"/>
    <n v="22169.17"/>
    <n v="110845.85"/>
    <x v="0"/>
    <x v="0"/>
  </r>
  <r>
    <x v="443"/>
    <s v="2025-03-24"/>
    <x v="2"/>
    <s v="CUST3476"/>
    <x v="1"/>
    <n v="4"/>
    <n v="25185.25"/>
    <n v="100741"/>
    <x v="2"/>
    <x v="1"/>
  </r>
  <r>
    <x v="444"/>
    <s v="2025-03-24"/>
    <x v="2"/>
    <s v="CUST2754"/>
    <x v="3"/>
    <n v="5"/>
    <n v="22324.69"/>
    <n v="111623.45"/>
    <x v="3"/>
    <x v="0"/>
  </r>
  <r>
    <x v="445"/>
    <s v="2025-03-24"/>
    <x v="2"/>
    <s v="CUST8121"/>
    <x v="7"/>
    <n v="5"/>
    <n v="47309.98"/>
    <n v="236549.9"/>
    <x v="0"/>
    <x v="2"/>
  </r>
  <r>
    <x v="446"/>
    <s v="2025-03-24"/>
    <x v="2"/>
    <s v="CUST1456"/>
    <x v="5"/>
    <n v="5"/>
    <n v="23962.21"/>
    <n v="119811.05"/>
    <x v="2"/>
    <x v="1"/>
  </r>
  <r>
    <x v="447"/>
    <s v="2025-03-24"/>
    <x v="2"/>
    <s v="CUST4519"/>
    <x v="5"/>
    <n v="4"/>
    <n v="5742.69"/>
    <n v="22970.76"/>
    <x v="0"/>
    <x v="3"/>
  </r>
  <r>
    <x v="448"/>
    <s v="2025-03-25"/>
    <x v="2"/>
    <s v="CUST1599"/>
    <x v="8"/>
    <n v="1"/>
    <n v="23996.2"/>
    <n v="23996.2"/>
    <x v="3"/>
    <x v="0"/>
  </r>
  <r>
    <x v="449"/>
    <s v="2025-03-25"/>
    <x v="2"/>
    <s v="CUST4597"/>
    <x v="6"/>
    <n v="4"/>
    <n v="49298.7"/>
    <n v="197194.8"/>
    <x v="1"/>
    <x v="1"/>
  </r>
  <r>
    <x v="450"/>
    <s v="2025-03-25"/>
    <x v="2"/>
    <s v="CUST7471"/>
    <x v="2"/>
    <n v="4"/>
    <n v="2051.2399999999998"/>
    <n v="8204.9599999999991"/>
    <x v="0"/>
    <x v="1"/>
  </r>
  <r>
    <x v="451"/>
    <s v="2025-03-25"/>
    <x v="2"/>
    <s v="CUST6965"/>
    <x v="6"/>
    <n v="3"/>
    <n v="8186.04"/>
    <n v="24558.12"/>
    <x v="2"/>
    <x v="0"/>
  </r>
  <r>
    <x v="452"/>
    <s v="2025-03-25"/>
    <x v="2"/>
    <s v="CUST1463"/>
    <x v="1"/>
    <n v="4"/>
    <n v="17900.84"/>
    <n v="71603.360000000001"/>
    <x v="2"/>
    <x v="1"/>
  </r>
  <r>
    <x v="453"/>
    <s v="2025-03-25"/>
    <x v="2"/>
    <s v="CUST3247"/>
    <x v="9"/>
    <n v="4"/>
    <n v="35972.720000000001"/>
    <n v="143890.88"/>
    <x v="0"/>
    <x v="3"/>
  </r>
  <r>
    <x v="454"/>
    <s v="2025-03-25"/>
    <x v="2"/>
    <s v="CUST3999"/>
    <x v="0"/>
    <n v="1"/>
    <n v="41833.22"/>
    <n v="41833.22"/>
    <x v="2"/>
    <x v="2"/>
  </r>
  <r>
    <x v="455"/>
    <s v="2025-03-25"/>
    <x v="2"/>
    <s v="CUST8121"/>
    <x v="0"/>
    <n v="2"/>
    <n v="11982.01"/>
    <n v="23964.02"/>
    <x v="0"/>
    <x v="0"/>
  </r>
  <r>
    <x v="456"/>
    <s v="2025-03-26"/>
    <x v="2"/>
    <s v="CUST7165"/>
    <x v="4"/>
    <n v="2"/>
    <n v="30301.06"/>
    <n v="60602.12"/>
    <x v="1"/>
    <x v="1"/>
  </r>
  <r>
    <x v="457"/>
    <s v="2025-03-26"/>
    <x v="2"/>
    <s v="CUST6413"/>
    <x v="7"/>
    <n v="4"/>
    <n v="33140.57"/>
    <n v="132562.28"/>
    <x v="1"/>
    <x v="2"/>
  </r>
  <r>
    <x v="458"/>
    <s v="2025-03-26"/>
    <x v="2"/>
    <s v="CUST2191"/>
    <x v="3"/>
    <n v="4"/>
    <n v="7386.85"/>
    <n v="29547.4"/>
    <x v="2"/>
    <x v="1"/>
  </r>
  <r>
    <x v="459"/>
    <s v="2025-03-26"/>
    <x v="2"/>
    <s v="CUST5374"/>
    <x v="0"/>
    <n v="2"/>
    <n v="35000.07"/>
    <n v="70000.14"/>
    <x v="2"/>
    <x v="2"/>
  </r>
  <r>
    <x v="460"/>
    <s v="2025-03-26"/>
    <x v="2"/>
    <s v="CUST9263"/>
    <x v="8"/>
    <n v="1"/>
    <n v="11545.34"/>
    <n v="11545.34"/>
    <x v="1"/>
    <x v="1"/>
  </r>
  <r>
    <x v="461"/>
    <s v="2025-03-27"/>
    <x v="2"/>
    <s v="CUST2792"/>
    <x v="9"/>
    <n v="4"/>
    <n v="46751.33"/>
    <n v="187005.32"/>
    <x v="1"/>
    <x v="1"/>
  </r>
  <r>
    <x v="462"/>
    <s v="2025-03-27"/>
    <x v="2"/>
    <s v="CUST7201"/>
    <x v="0"/>
    <n v="3"/>
    <n v="22699.19"/>
    <n v="68097.570000000007"/>
    <x v="2"/>
    <x v="1"/>
  </r>
  <r>
    <x v="463"/>
    <s v="2025-03-27"/>
    <x v="2"/>
    <s v="CUST3278"/>
    <x v="9"/>
    <n v="5"/>
    <n v="32221.64"/>
    <n v="161108.20000000001"/>
    <x v="3"/>
    <x v="2"/>
  </r>
  <r>
    <x v="464"/>
    <s v="2025-03-27"/>
    <x v="2"/>
    <s v="CUST1020"/>
    <x v="9"/>
    <n v="1"/>
    <n v="24095.61"/>
    <n v="24095.61"/>
    <x v="3"/>
    <x v="1"/>
  </r>
  <r>
    <x v="465"/>
    <s v="2025-03-27"/>
    <x v="2"/>
    <s v="CUST9609"/>
    <x v="1"/>
    <n v="4"/>
    <n v="41391.69"/>
    <n v="165566.76"/>
    <x v="3"/>
    <x v="2"/>
  </r>
  <r>
    <x v="466"/>
    <s v="2025-03-27"/>
    <x v="2"/>
    <s v="CUST8890"/>
    <x v="8"/>
    <n v="3"/>
    <n v="26905.69"/>
    <n v="80717.070000000007"/>
    <x v="0"/>
    <x v="3"/>
  </r>
  <r>
    <x v="467"/>
    <s v="2025-03-27"/>
    <x v="2"/>
    <s v="CUST7491"/>
    <x v="7"/>
    <n v="4"/>
    <n v="30093.38"/>
    <n v="120373.52"/>
    <x v="0"/>
    <x v="3"/>
  </r>
  <r>
    <x v="468"/>
    <s v="2025-03-27"/>
    <x v="2"/>
    <s v="CUST7414"/>
    <x v="4"/>
    <n v="5"/>
    <n v="29338.31"/>
    <n v="146691.54999999999"/>
    <x v="1"/>
    <x v="1"/>
  </r>
  <r>
    <x v="469"/>
    <s v="2025-03-28"/>
    <x v="2"/>
    <s v="CUST5525"/>
    <x v="4"/>
    <n v="1"/>
    <n v="21634.18"/>
    <n v="21634.18"/>
    <x v="1"/>
    <x v="2"/>
  </r>
  <r>
    <x v="470"/>
    <s v="2025-03-28"/>
    <x v="2"/>
    <s v="CUST9255"/>
    <x v="0"/>
    <n v="1"/>
    <n v="16178.56"/>
    <n v="16178.56"/>
    <x v="1"/>
    <x v="1"/>
  </r>
  <r>
    <x v="471"/>
    <s v="2025-03-28"/>
    <x v="2"/>
    <s v="CUST4667"/>
    <x v="8"/>
    <n v="3"/>
    <n v="19572.05"/>
    <n v="58716.15"/>
    <x v="0"/>
    <x v="2"/>
  </r>
  <r>
    <x v="472"/>
    <s v="2025-03-28"/>
    <x v="2"/>
    <s v="CUST3239"/>
    <x v="2"/>
    <n v="4"/>
    <n v="26116.44"/>
    <n v="104465.76"/>
    <x v="1"/>
    <x v="3"/>
  </r>
  <r>
    <x v="473"/>
    <s v="2025-03-28"/>
    <x v="2"/>
    <s v="CUST7293"/>
    <x v="6"/>
    <n v="5"/>
    <n v="6035.05"/>
    <n v="30175.25"/>
    <x v="0"/>
    <x v="1"/>
  </r>
  <r>
    <x v="474"/>
    <s v="2025-03-28"/>
    <x v="2"/>
    <s v="CUST2911"/>
    <x v="1"/>
    <n v="1"/>
    <n v="38191.49"/>
    <n v="38191.49"/>
    <x v="2"/>
    <x v="0"/>
  </r>
  <r>
    <x v="475"/>
    <s v="2025-03-28"/>
    <x v="2"/>
    <s v="CUST4027"/>
    <x v="4"/>
    <n v="3"/>
    <n v="34110.67"/>
    <n v="102332.01"/>
    <x v="2"/>
    <x v="1"/>
  </r>
  <r>
    <x v="476"/>
    <s v="2025-03-28"/>
    <x v="2"/>
    <s v="CUST1831"/>
    <x v="1"/>
    <n v="3"/>
    <n v="18952.39"/>
    <n v="56857.17"/>
    <x v="3"/>
    <x v="1"/>
  </r>
  <r>
    <x v="477"/>
    <s v="2025-03-29"/>
    <x v="2"/>
    <s v="CUST9612"/>
    <x v="5"/>
    <n v="1"/>
    <n v="27007.34"/>
    <n v="27007.34"/>
    <x v="0"/>
    <x v="1"/>
  </r>
  <r>
    <x v="478"/>
    <s v="2025-03-29"/>
    <x v="2"/>
    <s v="CUST7512"/>
    <x v="6"/>
    <n v="3"/>
    <n v="2290.4499999999998"/>
    <n v="6871.35"/>
    <x v="3"/>
    <x v="3"/>
  </r>
  <r>
    <x v="479"/>
    <s v="2025-03-29"/>
    <x v="2"/>
    <s v="CUST6802"/>
    <x v="5"/>
    <n v="2"/>
    <n v="19527.98"/>
    <n v="39055.96"/>
    <x v="3"/>
    <x v="3"/>
  </r>
  <r>
    <x v="480"/>
    <s v="2025-03-29"/>
    <x v="2"/>
    <s v="CUST8930"/>
    <x v="6"/>
    <n v="4"/>
    <n v="10016.129999999999"/>
    <n v="40064.519999999997"/>
    <x v="3"/>
    <x v="2"/>
  </r>
  <r>
    <x v="481"/>
    <s v="2025-03-29"/>
    <x v="2"/>
    <s v="CUST9741"/>
    <x v="7"/>
    <n v="3"/>
    <n v="28220.799999999999"/>
    <n v="84662.399999999994"/>
    <x v="1"/>
    <x v="1"/>
  </r>
  <r>
    <x v="482"/>
    <s v="2025-03-29"/>
    <x v="2"/>
    <s v="CUST9251"/>
    <x v="7"/>
    <n v="1"/>
    <n v="6014.9"/>
    <n v="6014.9"/>
    <x v="0"/>
    <x v="0"/>
  </r>
  <r>
    <x v="483"/>
    <s v="2025-03-29"/>
    <x v="2"/>
    <s v="CUST6070"/>
    <x v="4"/>
    <n v="1"/>
    <n v="34165.129999999997"/>
    <n v="34165.129999999997"/>
    <x v="1"/>
    <x v="1"/>
  </r>
  <r>
    <x v="484"/>
    <s v="2025-03-30"/>
    <x v="2"/>
    <s v="CUST5527"/>
    <x v="7"/>
    <n v="2"/>
    <n v="25062.43"/>
    <n v="50124.86"/>
    <x v="3"/>
    <x v="0"/>
  </r>
  <r>
    <x v="485"/>
    <s v="2025-03-30"/>
    <x v="2"/>
    <s v="CUST9741"/>
    <x v="5"/>
    <n v="2"/>
    <n v="40206.15"/>
    <n v="80412.3"/>
    <x v="3"/>
    <x v="2"/>
  </r>
  <r>
    <x v="486"/>
    <s v="2025-03-30"/>
    <x v="2"/>
    <s v="CUST1693"/>
    <x v="6"/>
    <n v="3"/>
    <n v="47965.35"/>
    <n v="143896.04999999999"/>
    <x v="0"/>
    <x v="0"/>
  </r>
  <r>
    <x v="487"/>
    <s v="2025-03-30"/>
    <x v="2"/>
    <s v="CUST7600"/>
    <x v="5"/>
    <n v="3"/>
    <n v="23095.72"/>
    <n v="69287.16"/>
    <x v="3"/>
    <x v="2"/>
  </r>
  <r>
    <x v="488"/>
    <s v="2025-03-30"/>
    <x v="2"/>
    <s v="CUST3801"/>
    <x v="1"/>
    <n v="1"/>
    <n v="16916.509999999998"/>
    <n v="16916.509999999998"/>
    <x v="2"/>
    <x v="2"/>
  </r>
  <r>
    <x v="489"/>
    <s v="2025-03-30"/>
    <x v="2"/>
    <s v="CUST5024"/>
    <x v="5"/>
    <n v="3"/>
    <n v="40580.99"/>
    <n v="121742.97"/>
    <x v="3"/>
    <x v="3"/>
  </r>
  <r>
    <x v="490"/>
    <s v="2025-03-30"/>
    <x v="2"/>
    <s v="CUST2335"/>
    <x v="6"/>
    <n v="1"/>
    <n v="2824.75"/>
    <n v="2824.75"/>
    <x v="2"/>
    <x v="2"/>
  </r>
  <r>
    <x v="491"/>
    <s v="2025-03-30"/>
    <x v="2"/>
    <s v="CUST7958"/>
    <x v="6"/>
    <n v="5"/>
    <n v="9150.82"/>
    <n v="45754.1"/>
    <x v="3"/>
    <x v="3"/>
  </r>
  <r>
    <x v="492"/>
    <s v="2025-03-31"/>
    <x v="2"/>
    <s v="CUST9803"/>
    <x v="0"/>
    <n v="1"/>
    <n v="35623.620000000003"/>
    <n v="35623.620000000003"/>
    <x v="1"/>
    <x v="3"/>
  </r>
  <r>
    <x v="493"/>
    <s v="2025-03-31"/>
    <x v="2"/>
    <s v="CUST8249"/>
    <x v="3"/>
    <n v="2"/>
    <n v="25816.26"/>
    <n v="51632.52"/>
    <x v="2"/>
    <x v="0"/>
  </r>
  <r>
    <x v="494"/>
    <s v="2025-03-31"/>
    <x v="2"/>
    <s v="CUST3841"/>
    <x v="0"/>
    <n v="5"/>
    <n v="26568.02"/>
    <n v="132840.1"/>
    <x v="0"/>
    <x v="0"/>
  </r>
  <r>
    <x v="495"/>
    <s v="2025-03-31"/>
    <x v="2"/>
    <s v="CUST6476"/>
    <x v="2"/>
    <n v="2"/>
    <n v="1116.04"/>
    <n v="2232.08"/>
    <x v="3"/>
    <x v="0"/>
  </r>
  <r>
    <x v="496"/>
    <s v="2025-03-31"/>
    <x v="2"/>
    <s v="CUST9180"/>
    <x v="1"/>
    <n v="4"/>
    <n v="20231.439999999999"/>
    <n v="80925.759999999995"/>
    <x v="3"/>
    <x v="1"/>
  </r>
  <r>
    <x v="497"/>
    <s v="2025-04-01"/>
    <x v="3"/>
    <s v="CUST5164"/>
    <x v="6"/>
    <n v="1"/>
    <n v="11908.75"/>
    <n v="11908.75"/>
    <x v="1"/>
    <x v="3"/>
  </r>
  <r>
    <x v="498"/>
    <s v="2025-04-01"/>
    <x v="3"/>
    <s v="CUST3434"/>
    <x v="5"/>
    <n v="4"/>
    <n v="19721.650000000001"/>
    <n v="78886.600000000006"/>
    <x v="2"/>
    <x v="2"/>
  </r>
  <r>
    <x v="499"/>
    <s v="2025-04-01"/>
    <x v="3"/>
    <s v="CUST7402"/>
    <x v="6"/>
    <n v="5"/>
    <n v="47049.69"/>
    <n v="235248.45"/>
    <x v="1"/>
    <x v="1"/>
  </r>
  <r>
    <x v="500"/>
    <s v="2025-04-02"/>
    <x v="3"/>
    <s v="CUST8299"/>
    <x v="7"/>
    <n v="5"/>
    <n v="4368.3500000000004"/>
    <n v="21841.75"/>
    <x v="1"/>
    <x v="2"/>
  </r>
  <r>
    <x v="501"/>
    <s v="2025-04-02"/>
    <x v="3"/>
    <s v="CUST6710"/>
    <x v="1"/>
    <n v="3"/>
    <n v="26543.46"/>
    <n v="79630.38"/>
    <x v="3"/>
    <x v="0"/>
  </r>
  <r>
    <x v="502"/>
    <s v="2025-04-02"/>
    <x v="3"/>
    <s v="CUST4793"/>
    <x v="8"/>
    <n v="5"/>
    <n v="7406"/>
    <n v="37030"/>
    <x v="1"/>
    <x v="3"/>
  </r>
  <r>
    <x v="503"/>
    <s v="2025-04-02"/>
    <x v="3"/>
    <s v="CUST8915"/>
    <x v="8"/>
    <n v="4"/>
    <n v="26155.18"/>
    <n v="104620.72"/>
    <x v="3"/>
    <x v="3"/>
  </r>
  <r>
    <x v="504"/>
    <s v="2025-04-02"/>
    <x v="3"/>
    <s v="CUST5988"/>
    <x v="2"/>
    <n v="5"/>
    <n v="10964.98"/>
    <n v="54824.9"/>
    <x v="2"/>
    <x v="3"/>
  </r>
  <r>
    <x v="505"/>
    <s v="2025-04-02"/>
    <x v="3"/>
    <s v="CUST3439"/>
    <x v="6"/>
    <n v="5"/>
    <n v="40037.65"/>
    <n v="200188.25"/>
    <x v="0"/>
    <x v="2"/>
  </r>
  <r>
    <x v="506"/>
    <s v="2025-04-02"/>
    <x v="3"/>
    <s v="CUST1734"/>
    <x v="6"/>
    <n v="5"/>
    <n v="28338.05"/>
    <n v="141690.25"/>
    <x v="0"/>
    <x v="2"/>
  </r>
  <r>
    <x v="507"/>
    <s v="2025-04-03"/>
    <x v="3"/>
    <s v="CUST8404"/>
    <x v="9"/>
    <n v="4"/>
    <n v="36562.86"/>
    <n v="146251.44"/>
    <x v="1"/>
    <x v="2"/>
  </r>
  <r>
    <x v="508"/>
    <s v="2025-04-03"/>
    <x v="3"/>
    <s v="CUST6676"/>
    <x v="8"/>
    <n v="3"/>
    <n v="24553.8"/>
    <n v="73661.399999999994"/>
    <x v="1"/>
    <x v="2"/>
  </r>
  <r>
    <x v="509"/>
    <s v="2025-04-03"/>
    <x v="3"/>
    <s v="CUST2344"/>
    <x v="2"/>
    <n v="1"/>
    <n v="11424.65"/>
    <n v="11424.65"/>
    <x v="2"/>
    <x v="1"/>
  </r>
  <r>
    <x v="510"/>
    <s v="2025-04-03"/>
    <x v="3"/>
    <s v="CUST7811"/>
    <x v="0"/>
    <n v="5"/>
    <n v="13124.16"/>
    <n v="65620.800000000003"/>
    <x v="3"/>
    <x v="2"/>
  </r>
  <r>
    <x v="511"/>
    <s v="2025-04-03"/>
    <x v="3"/>
    <s v="CUST3851"/>
    <x v="5"/>
    <n v="1"/>
    <n v="28634.47"/>
    <n v="28634.47"/>
    <x v="2"/>
    <x v="0"/>
  </r>
  <r>
    <x v="512"/>
    <s v="2025-04-03"/>
    <x v="3"/>
    <s v="CUST8301"/>
    <x v="2"/>
    <n v="4"/>
    <n v="41132.65"/>
    <n v="164530.6"/>
    <x v="3"/>
    <x v="3"/>
  </r>
  <r>
    <x v="513"/>
    <s v="2025-04-03"/>
    <x v="3"/>
    <s v="CUST5567"/>
    <x v="1"/>
    <n v="5"/>
    <n v="37131.99"/>
    <n v="185659.95"/>
    <x v="3"/>
    <x v="1"/>
  </r>
  <r>
    <x v="514"/>
    <s v="2025-04-03"/>
    <x v="3"/>
    <s v="CUST6234"/>
    <x v="4"/>
    <n v="1"/>
    <n v="15700.79"/>
    <n v="15700.79"/>
    <x v="3"/>
    <x v="1"/>
  </r>
  <r>
    <x v="515"/>
    <s v="2025-04-04"/>
    <x v="3"/>
    <s v="CUST7761"/>
    <x v="7"/>
    <n v="5"/>
    <n v="41863.61"/>
    <n v="209318.05"/>
    <x v="1"/>
    <x v="0"/>
  </r>
  <r>
    <x v="516"/>
    <s v="2025-04-04"/>
    <x v="3"/>
    <s v="CUST4364"/>
    <x v="4"/>
    <n v="4"/>
    <n v="40592.949999999997"/>
    <n v="162371.79999999999"/>
    <x v="0"/>
    <x v="2"/>
  </r>
  <r>
    <x v="517"/>
    <s v="2025-04-04"/>
    <x v="3"/>
    <s v="CUST4019"/>
    <x v="4"/>
    <n v="5"/>
    <n v="29150.09"/>
    <n v="145750.45000000001"/>
    <x v="1"/>
    <x v="3"/>
  </r>
  <r>
    <x v="518"/>
    <s v="2025-04-04"/>
    <x v="3"/>
    <s v="CUST1324"/>
    <x v="6"/>
    <n v="1"/>
    <n v="6475.98"/>
    <n v="6475.98"/>
    <x v="0"/>
    <x v="3"/>
  </r>
  <r>
    <x v="519"/>
    <s v="2025-04-04"/>
    <x v="3"/>
    <s v="CUST6043"/>
    <x v="3"/>
    <n v="4"/>
    <n v="38511"/>
    <n v="154044"/>
    <x v="2"/>
    <x v="1"/>
  </r>
  <r>
    <x v="520"/>
    <s v="2025-04-04"/>
    <x v="3"/>
    <s v="CUST8397"/>
    <x v="2"/>
    <n v="3"/>
    <n v="5724.26"/>
    <n v="17172.78"/>
    <x v="3"/>
    <x v="0"/>
  </r>
  <r>
    <x v="521"/>
    <s v="2025-04-04"/>
    <x v="3"/>
    <s v="CUST2238"/>
    <x v="5"/>
    <n v="4"/>
    <n v="18493.68"/>
    <n v="73974.720000000001"/>
    <x v="1"/>
    <x v="1"/>
  </r>
  <r>
    <x v="522"/>
    <s v="2025-04-04"/>
    <x v="3"/>
    <s v="CUST6652"/>
    <x v="3"/>
    <n v="3"/>
    <n v="11939.63"/>
    <n v="35818.89"/>
    <x v="3"/>
    <x v="1"/>
  </r>
  <r>
    <x v="523"/>
    <s v="2025-04-05"/>
    <x v="3"/>
    <s v="CUST8278"/>
    <x v="0"/>
    <n v="5"/>
    <n v="49538.16"/>
    <n v="247690.8"/>
    <x v="3"/>
    <x v="2"/>
  </r>
  <r>
    <x v="524"/>
    <s v="2025-04-05"/>
    <x v="3"/>
    <s v="CUST2325"/>
    <x v="6"/>
    <n v="4"/>
    <n v="12920.98"/>
    <n v="51683.92"/>
    <x v="2"/>
    <x v="1"/>
  </r>
  <r>
    <x v="525"/>
    <s v="2025-04-05"/>
    <x v="3"/>
    <s v="CUST7439"/>
    <x v="2"/>
    <n v="3"/>
    <n v="17947.060000000001"/>
    <n v="53841.18"/>
    <x v="0"/>
    <x v="2"/>
  </r>
  <r>
    <x v="526"/>
    <s v="2025-04-05"/>
    <x v="3"/>
    <s v="CUST7655"/>
    <x v="3"/>
    <n v="3"/>
    <n v="44429.36"/>
    <n v="133288.07999999999"/>
    <x v="1"/>
    <x v="0"/>
  </r>
  <r>
    <x v="527"/>
    <s v="2025-04-05"/>
    <x v="3"/>
    <s v="CUST5520"/>
    <x v="0"/>
    <n v="4"/>
    <n v="41949.52"/>
    <n v="167798.08"/>
    <x v="2"/>
    <x v="1"/>
  </r>
  <r>
    <x v="528"/>
    <s v="2025-04-05"/>
    <x v="3"/>
    <s v="CUST9615"/>
    <x v="0"/>
    <n v="4"/>
    <n v="15658.75"/>
    <n v="62635"/>
    <x v="1"/>
    <x v="2"/>
  </r>
  <r>
    <x v="529"/>
    <s v="2025-04-05"/>
    <x v="3"/>
    <s v="CUST4163"/>
    <x v="1"/>
    <n v="4"/>
    <n v="44058.37"/>
    <n v="176233.48"/>
    <x v="3"/>
    <x v="0"/>
  </r>
  <r>
    <x v="530"/>
    <s v="2025-04-05"/>
    <x v="3"/>
    <s v="CUST2389"/>
    <x v="5"/>
    <n v="5"/>
    <n v="10207.34"/>
    <n v="51036.7"/>
    <x v="0"/>
    <x v="2"/>
  </r>
  <r>
    <x v="531"/>
    <s v="2025-04-06"/>
    <x v="3"/>
    <s v="CUST2588"/>
    <x v="2"/>
    <n v="1"/>
    <n v="44586.39"/>
    <n v="44586.39"/>
    <x v="3"/>
    <x v="1"/>
  </r>
  <r>
    <x v="532"/>
    <s v="2025-04-06"/>
    <x v="3"/>
    <s v="CUST6244"/>
    <x v="5"/>
    <n v="3"/>
    <n v="2944.88"/>
    <n v="8834.64"/>
    <x v="3"/>
    <x v="1"/>
  </r>
  <r>
    <x v="533"/>
    <s v="2025-04-06"/>
    <x v="3"/>
    <s v="CUST3122"/>
    <x v="1"/>
    <n v="4"/>
    <n v="31860.59"/>
    <n v="127442.36"/>
    <x v="3"/>
    <x v="0"/>
  </r>
  <r>
    <x v="534"/>
    <s v="2025-04-06"/>
    <x v="3"/>
    <s v="CUST6010"/>
    <x v="5"/>
    <n v="5"/>
    <n v="15708.84"/>
    <n v="78544.2"/>
    <x v="2"/>
    <x v="2"/>
  </r>
  <r>
    <x v="535"/>
    <s v="2025-04-06"/>
    <x v="3"/>
    <s v="CUST9235"/>
    <x v="7"/>
    <n v="3"/>
    <n v="44504.53"/>
    <n v="133513.59"/>
    <x v="0"/>
    <x v="0"/>
  </r>
  <r>
    <x v="536"/>
    <s v="2025-04-06"/>
    <x v="3"/>
    <s v="CUST1585"/>
    <x v="0"/>
    <n v="5"/>
    <n v="7203.25"/>
    <n v="36016.25"/>
    <x v="2"/>
    <x v="3"/>
  </r>
  <r>
    <x v="537"/>
    <s v="2025-04-06"/>
    <x v="3"/>
    <s v="CUST9602"/>
    <x v="3"/>
    <n v="2"/>
    <n v="22574.080000000002"/>
    <n v="45148.160000000003"/>
    <x v="3"/>
    <x v="0"/>
  </r>
  <r>
    <x v="538"/>
    <s v="2025-04-07"/>
    <x v="3"/>
    <s v="CUST9474"/>
    <x v="2"/>
    <n v="4"/>
    <n v="48498.67"/>
    <n v="193994.68"/>
    <x v="0"/>
    <x v="2"/>
  </r>
  <r>
    <x v="539"/>
    <s v="2025-04-07"/>
    <x v="3"/>
    <s v="CUST3174"/>
    <x v="2"/>
    <n v="1"/>
    <n v="3593.99"/>
    <n v="3593.99"/>
    <x v="2"/>
    <x v="1"/>
  </r>
  <r>
    <x v="540"/>
    <s v="2025-04-07"/>
    <x v="3"/>
    <s v="CUST8821"/>
    <x v="2"/>
    <n v="1"/>
    <n v="12800.9"/>
    <n v="12800.9"/>
    <x v="2"/>
    <x v="3"/>
  </r>
  <r>
    <x v="541"/>
    <s v="2025-04-07"/>
    <x v="3"/>
    <s v="CUST1117"/>
    <x v="9"/>
    <n v="2"/>
    <n v="19978.23"/>
    <n v="39956.46"/>
    <x v="3"/>
    <x v="0"/>
  </r>
  <r>
    <x v="542"/>
    <s v="2025-04-07"/>
    <x v="3"/>
    <s v="CUST3449"/>
    <x v="9"/>
    <n v="3"/>
    <n v="11698.08"/>
    <n v="35094.239999999998"/>
    <x v="0"/>
    <x v="1"/>
  </r>
  <r>
    <x v="543"/>
    <s v="2025-04-08"/>
    <x v="3"/>
    <s v="CUST4244"/>
    <x v="8"/>
    <n v="5"/>
    <n v="31757.52"/>
    <n v="158787.6"/>
    <x v="0"/>
    <x v="3"/>
  </r>
  <r>
    <x v="544"/>
    <s v="2025-04-08"/>
    <x v="3"/>
    <s v="CUST6827"/>
    <x v="0"/>
    <n v="2"/>
    <n v="18675.419999999998"/>
    <n v="37350.839999999997"/>
    <x v="3"/>
    <x v="3"/>
  </r>
  <r>
    <x v="545"/>
    <s v="2025-04-08"/>
    <x v="3"/>
    <s v="CUST6434"/>
    <x v="1"/>
    <n v="5"/>
    <n v="18444.03"/>
    <n v="92220.15"/>
    <x v="0"/>
    <x v="0"/>
  </r>
  <r>
    <x v="546"/>
    <s v="2025-04-08"/>
    <x v="3"/>
    <s v="CUST4025"/>
    <x v="0"/>
    <n v="4"/>
    <n v="37663.08"/>
    <n v="150652.32"/>
    <x v="3"/>
    <x v="2"/>
  </r>
  <r>
    <x v="547"/>
    <s v="2025-04-08"/>
    <x v="3"/>
    <s v="CUST5720"/>
    <x v="5"/>
    <n v="5"/>
    <n v="22119.32"/>
    <n v="110596.6"/>
    <x v="0"/>
    <x v="3"/>
  </r>
  <r>
    <x v="548"/>
    <s v="2025-04-08"/>
    <x v="3"/>
    <s v="CUST3083"/>
    <x v="3"/>
    <n v="3"/>
    <n v="21274.91"/>
    <n v="63824.73"/>
    <x v="1"/>
    <x v="2"/>
  </r>
  <r>
    <x v="549"/>
    <s v="2025-04-08"/>
    <x v="3"/>
    <s v="CUST9510"/>
    <x v="7"/>
    <n v="4"/>
    <n v="1329.25"/>
    <n v="5317"/>
    <x v="2"/>
    <x v="3"/>
  </r>
  <r>
    <x v="550"/>
    <s v="2025-04-08"/>
    <x v="3"/>
    <s v="CUST3667"/>
    <x v="1"/>
    <n v="5"/>
    <n v="42539.99"/>
    <n v="212699.95"/>
    <x v="1"/>
    <x v="0"/>
  </r>
  <r>
    <x v="551"/>
    <s v="2025-04-09"/>
    <x v="3"/>
    <s v="CUST1863"/>
    <x v="2"/>
    <n v="2"/>
    <n v="2189.63"/>
    <n v="4379.26"/>
    <x v="2"/>
    <x v="0"/>
  </r>
  <r>
    <x v="552"/>
    <s v="2025-04-09"/>
    <x v="3"/>
    <s v="CUST7386"/>
    <x v="9"/>
    <n v="5"/>
    <n v="40328.080000000002"/>
    <n v="201640.4"/>
    <x v="2"/>
    <x v="1"/>
  </r>
  <r>
    <x v="553"/>
    <s v="2025-04-09"/>
    <x v="3"/>
    <s v="CUST3700"/>
    <x v="1"/>
    <n v="5"/>
    <n v="34524.160000000003"/>
    <n v="172620.79999999999"/>
    <x v="0"/>
    <x v="3"/>
  </r>
  <r>
    <x v="554"/>
    <s v="2025-04-09"/>
    <x v="3"/>
    <s v="CUST9147"/>
    <x v="0"/>
    <n v="2"/>
    <n v="3437.82"/>
    <n v="6875.64"/>
    <x v="3"/>
    <x v="1"/>
  </r>
  <r>
    <x v="555"/>
    <s v="2025-04-09"/>
    <x v="3"/>
    <s v="CUST6244"/>
    <x v="9"/>
    <n v="4"/>
    <n v="6972.39"/>
    <n v="27889.56"/>
    <x v="0"/>
    <x v="3"/>
  </r>
  <r>
    <x v="556"/>
    <s v="2025-04-10"/>
    <x v="3"/>
    <s v="CUST8105"/>
    <x v="3"/>
    <n v="5"/>
    <n v="4862.55"/>
    <n v="24312.75"/>
    <x v="1"/>
    <x v="3"/>
  </r>
  <r>
    <x v="557"/>
    <s v="2025-04-10"/>
    <x v="3"/>
    <s v="CUST3249"/>
    <x v="9"/>
    <n v="5"/>
    <n v="21405.31"/>
    <n v="107026.55"/>
    <x v="3"/>
    <x v="0"/>
  </r>
  <r>
    <x v="558"/>
    <s v="2025-04-10"/>
    <x v="3"/>
    <s v="CUST4224"/>
    <x v="4"/>
    <n v="4"/>
    <n v="27365.21"/>
    <n v="109460.84"/>
    <x v="1"/>
    <x v="1"/>
  </r>
  <r>
    <x v="559"/>
    <s v="2025-04-10"/>
    <x v="3"/>
    <s v="CUST9796"/>
    <x v="5"/>
    <n v="2"/>
    <n v="1878.17"/>
    <n v="3756.34"/>
    <x v="1"/>
    <x v="1"/>
  </r>
  <r>
    <x v="560"/>
    <s v="2025-04-10"/>
    <x v="3"/>
    <s v="CUST9231"/>
    <x v="8"/>
    <n v="4"/>
    <n v="22746.19"/>
    <n v="90984.76"/>
    <x v="1"/>
    <x v="1"/>
  </r>
  <r>
    <x v="561"/>
    <s v="2025-04-10"/>
    <x v="3"/>
    <s v="CUST6530"/>
    <x v="7"/>
    <n v="1"/>
    <n v="24147.08"/>
    <n v="24147.08"/>
    <x v="0"/>
    <x v="1"/>
  </r>
  <r>
    <x v="562"/>
    <s v="2025-04-10"/>
    <x v="3"/>
    <s v="CUST7468"/>
    <x v="9"/>
    <n v="1"/>
    <n v="32809.11"/>
    <n v="32809.11"/>
    <x v="0"/>
    <x v="1"/>
  </r>
  <r>
    <x v="563"/>
    <s v="2025-04-10"/>
    <x v="3"/>
    <s v="CUST8828"/>
    <x v="4"/>
    <n v="2"/>
    <n v="49449.18"/>
    <n v="98898.36"/>
    <x v="3"/>
    <x v="3"/>
  </r>
  <r>
    <x v="564"/>
    <s v="2025-04-11"/>
    <x v="3"/>
    <s v="CUST6470"/>
    <x v="6"/>
    <n v="5"/>
    <n v="2346.54"/>
    <n v="11732.7"/>
    <x v="2"/>
    <x v="0"/>
  </r>
  <r>
    <x v="565"/>
    <s v="2025-04-11"/>
    <x v="3"/>
    <s v="CUST1077"/>
    <x v="2"/>
    <n v="1"/>
    <n v="30830.959999999999"/>
    <n v="30830.959999999999"/>
    <x v="2"/>
    <x v="3"/>
  </r>
  <r>
    <x v="566"/>
    <s v="2025-04-11"/>
    <x v="3"/>
    <s v="CUST2495"/>
    <x v="4"/>
    <n v="5"/>
    <n v="46336.91"/>
    <n v="231684.55"/>
    <x v="3"/>
    <x v="1"/>
  </r>
  <r>
    <x v="567"/>
    <s v="2025-04-11"/>
    <x v="3"/>
    <s v="CUST1402"/>
    <x v="0"/>
    <n v="2"/>
    <n v="27481.51"/>
    <n v="54963.02"/>
    <x v="3"/>
    <x v="3"/>
  </r>
  <r>
    <x v="568"/>
    <s v="2025-04-11"/>
    <x v="3"/>
    <s v="CUST3790"/>
    <x v="6"/>
    <n v="5"/>
    <n v="30697.32"/>
    <n v="153486.6"/>
    <x v="2"/>
    <x v="2"/>
  </r>
  <r>
    <x v="569"/>
    <s v="2025-04-11"/>
    <x v="3"/>
    <s v="CUST4905"/>
    <x v="1"/>
    <n v="4"/>
    <n v="793.66"/>
    <n v="3174.64"/>
    <x v="2"/>
    <x v="1"/>
  </r>
  <r>
    <x v="570"/>
    <s v="2025-04-11"/>
    <x v="3"/>
    <s v="CUST5812"/>
    <x v="0"/>
    <n v="2"/>
    <n v="25173.46"/>
    <n v="50346.92"/>
    <x v="3"/>
    <x v="2"/>
  </r>
  <r>
    <x v="571"/>
    <s v="2025-04-12"/>
    <x v="3"/>
    <s v="CUST4604"/>
    <x v="8"/>
    <n v="3"/>
    <n v="39527.339999999997"/>
    <n v="118582.02"/>
    <x v="0"/>
    <x v="3"/>
  </r>
  <r>
    <x v="572"/>
    <s v="2025-04-12"/>
    <x v="3"/>
    <s v="CUST3250"/>
    <x v="2"/>
    <n v="2"/>
    <n v="40962.28"/>
    <n v="81924.56"/>
    <x v="0"/>
    <x v="0"/>
  </r>
  <r>
    <x v="573"/>
    <s v="2025-04-12"/>
    <x v="3"/>
    <s v="CUST7434"/>
    <x v="9"/>
    <n v="3"/>
    <n v="18594.84"/>
    <n v="55784.52"/>
    <x v="0"/>
    <x v="3"/>
  </r>
  <r>
    <x v="574"/>
    <s v="2025-04-12"/>
    <x v="3"/>
    <s v="CUST7066"/>
    <x v="3"/>
    <n v="1"/>
    <n v="16764.91"/>
    <n v="16764.91"/>
    <x v="2"/>
    <x v="0"/>
  </r>
  <r>
    <x v="575"/>
    <s v="2025-04-12"/>
    <x v="3"/>
    <s v="CUST9836"/>
    <x v="9"/>
    <n v="1"/>
    <n v="46913.86"/>
    <n v="46913.86"/>
    <x v="2"/>
    <x v="1"/>
  </r>
  <r>
    <x v="576"/>
    <s v="2025-04-12"/>
    <x v="3"/>
    <s v="CUST8632"/>
    <x v="9"/>
    <n v="3"/>
    <n v="21172.29"/>
    <n v="63516.87"/>
    <x v="0"/>
    <x v="1"/>
  </r>
  <r>
    <x v="577"/>
    <s v="2025-04-12"/>
    <x v="3"/>
    <s v="CUST3666"/>
    <x v="8"/>
    <n v="2"/>
    <n v="35539.5"/>
    <n v="71079"/>
    <x v="0"/>
    <x v="1"/>
  </r>
  <r>
    <x v="578"/>
    <s v="2025-04-13"/>
    <x v="3"/>
    <s v="CUST6251"/>
    <x v="0"/>
    <n v="1"/>
    <n v="22364.54"/>
    <n v="22364.54"/>
    <x v="1"/>
    <x v="0"/>
  </r>
  <r>
    <x v="579"/>
    <s v="2025-04-13"/>
    <x v="3"/>
    <s v="CUST5124"/>
    <x v="5"/>
    <n v="4"/>
    <n v="33480.379999999997"/>
    <n v="133921.51999999999"/>
    <x v="2"/>
    <x v="0"/>
  </r>
  <r>
    <x v="580"/>
    <s v="2025-04-13"/>
    <x v="3"/>
    <s v="CUST3226"/>
    <x v="7"/>
    <n v="5"/>
    <n v="49320.56"/>
    <n v="246602.8"/>
    <x v="0"/>
    <x v="3"/>
  </r>
  <r>
    <x v="581"/>
    <s v="2025-04-14"/>
    <x v="3"/>
    <s v="CUST8217"/>
    <x v="3"/>
    <n v="5"/>
    <n v="26142.52"/>
    <n v="130712.6"/>
    <x v="1"/>
    <x v="1"/>
  </r>
  <r>
    <x v="582"/>
    <s v="2025-04-14"/>
    <x v="3"/>
    <s v="CUST2739"/>
    <x v="8"/>
    <n v="2"/>
    <n v="22988.62"/>
    <n v="45977.24"/>
    <x v="1"/>
    <x v="2"/>
  </r>
  <r>
    <x v="583"/>
    <s v="2025-04-14"/>
    <x v="3"/>
    <s v="CUST8987"/>
    <x v="2"/>
    <n v="1"/>
    <n v="23903.040000000001"/>
    <n v="23903.040000000001"/>
    <x v="3"/>
    <x v="0"/>
  </r>
  <r>
    <x v="584"/>
    <s v="2025-04-15"/>
    <x v="3"/>
    <s v="CUST1189"/>
    <x v="3"/>
    <n v="3"/>
    <n v="17197.37"/>
    <n v="51592.11"/>
    <x v="2"/>
    <x v="2"/>
  </r>
  <r>
    <x v="585"/>
    <s v="2025-04-15"/>
    <x v="3"/>
    <s v="CUST1926"/>
    <x v="4"/>
    <n v="2"/>
    <n v="48716.99"/>
    <n v="97433.98"/>
    <x v="0"/>
    <x v="3"/>
  </r>
  <r>
    <x v="586"/>
    <s v="2025-04-15"/>
    <x v="3"/>
    <s v="CUST8696"/>
    <x v="5"/>
    <n v="1"/>
    <n v="564.32000000000005"/>
    <n v="564.32000000000005"/>
    <x v="0"/>
    <x v="2"/>
  </r>
  <r>
    <x v="587"/>
    <s v="2025-04-15"/>
    <x v="3"/>
    <s v="CUST5380"/>
    <x v="3"/>
    <n v="2"/>
    <n v="13759.97"/>
    <n v="27519.94"/>
    <x v="3"/>
    <x v="3"/>
  </r>
  <r>
    <x v="588"/>
    <s v="2025-04-16"/>
    <x v="3"/>
    <s v="CUST3560"/>
    <x v="7"/>
    <n v="5"/>
    <n v="28323.56"/>
    <n v="141617.79999999999"/>
    <x v="0"/>
    <x v="0"/>
  </r>
  <r>
    <x v="589"/>
    <s v="2025-04-16"/>
    <x v="3"/>
    <s v="CUST6078"/>
    <x v="2"/>
    <n v="4"/>
    <n v="37300.31"/>
    <n v="149201.24"/>
    <x v="2"/>
    <x v="3"/>
  </r>
  <r>
    <x v="590"/>
    <s v="2025-04-16"/>
    <x v="3"/>
    <s v="CUST4347"/>
    <x v="3"/>
    <n v="2"/>
    <n v="41908.28"/>
    <n v="83816.56"/>
    <x v="2"/>
    <x v="0"/>
  </r>
  <r>
    <x v="591"/>
    <s v="2025-04-16"/>
    <x v="3"/>
    <s v="CUST1552"/>
    <x v="4"/>
    <n v="1"/>
    <n v="24403.97"/>
    <n v="24403.97"/>
    <x v="0"/>
    <x v="3"/>
  </r>
  <r>
    <x v="592"/>
    <s v="2025-04-16"/>
    <x v="3"/>
    <s v="CUST6768"/>
    <x v="8"/>
    <n v="5"/>
    <n v="4704.3"/>
    <n v="23521.5"/>
    <x v="1"/>
    <x v="2"/>
  </r>
  <r>
    <x v="593"/>
    <s v="2025-04-16"/>
    <x v="3"/>
    <s v="CUST3799"/>
    <x v="7"/>
    <n v="5"/>
    <n v="46895.16"/>
    <n v="234475.8"/>
    <x v="1"/>
    <x v="1"/>
  </r>
  <r>
    <x v="594"/>
    <s v="2025-04-16"/>
    <x v="3"/>
    <s v="CUST8363"/>
    <x v="3"/>
    <n v="1"/>
    <n v="9018.86"/>
    <n v="9018.86"/>
    <x v="0"/>
    <x v="2"/>
  </r>
  <r>
    <x v="595"/>
    <s v="2025-04-16"/>
    <x v="3"/>
    <s v="CUST5398"/>
    <x v="2"/>
    <n v="1"/>
    <n v="8724.24"/>
    <n v="8724.24"/>
    <x v="1"/>
    <x v="1"/>
  </r>
  <r>
    <x v="596"/>
    <s v="2025-04-17"/>
    <x v="3"/>
    <s v="CUST6702"/>
    <x v="9"/>
    <n v="1"/>
    <n v="6812.37"/>
    <n v="6812.37"/>
    <x v="0"/>
    <x v="0"/>
  </r>
  <r>
    <x v="597"/>
    <s v="2025-04-17"/>
    <x v="3"/>
    <s v="CUST4997"/>
    <x v="4"/>
    <n v="5"/>
    <n v="11288.48"/>
    <n v="56442.400000000001"/>
    <x v="2"/>
    <x v="3"/>
  </r>
  <r>
    <x v="598"/>
    <s v="2025-04-17"/>
    <x v="3"/>
    <s v="CUST1247"/>
    <x v="7"/>
    <n v="2"/>
    <n v="5652.53"/>
    <n v="11305.06"/>
    <x v="2"/>
    <x v="3"/>
  </r>
  <r>
    <x v="599"/>
    <s v="2025-04-17"/>
    <x v="3"/>
    <s v="CUST1315"/>
    <x v="5"/>
    <n v="3"/>
    <n v="42988.11"/>
    <n v="128964.33"/>
    <x v="1"/>
    <x v="2"/>
  </r>
  <r>
    <x v="600"/>
    <s v="2025-04-17"/>
    <x v="3"/>
    <s v="CUST7786"/>
    <x v="5"/>
    <n v="2"/>
    <n v="41036.269999999997"/>
    <n v="82072.539999999994"/>
    <x v="1"/>
    <x v="1"/>
  </r>
  <r>
    <x v="601"/>
    <s v="2025-04-17"/>
    <x v="3"/>
    <s v="CUST7120"/>
    <x v="8"/>
    <n v="3"/>
    <n v="33839.040000000001"/>
    <n v="101517.12"/>
    <x v="3"/>
    <x v="3"/>
  </r>
  <r>
    <x v="602"/>
    <s v="2025-04-18"/>
    <x v="3"/>
    <s v="CUST4139"/>
    <x v="3"/>
    <n v="3"/>
    <n v="24802.81"/>
    <n v="74408.429999999993"/>
    <x v="0"/>
    <x v="2"/>
  </r>
  <r>
    <x v="603"/>
    <s v="2025-04-18"/>
    <x v="3"/>
    <s v="CUST2376"/>
    <x v="8"/>
    <n v="1"/>
    <n v="49568.83"/>
    <n v="49568.83"/>
    <x v="3"/>
    <x v="3"/>
  </r>
  <r>
    <x v="604"/>
    <s v="2025-04-18"/>
    <x v="3"/>
    <s v="CUST8644"/>
    <x v="4"/>
    <n v="1"/>
    <n v="19276.38"/>
    <n v="19276.38"/>
    <x v="0"/>
    <x v="2"/>
  </r>
  <r>
    <x v="605"/>
    <s v="2025-04-19"/>
    <x v="3"/>
    <s v="CUST2239"/>
    <x v="6"/>
    <n v="2"/>
    <n v="15036.2"/>
    <n v="30072.400000000001"/>
    <x v="2"/>
    <x v="2"/>
  </r>
  <r>
    <x v="606"/>
    <s v="2025-04-19"/>
    <x v="3"/>
    <s v="CUST4151"/>
    <x v="5"/>
    <n v="3"/>
    <n v="20583.59"/>
    <n v="61750.77"/>
    <x v="1"/>
    <x v="0"/>
  </r>
  <r>
    <x v="607"/>
    <s v="2025-04-19"/>
    <x v="3"/>
    <s v="CUST3040"/>
    <x v="0"/>
    <n v="5"/>
    <n v="42335.1"/>
    <n v="211675.5"/>
    <x v="0"/>
    <x v="1"/>
  </r>
  <r>
    <x v="608"/>
    <s v="2025-04-19"/>
    <x v="3"/>
    <s v="CUST4843"/>
    <x v="4"/>
    <n v="2"/>
    <n v="49667.42"/>
    <n v="99334.84"/>
    <x v="0"/>
    <x v="3"/>
  </r>
  <r>
    <x v="609"/>
    <s v="2025-04-19"/>
    <x v="3"/>
    <s v="CUST9041"/>
    <x v="0"/>
    <n v="1"/>
    <n v="48414.94"/>
    <n v="48414.94"/>
    <x v="1"/>
    <x v="0"/>
  </r>
  <r>
    <x v="610"/>
    <s v="2025-04-19"/>
    <x v="3"/>
    <s v="CUST8379"/>
    <x v="6"/>
    <n v="3"/>
    <n v="29603.37"/>
    <n v="88810.11"/>
    <x v="0"/>
    <x v="2"/>
  </r>
  <r>
    <x v="611"/>
    <s v="2025-04-19"/>
    <x v="3"/>
    <s v="CUST2304"/>
    <x v="1"/>
    <n v="3"/>
    <n v="46916.76"/>
    <n v="140750.28"/>
    <x v="1"/>
    <x v="2"/>
  </r>
  <r>
    <x v="612"/>
    <s v="2025-04-20"/>
    <x v="3"/>
    <s v="CUST6233"/>
    <x v="4"/>
    <n v="4"/>
    <n v="22799.11"/>
    <n v="91196.44"/>
    <x v="1"/>
    <x v="3"/>
  </r>
  <r>
    <x v="613"/>
    <s v="2025-04-20"/>
    <x v="3"/>
    <s v="CUST7873"/>
    <x v="9"/>
    <n v="4"/>
    <n v="38340.71"/>
    <n v="153362.84"/>
    <x v="2"/>
    <x v="3"/>
  </r>
  <r>
    <x v="614"/>
    <s v="2025-04-20"/>
    <x v="3"/>
    <s v="CUST1524"/>
    <x v="3"/>
    <n v="3"/>
    <n v="6778"/>
    <n v="20334"/>
    <x v="0"/>
    <x v="1"/>
  </r>
  <r>
    <x v="615"/>
    <s v="2025-04-20"/>
    <x v="3"/>
    <s v="CUST1676"/>
    <x v="0"/>
    <n v="5"/>
    <n v="40787.370000000003"/>
    <n v="203936.85"/>
    <x v="2"/>
    <x v="1"/>
  </r>
  <r>
    <x v="616"/>
    <s v="2025-04-20"/>
    <x v="3"/>
    <s v="CUST7987"/>
    <x v="8"/>
    <n v="5"/>
    <n v="19850.53"/>
    <n v="99252.65"/>
    <x v="3"/>
    <x v="3"/>
  </r>
  <r>
    <x v="617"/>
    <s v="2025-04-20"/>
    <x v="3"/>
    <s v="CUST1602"/>
    <x v="2"/>
    <n v="5"/>
    <n v="25692.75"/>
    <n v="128463.75"/>
    <x v="2"/>
    <x v="0"/>
  </r>
  <r>
    <x v="618"/>
    <s v="2025-04-20"/>
    <x v="3"/>
    <s v="CUST8205"/>
    <x v="6"/>
    <n v="3"/>
    <n v="41197.39"/>
    <n v="123592.17"/>
    <x v="0"/>
    <x v="2"/>
  </r>
  <r>
    <x v="619"/>
    <s v="2025-04-21"/>
    <x v="3"/>
    <s v="CUST7708"/>
    <x v="3"/>
    <n v="5"/>
    <n v="4972.18"/>
    <n v="24860.9"/>
    <x v="0"/>
    <x v="0"/>
  </r>
  <r>
    <x v="620"/>
    <s v="2025-04-21"/>
    <x v="3"/>
    <s v="CUST7496"/>
    <x v="2"/>
    <n v="5"/>
    <n v="25673.87"/>
    <n v="128369.35"/>
    <x v="3"/>
    <x v="3"/>
  </r>
  <r>
    <x v="621"/>
    <s v="2025-04-21"/>
    <x v="3"/>
    <s v="CUST3705"/>
    <x v="5"/>
    <n v="1"/>
    <n v="35196.300000000003"/>
    <n v="35196.300000000003"/>
    <x v="2"/>
    <x v="2"/>
  </r>
  <r>
    <x v="622"/>
    <s v="2025-04-21"/>
    <x v="3"/>
    <s v="CUST7482"/>
    <x v="3"/>
    <n v="1"/>
    <n v="29887.4"/>
    <n v="29887.4"/>
    <x v="3"/>
    <x v="3"/>
  </r>
  <r>
    <x v="623"/>
    <s v="2025-04-22"/>
    <x v="3"/>
    <s v="CUST2664"/>
    <x v="8"/>
    <n v="3"/>
    <n v="34519.040000000001"/>
    <n v="103557.12"/>
    <x v="2"/>
    <x v="3"/>
  </r>
  <r>
    <x v="624"/>
    <s v="2025-04-22"/>
    <x v="3"/>
    <s v="CUST2593"/>
    <x v="8"/>
    <n v="3"/>
    <n v="19103.11"/>
    <n v="57309.33"/>
    <x v="1"/>
    <x v="2"/>
  </r>
  <r>
    <x v="625"/>
    <s v="2025-04-22"/>
    <x v="3"/>
    <s v="CUST9566"/>
    <x v="4"/>
    <n v="3"/>
    <n v="16254.98"/>
    <n v="48764.94"/>
    <x v="1"/>
    <x v="3"/>
  </r>
  <r>
    <x v="626"/>
    <s v="2025-04-22"/>
    <x v="3"/>
    <s v="CUST7142"/>
    <x v="3"/>
    <n v="2"/>
    <n v="22179.26"/>
    <n v="44358.52"/>
    <x v="1"/>
    <x v="0"/>
  </r>
  <r>
    <x v="627"/>
    <s v="2025-04-22"/>
    <x v="3"/>
    <s v="CUST6329"/>
    <x v="5"/>
    <n v="4"/>
    <n v="27230.91"/>
    <n v="108923.64"/>
    <x v="2"/>
    <x v="1"/>
  </r>
  <r>
    <x v="628"/>
    <s v="2025-04-23"/>
    <x v="3"/>
    <s v="CUST9444"/>
    <x v="2"/>
    <n v="4"/>
    <n v="35528.47"/>
    <n v="142113.88"/>
    <x v="0"/>
    <x v="1"/>
  </r>
  <r>
    <x v="629"/>
    <s v="2025-04-23"/>
    <x v="3"/>
    <s v="CUST6286"/>
    <x v="2"/>
    <n v="1"/>
    <n v="20835.13"/>
    <n v="20835.13"/>
    <x v="0"/>
    <x v="2"/>
  </r>
  <r>
    <x v="630"/>
    <s v="2025-04-23"/>
    <x v="3"/>
    <s v="CUST5631"/>
    <x v="0"/>
    <n v="1"/>
    <n v="41003.480000000003"/>
    <n v="41003.480000000003"/>
    <x v="2"/>
    <x v="0"/>
  </r>
  <r>
    <x v="631"/>
    <s v="2025-04-23"/>
    <x v="3"/>
    <s v="CUST4908"/>
    <x v="8"/>
    <n v="1"/>
    <n v="9140.5300000000007"/>
    <n v="9140.5300000000007"/>
    <x v="3"/>
    <x v="2"/>
  </r>
  <r>
    <x v="632"/>
    <s v="2025-04-23"/>
    <x v="3"/>
    <s v="CUST3890"/>
    <x v="4"/>
    <n v="1"/>
    <n v="18238.330000000002"/>
    <n v="18238.330000000002"/>
    <x v="3"/>
    <x v="1"/>
  </r>
  <r>
    <x v="633"/>
    <s v="2025-04-23"/>
    <x v="3"/>
    <s v="CUST2665"/>
    <x v="2"/>
    <n v="2"/>
    <n v="36743.31"/>
    <n v="73486.62"/>
    <x v="2"/>
    <x v="0"/>
  </r>
  <r>
    <x v="634"/>
    <s v="2025-04-23"/>
    <x v="3"/>
    <s v="CUST4224"/>
    <x v="4"/>
    <n v="1"/>
    <n v="32143.51"/>
    <n v="32143.51"/>
    <x v="1"/>
    <x v="1"/>
  </r>
  <r>
    <x v="635"/>
    <s v="2025-04-24"/>
    <x v="3"/>
    <s v="CUST7727"/>
    <x v="1"/>
    <n v="3"/>
    <n v="36889.19"/>
    <n v="110667.57"/>
    <x v="3"/>
    <x v="1"/>
  </r>
  <r>
    <x v="636"/>
    <s v="2025-04-24"/>
    <x v="3"/>
    <s v="CUST3151"/>
    <x v="3"/>
    <n v="3"/>
    <n v="25125.55"/>
    <n v="75376.649999999994"/>
    <x v="0"/>
    <x v="3"/>
  </r>
  <r>
    <x v="637"/>
    <s v="2025-04-24"/>
    <x v="3"/>
    <s v="CUST4306"/>
    <x v="9"/>
    <n v="2"/>
    <n v="47163.05"/>
    <n v="94326.1"/>
    <x v="3"/>
    <x v="1"/>
  </r>
  <r>
    <x v="638"/>
    <s v="2025-04-24"/>
    <x v="3"/>
    <s v="CUST8391"/>
    <x v="9"/>
    <n v="3"/>
    <n v="8084.98"/>
    <n v="24254.94"/>
    <x v="0"/>
    <x v="0"/>
  </r>
  <r>
    <x v="639"/>
    <s v="2025-04-24"/>
    <x v="3"/>
    <s v="CUST6818"/>
    <x v="5"/>
    <n v="2"/>
    <n v="47689.42"/>
    <n v="95378.84"/>
    <x v="0"/>
    <x v="1"/>
  </r>
  <r>
    <x v="640"/>
    <s v="2025-04-24"/>
    <x v="3"/>
    <s v="CUST4907"/>
    <x v="0"/>
    <n v="1"/>
    <n v="38350.22"/>
    <n v="38350.22"/>
    <x v="2"/>
    <x v="2"/>
  </r>
  <r>
    <x v="641"/>
    <s v="2025-04-24"/>
    <x v="3"/>
    <s v="CUST1908"/>
    <x v="0"/>
    <n v="1"/>
    <n v="5735.16"/>
    <n v="5735.16"/>
    <x v="3"/>
    <x v="2"/>
  </r>
  <r>
    <x v="642"/>
    <s v="2025-04-25"/>
    <x v="3"/>
    <s v="CUST2681"/>
    <x v="2"/>
    <n v="3"/>
    <n v="18145.89"/>
    <n v="54437.67"/>
    <x v="2"/>
    <x v="0"/>
  </r>
  <r>
    <x v="643"/>
    <s v="2025-04-25"/>
    <x v="3"/>
    <s v="CUST3283"/>
    <x v="4"/>
    <n v="4"/>
    <n v="17020.330000000002"/>
    <n v="68081.320000000007"/>
    <x v="0"/>
    <x v="0"/>
  </r>
  <r>
    <x v="644"/>
    <s v="2025-04-25"/>
    <x v="3"/>
    <s v="CUST9515"/>
    <x v="2"/>
    <n v="2"/>
    <n v="43241.19"/>
    <n v="86482.38"/>
    <x v="0"/>
    <x v="3"/>
  </r>
  <r>
    <x v="645"/>
    <s v="2025-04-25"/>
    <x v="3"/>
    <s v="CUST5183"/>
    <x v="0"/>
    <n v="5"/>
    <n v="43654.6"/>
    <n v="218273"/>
    <x v="2"/>
    <x v="1"/>
  </r>
  <r>
    <x v="646"/>
    <s v="2025-04-26"/>
    <x v="3"/>
    <s v="CUST3218"/>
    <x v="5"/>
    <n v="3"/>
    <n v="24738.52"/>
    <n v="74215.56"/>
    <x v="3"/>
    <x v="2"/>
  </r>
  <r>
    <x v="647"/>
    <s v="2025-04-26"/>
    <x v="3"/>
    <s v="CUST1434"/>
    <x v="1"/>
    <n v="2"/>
    <n v="28696.99"/>
    <n v="57393.98"/>
    <x v="1"/>
    <x v="0"/>
  </r>
  <r>
    <x v="648"/>
    <s v="2025-04-26"/>
    <x v="3"/>
    <s v="CUST4607"/>
    <x v="3"/>
    <n v="3"/>
    <n v="28785.14"/>
    <n v="86355.42"/>
    <x v="2"/>
    <x v="0"/>
  </r>
  <r>
    <x v="649"/>
    <s v="2025-04-26"/>
    <x v="3"/>
    <s v="CUST9933"/>
    <x v="7"/>
    <n v="3"/>
    <n v="21779.86"/>
    <n v="65339.58"/>
    <x v="3"/>
    <x v="1"/>
  </r>
  <r>
    <x v="650"/>
    <s v="2025-04-26"/>
    <x v="3"/>
    <s v="CUST3452"/>
    <x v="1"/>
    <n v="3"/>
    <n v="26032.13"/>
    <n v="78096.39"/>
    <x v="1"/>
    <x v="0"/>
  </r>
  <r>
    <x v="651"/>
    <s v="2025-04-27"/>
    <x v="3"/>
    <s v="CUST8023"/>
    <x v="9"/>
    <n v="2"/>
    <n v="23456.26"/>
    <n v="46912.52"/>
    <x v="1"/>
    <x v="2"/>
  </r>
  <r>
    <x v="652"/>
    <s v="2025-04-27"/>
    <x v="3"/>
    <s v="CUST5619"/>
    <x v="9"/>
    <n v="2"/>
    <n v="17599.32"/>
    <n v="35198.639999999999"/>
    <x v="2"/>
    <x v="2"/>
  </r>
  <r>
    <x v="653"/>
    <s v="2025-04-27"/>
    <x v="3"/>
    <s v="CUST2718"/>
    <x v="7"/>
    <n v="1"/>
    <n v="13737.6"/>
    <n v="13737.6"/>
    <x v="3"/>
    <x v="2"/>
  </r>
  <r>
    <x v="654"/>
    <s v="2025-04-27"/>
    <x v="3"/>
    <s v="CUST1903"/>
    <x v="3"/>
    <n v="5"/>
    <n v="14187.09"/>
    <n v="70935.45"/>
    <x v="2"/>
    <x v="3"/>
  </r>
  <r>
    <x v="655"/>
    <s v="2025-04-27"/>
    <x v="3"/>
    <s v="CUST4837"/>
    <x v="3"/>
    <n v="2"/>
    <n v="5956.49"/>
    <n v="11912.98"/>
    <x v="3"/>
    <x v="2"/>
  </r>
  <r>
    <x v="656"/>
    <s v="2025-04-28"/>
    <x v="3"/>
    <s v="CUST4393"/>
    <x v="3"/>
    <n v="2"/>
    <n v="16240.79"/>
    <n v="32481.58"/>
    <x v="2"/>
    <x v="3"/>
  </r>
  <r>
    <x v="657"/>
    <s v="2025-04-28"/>
    <x v="3"/>
    <s v="CUST8951"/>
    <x v="4"/>
    <n v="3"/>
    <n v="34581.29"/>
    <n v="103743.87"/>
    <x v="3"/>
    <x v="0"/>
  </r>
  <r>
    <x v="658"/>
    <s v="2025-04-28"/>
    <x v="3"/>
    <s v="CUST9516"/>
    <x v="3"/>
    <n v="1"/>
    <n v="29970.16"/>
    <n v="29970.16"/>
    <x v="1"/>
    <x v="3"/>
  </r>
  <r>
    <x v="659"/>
    <s v="2025-04-28"/>
    <x v="3"/>
    <s v="CUST1672"/>
    <x v="1"/>
    <n v="5"/>
    <n v="42514.87"/>
    <n v="212574.35"/>
    <x v="3"/>
    <x v="2"/>
  </r>
  <r>
    <x v="660"/>
    <s v="2025-04-29"/>
    <x v="3"/>
    <s v="CUST6921"/>
    <x v="2"/>
    <n v="3"/>
    <n v="46012.72"/>
    <n v="138038.16"/>
    <x v="3"/>
    <x v="2"/>
  </r>
  <r>
    <x v="661"/>
    <s v="2025-04-29"/>
    <x v="3"/>
    <s v="CUST4654"/>
    <x v="0"/>
    <n v="3"/>
    <n v="45601.88"/>
    <n v="136805.64000000001"/>
    <x v="0"/>
    <x v="1"/>
  </r>
  <r>
    <x v="662"/>
    <s v="2025-04-29"/>
    <x v="3"/>
    <s v="CUST7462"/>
    <x v="5"/>
    <n v="5"/>
    <n v="30629.09"/>
    <n v="153145.45000000001"/>
    <x v="0"/>
    <x v="3"/>
  </r>
  <r>
    <x v="663"/>
    <s v="2025-04-29"/>
    <x v="3"/>
    <s v="CUST4702"/>
    <x v="3"/>
    <n v="2"/>
    <n v="4660.07"/>
    <n v="9320.14"/>
    <x v="3"/>
    <x v="2"/>
  </r>
  <r>
    <x v="664"/>
    <s v="2025-04-29"/>
    <x v="3"/>
    <s v="CUST5880"/>
    <x v="5"/>
    <n v="5"/>
    <n v="15131.04"/>
    <n v="75655.199999999997"/>
    <x v="3"/>
    <x v="1"/>
  </r>
  <r>
    <x v="665"/>
    <s v="2025-04-30"/>
    <x v="3"/>
    <s v="CUST5965"/>
    <x v="8"/>
    <n v="5"/>
    <n v="27615.32"/>
    <n v="138076.6"/>
    <x v="2"/>
    <x v="1"/>
  </r>
  <r>
    <x v="666"/>
    <s v="2025-04-30"/>
    <x v="3"/>
    <s v="CUST9636"/>
    <x v="1"/>
    <n v="4"/>
    <n v="47952.6"/>
    <n v="191810.4"/>
    <x v="2"/>
    <x v="1"/>
  </r>
  <r>
    <x v="667"/>
    <s v="2025-04-30"/>
    <x v="3"/>
    <s v="CUST5940"/>
    <x v="2"/>
    <n v="1"/>
    <n v="8020.97"/>
    <n v="8020.97"/>
    <x v="0"/>
    <x v="1"/>
  </r>
  <r>
    <x v="668"/>
    <s v="2025-04-30"/>
    <x v="3"/>
    <s v="CUST1569"/>
    <x v="3"/>
    <n v="5"/>
    <n v="27635.72"/>
    <n v="138178.6"/>
    <x v="3"/>
    <x v="2"/>
  </r>
  <r>
    <x v="669"/>
    <s v="2025-04-30"/>
    <x v="3"/>
    <s v="CUST6276"/>
    <x v="3"/>
    <n v="5"/>
    <n v="27841.43"/>
    <n v="139207.15"/>
    <x v="2"/>
    <x v="1"/>
  </r>
  <r>
    <x v="670"/>
    <s v="2025-04-30"/>
    <x v="3"/>
    <s v="CUST4330"/>
    <x v="1"/>
    <n v="2"/>
    <n v="47121.42"/>
    <n v="94242.84"/>
    <x v="1"/>
    <x v="2"/>
  </r>
  <r>
    <x v="671"/>
    <s v="2025-04-30"/>
    <x v="3"/>
    <s v="CUST6744"/>
    <x v="9"/>
    <n v="1"/>
    <n v="44438.52"/>
    <n v="44438.52"/>
    <x v="3"/>
    <x v="2"/>
  </r>
  <r>
    <x v="672"/>
    <s v="2025-05-01"/>
    <x v="4"/>
    <s v="CUST4962"/>
    <x v="3"/>
    <n v="2"/>
    <n v="34459.06"/>
    <n v="68918.12"/>
    <x v="0"/>
    <x v="2"/>
  </r>
  <r>
    <x v="673"/>
    <s v="2025-05-01"/>
    <x v="4"/>
    <s v="CUST4555"/>
    <x v="6"/>
    <n v="1"/>
    <n v="6204.73"/>
    <n v="6204.73"/>
    <x v="0"/>
    <x v="1"/>
  </r>
  <r>
    <x v="674"/>
    <s v="2025-05-01"/>
    <x v="4"/>
    <s v="CUST9529"/>
    <x v="1"/>
    <n v="5"/>
    <n v="49990.73"/>
    <n v="249953.65"/>
    <x v="2"/>
    <x v="1"/>
  </r>
  <r>
    <x v="675"/>
    <s v="2025-05-01"/>
    <x v="4"/>
    <s v="CUST7558"/>
    <x v="9"/>
    <n v="5"/>
    <n v="41923.29"/>
    <n v="209616.45"/>
    <x v="0"/>
    <x v="3"/>
  </r>
  <r>
    <x v="676"/>
    <s v="2025-05-02"/>
    <x v="4"/>
    <s v="CUST8657"/>
    <x v="5"/>
    <n v="4"/>
    <n v="11022.99"/>
    <n v="44091.96"/>
    <x v="3"/>
    <x v="3"/>
  </r>
  <r>
    <x v="677"/>
    <s v="2025-05-02"/>
    <x v="4"/>
    <s v="CUST6122"/>
    <x v="3"/>
    <n v="5"/>
    <n v="8443.91"/>
    <n v="42219.55"/>
    <x v="0"/>
    <x v="3"/>
  </r>
  <r>
    <x v="678"/>
    <s v="2025-05-02"/>
    <x v="4"/>
    <s v="CUST5882"/>
    <x v="5"/>
    <n v="4"/>
    <n v="42743.73"/>
    <n v="170974.92"/>
    <x v="2"/>
    <x v="3"/>
  </r>
  <r>
    <x v="679"/>
    <s v="2025-05-02"/>
    <x v="4"/>
    <s v="CUST1676"/>
    <x v="6"/>
    <n v="1"/>
    <n v="31947.13"/>
    <n v="31947.13"/>
    <x v="3"/>
    <x v="2"/>
  </r>
  <r>
    <x v="680"/>
    <s v="2025-05-02"/>
    <x v="4"/>
    <s v="CUST8626"/>
    <x v="6"/>
    <n v="2"/>
    <n v="32488.21"/>
    <n v="64976.42"/>
    <x v="1"/>
    <x v="0"/>
  </r>
  <r>
    <x v="681"/>
    <s v="2025-05-02"/>
    <x v="4"/>
    <s v="CUST4536"/>
    <x v="7"/>
    <n v="1"/>
    <n v="32675.87"/>
    <n v="32675.87"/>
    <x v="0"/>
    <x v="1"/>
  </r>
  <r>
    <x v="682"/>
    <s v="2025-05-02"/>
    <x v="4"/>
    <s v="CUST9747"/>
    <x v="9"/>
    <n v="4"/>
    <n v="49461.02"/>
    <n v="197844.08"/>
    <x v="3"/>
    <x v="1"/>
  </r>
  <r>
    <x v="683"/>
    <s v="2025-05-02"/>
    <x v="4"/>
    <s v="CUST3268"/>
    <x v="1"/>
    <n v="4"/>
    <n v="15122.9"/>
    <n v="60491.6"/>
    <x v="3"/>
    <x v="2"/>
  </r>
  <r>
    <x v="684"/>
    <s v="2025-05-03"/>
    <x v="4"/>
    <s v="CUST8458"/>
    <x v="4"/>
    <n v="1"/>
    <n v="10321.43"/>
    <n v="10321.43"/>
    <x v="1"/>
    <x v="3"/>
  </r>
  <r>
    <x v="685"/>
    <s v="2025-05-03"/>
    <x v="4"/>
    <s v="CUST8515"/>
    <x v="2"/>
    <n v="4"/>
    <n v="5254.55"/>
    <n v="21018.2"/>
    <x v="1"/>
    <x v="1"/>
  </r>
  <r>
    <x v="686"/>
    <s v="2025-05-03"/>
    <x v="4"/>
    <s v="CUST6636"/>
    <x v="3"/>
    <n v="3"/>
    <n v="5633.23"/>
    <n v="16899.689999999999"/>
    <x v="1"/>
    <x v="3"/>
  </r>
  <r>
    <x v="687"/>
    <s v="2025-05-03"/>
    <x v="4"/>
    <s v="CUST9116"/>
    <x v="7"/>
    <n v="4"/>
    <n v="2777.2"/>
    <n v="11108.8"/>
    <x v="0"/>
    <x v="2"/>
  </r>
  <r>
    <x v="688"/>
    <s v="2025-05-04"/>
    <x v="4"/>
    <s v="CUST8959"/>
    <x v="7"/>
    <n v="5"/>
    <n v="13623.99"/>
    <n v="68119.95"/>
    <x v="1"/>
    <x v="2"/>
  </r>
  <r>
    <x v="689"/>
    <s v="2025-05-04"/>
    <x v="4"/>
    <s v="CUST9998"/>
    <x v="5"/>
    <n v="3"/>
    <n v="21963.9"/>
    <n v="65891.7"/>
    <x v="3"/>
    <x v="2"/>
  </r>
  <r>
    <x v="690"/>
    <s v="2025-05-04"/>
    <x v="4"/>
    <s v="CUST9474"/>
    <x v="9"/>
    <n v="4"/>
    <n v="46333.52"/>
    <n v="185334.08"/>
    <x v="0"/>
    <x v="1"/>
  </r>
  <r>
    <x v="691"/>
    <s v="2025-05-04"/>
    <x v="4"/>
    <s v="CUST9044"/>
    <x v="2"/>
    <n v="3"/>
    <n v="13588.96"/>
    <n v="40766.879999999997"/>
    <x v="3"/>
    <x v="2"/>
  </r>
  <r>
    <x v="692"/>
    <s v="2025-05-04"/>
    <x v="4"/>
    <s v="CUST9061"/>
    <x v="6"/>
    <n v="4"/>
    <n v="49436.75"/>
    <n v="197747"/>
    <x v="2"/>
    <x v="0"/>
  </r>
  <r>
    <x v="693"/>
    <s v="2025-05-04"/>
    <x v="4"/>
    <s v="CUST7329"/>
    <x v="3"/>
    <n v="4"/>
    <n v="21330.19"/>
    <n v="85320.76"/>
    <x v="2"/>
    <x v="1"/>
  </r>
  <r>
    <x v="694"/>
    <s v="2025-05-04"/>
    <x v="4"/>
    <s v="CUST8386"/>
    <x v="7"/>
    <n v="3"/>
    <n v="8623.33"/>
    <n v="25869.99"/>
    <x v="1"/>
    <x v="2"/>
  </r>
  <r>
    <x v="695"/>
    <s v="2025-05-05"/>
    <x v="4"/>
    <s v="CUST2360"/>
    <x v="9"/>
    <n v="5"/>
    <n v="38498.160000000003"/>
    <n v="192490.8"/>
    <x v="3"/>
    <x v="3"/>
  </r>
  <r>
    <x v="696"/>
    <s v="2025-05-05"/>
    <x v="4"/>
    <s v="CUST5029"/>
    <x v="9"/>
    <n v="2"/>
    <n v="510.3"/>
    <n v="1020.6"/>
    <x v="3"/>
    <x v="2"/>
  </r>
  <r>
    <x v="697"/>
    <s v="2025-05-05"/>
    <x v="4"/>
    <s v="CUST1558"/>
    <x v="9"/>
    <n v="1"/>
    <n v="48018.09"/>
    <n v="48018.09"/>
    <x v="2"/>
    <x v="3"/>
  </r>
  <r>
    <x v="698"/>
    <s v="2025-05-05"/>
    <x v="4"/>
    <s v="CUST9854"/>
    <x v="9"/>
    <n v="4"/>
    <n v="38698.639999999999"/>
    <n v="154794.56"/>
    <x v="1"/>
    <x v="1"/>
  </r>
  <r>
    <x v="699"/>
    <s v="2025-05-06"/>
    <x v="4"/>
    <s v="CUST1199"/>
    <x v="3"/>
    <n v="1"/>
    <n v="3000.19"/>
    <n v="3000.19"/>
    <x v="2"/>
    <x v="3"/>
  </r>
  <r>
    <x v="700"/>
    <s v="2025-05-06"/>
    <x v="4"/>
    <s v="CUST4757"/>
    <x v="5"/>
    <n v="3"/>
    <n v="6710.83"/>
    <n v="20132.490000000002"/>
    <x v="3"/>
    <x v="2"/>
  </r>
  <r>
    <x v="701"/>
    <s v="2025-05-06"/>
    <x v="4"/>
    <s v="CUST5815"/>
    <x v="5"/>
    <n v="1"/>
    <n v="17700.47"/>
    <n v="17700.47"/>
    <x v="1"/>
    <x v="0"/>
  </r>
  <r>
    <x v="702"/>
    <s v="2025-05-06"/>
    <x v="4"/>
    <s v="CUST7511"/>
    <x v="2"/>
    <n v="2"/>
    <n v="23790.080000000002"/>
    <n v="47580.160000000003"/>
    <x v="0"/>
    <x v="0"/>
  </r>
  <r>
    <x v="703"/>
    <s v="2025-05-06"/>
    <x v="4"/>
    <s v="CUST2908"/>
    <x v="2"/>
    <n v="3"/>
    <n v="1591.68"/>
    <n v="4775.04"/>
    <x v="0"/>
    <x v="1"/>
  </r>
  <r>
    <x v="704"/>
    <s v="2025-05-06"/>
    <x v="4"/>
    <s v="CUST7277"/>
    <x v="6"/>
    <n v="5"/>
    <n v="39651.78"/>
    <n v="198258.9"/>
    <x v="0"/>
    <x v="0"/>
  </r>
  <r>
    <x v="705"/>
    <s v="2025-05-06"/>
    <x v="4"/>
    <s v="CUST2023"/>
    <x v="2"/>
    <n v="4"/>
    <n v="4063.21"/>
    <n v="16252.84"/>
    <x v="3"/>
    <x v="1"/>
  </r>
  <r>
    <x v="706"/>
    <s v="2025-05-06"/>
    <x v="4"/>
    <s v="CUST2579"/>
    <x v="0"/>
    <n v="4"/>
    <n v="14290.91"/>
    <n v="57163.64"/>
    <x v="1"/>
    <x v="1"/>
  </r>
  <r>
    <x v="707"/>
    <s v="2025-05-07"/>
    <x v="4"/>
    <s v="CUST3084"/>
    <x v="4"/>
    <n v="4"/>
    <n v="32765.19"/>
    <n v="131060.76"/>
    <x v="0"/>
    <x v="0"/>
  </r>
  <r>
    <x v="708"/>
    <s v="2025-05-07"/>
    <x v="4"/>
    <s v="CUST1198"/>
    <x v="7"/>
    <n v="4"/>
    <n v="42592.25"/>
    <n v="170369"/>
    <x v="3"/>
    <x v="2"/>
  </r>
  <r>
    <x v="709"/>
    <s v="2025-05-07"/>
    <x v="4"/>
    <s v="CUST2040"/>
    <x v="4"/>
    <n v="2"/>
    <n v="11313.09"/>
    <n v="22626.18"/>
    <x v="0"/>
    <x v="2"/>
  </r>
  <r>
    <x v="710"/>
    <s v="2025-05-07"/>
    <x v="4"/>
    <s v="CUST3563"/>
    <x v="2"/>
    <n v="1"/>
    <n v="24825.040000000001"/>
    <n v="24825.040000000001"/>
    <x v="0"/>
    <x v="0"/>
  </r>
  <r>
    <x v="711"/>
    <s v="2025-05-07"/>
    <x v="4"/>
    <s v="CUST4695"/>
    <x v="1"/>
    <n v="2"/>
    <n v="49241.01"/>
    <n v="98482.02"/>
    <x v="3"/>
    <x v="0"/>
  </r>
  <r>
    <x v="712"/>
    <s v="2025-05-08"/>
    <x v="4"/>
    <s v="CUST6642"/>
    <x v="9"/>
    <n v="4"/>
    <n v="16491.599999999999"/>
    <n v="65966.399999999994"/>
    <x v="3"/>
    <x v="3"/>
  </r>
  <r>
    <x v="713"/>
    <s v="2025-05-08"/>
    <x v="4"/>
    <s v="CUST8650"/>
    <x v="0"/>
    <n v="2"/>
    <n v="19806.57"/>
    <n v="39613.14"/>
    <x v="2"/>
    <x v="3"/>
  </r>
  <r>
    <x v="714"/>
    <s v="2025-05-08"/>
    <x v="4"/>
    <s v="CUST6892"/>
    <x v="2"/>
    <n v="3"/>
    <n v="19261.09"/>
    <n v="57783.27"/>
    <x v="2"/>
    <x v="0"/>
  </r>
  <r>
    <x v="715"/>
    <s v="2025-05-09"/>
    <x v="4"/>
    <s v="CUST1535"/>
    <x v="7"/>
    <n v="2"/>
    <n v="3008.76"/>
    <n v="6017.52"/>
    <x v="0"/>
    <x v="3"/>
  </r>
  <r>
    <x v="716"/>
    <s v="2025-05-09"/>
    <x v="4"/>
    <s v="CUST6895"/>
    <x v="2"/>
    <n v="5"/>
    <n v="23912.65"/>
    <n v="119563.25"/>
    <x v="0"/>
    <x v="3"/>
  </r>
  <r>
    <x v="717"/>
    <s v="2025-05-09"/>
    <x v="4"/>
    <s v="CUST5881"/>
    <x v="5"/>
    <n v="3"/>
    <n v="27541.87"/>
    <n v="82625.61"/>
    <x v="2"/>
    <x v="2"/>
  </r>
  <r>
    <x v="718"/>
    <s v="2025-05-10"/>
    <x v="4"/>
    <s v="CUST9947"/>
    <x v="8"/>
    <n v="4"/>
    <n v="44009.32"/>
    <n v="176037.28"/>
    <x v="3"/>
    <x v="3"/>
  </r>
  <r>
    <x v="719"/>
    <s v="2025-05-10"/>
    <x v="4"/>
    <s v="CUST5499"/>
    <x v="2"/>
    <n v="1"/>
    <n v="22902.01"/>
    <n v="22902.01"/>
    <x v="3"/>
    <x v="3"/>
  </r>
  <r>
    <x v="720"/>
    <s v="2025-05-10"/>
    <x v="4"/>
    <s v="CUST3970"/>
    <x v="5"/>
    <n v="1"/>
    <n v="38627.879999999997"/>
    <n v="38627.879999999997"/>
    <x v="1"/>
    <x v="3"/>
  </r>
  <r>
    <x v="721"/>
    <s v="2025-05-10"/>
    <x v="4"/>
    <s v="CUST3750"/>
    <x v="5"/>
    <n v="4"/>
    <n v="28404.5"/>
    <n v="113618"/>
    <x v="3"/>
    <x v="2"/>
  </r>
  <r>
    <x v="722"/>
    <s v="2025-05-10"/>
    <x v="4"/>
    <s v="CUST1915"/>
    <x v="7"/>
    <n v="1"/>
    <n v="16895.060000000001"/>
    <n v="16895.060000000001"/>
    <x v="2"/>
    <x v="0"/>
  </r>
  <r>
    <x v="723"/>
    <s v="2025-05-10"/>
    <x v="4"/>
    <s v="CUST9750"/>
    <x v="2"/>
    <n v="3"/>
    <n v="39486.6"/>
    <n v="118459.8"/>
    <x v="3"/>
    <x v="1"/>
  </r>
  <r>
    <x v="724"/>
    <s v="2025-05-10"/>
    <x v="4"/>
    <s v="CUST7976"/>
    <x v="9"/>
    <n v="5"/>
    <n v="42584.24"/>
    <n v="212921.2"/>
    <x v="2"/>
    <x v="0"/>
  </r>
  <r>
    <x v="725"/>
    <s v="2025-05-11"/>
    <x v="4"/>
    <s v="CUST3419"/>
    <x v="3"/>
    <n v="2"/>
    <n v="22454.18"/>
    <n v="44908.36"/>
    <x v="0"/>
    <x v="0"/>
  </r>
  <r>
    <x v="726"/>
    <s v="2025-05-11"/>
    <x v="4"/>
    <s v="CUST7864"/>
    <x v="8"/>
    <n v="3"/>
    <n v="18240.509999999998"/>
    <n v="54721.53"/>
    <x v="2"/>
    <x v="0"/>
  </r>
  <r>
    <x v="727"/>
    <s v="2025-05-11"/>
    <x v="4"/>
    <s v="CUST7828"/>
    <x v="8"/>
    <n v="1"/>
    <n v="25508.11"/>
    <n v="25508.11"/>
    <x v="1"/>
    <x v="1"/>
  </r>
  <r>
    <x v="728"/>
    <s v="2025-05-11"/>
    <x v="4"/>
    <s v="CUST8195"/>
    <x v="7"/>
    <n v="4"/>
    <n v="27143.7"/>
    <n v="108574.8"/>
    <x v="0"/>
    <x v="2"/>
  </r>
  <r>
    <x v="729"/>
    <s v="2025-05-11"/>
    <x v="4"/>
    <s v="CUST1248"/>
    <x v="3"/>
    <n v="1"/>
    <n v="39319.620000000003"/>
    <n v="39319.620000000003"/>
    <x v="0"/>
    <x v="1"/>
  </r>
  <r>
    <x v="730"/>
    <s v="2025-05-11"/>
    <x v="4"/>
    <s v="CUST2478"/>
    <x v="7"/>
    <n v="1"/>
    <n v="49308.32"/>
    <n v="49308.32"/>
    <x v="1"/>
    <x v="3"/>
  </r>
  <r>
    <x v="731"/>
    <s v="2025-05-11"/>
    <x v="4"/>
    <s v="CUST8786"/>
    <x v="4"/>
    <n v="1"/>
    <n v="41942.07"/>
    <n v="41942.07"/>
    <x v="2"/>
    <x v="0"/>
  </r>
  <r>
    <x v="732"/>
    <s v="2025-05-11"/>
    <x v="4"/>
    <s v="CUST2732"/>
    <x v="4"/>
    <n v="3"/>
    <n v="32520.61"/>
    <n v="97561.83"/>
    <x v="2"/>
    <x v="0"/>
  </r>
  <r>
    <x v="733"/>
    <s v="2025-05-12"/>
    <x v="4"/>
    <s v="CUST9974"/>
    <x v="7"/>
    <n v="1"/>
    <n v="42192.7"/>
    <n v="42192.7"/>
    <x v="1"/>
    <x v="3"/>
  </r>
  <r>
    <x v="734"/>
    <s v="2025-05-12"/>
    <x v="4"/>
    <s v="CUST7573"/>
    <x v="5"/>
    <n v="2"/>
    <n v="23581.9"/>
    <n v="47163.8"/>
    <x v="0"/>
    <x v="1"/>
  </r>
  <r>
    <x v="735"/>
    <s v="2025-05-12"/>
    <x v="4"/>
    <s v="CUST4225"/>
    <x v="2"/>
    <n v="5"/>
    <n v="49840.95"/>
    <n v="249204.75"/>
    <x v="0"/>
    <x v="3"/>
  </r>
  <r>
    <x v="736"/>
    <s v="2025-05-12"/>
    <x v="4"/>
    <s v="CUST8249"/>
    <x v="7"/>
    <n v="3"/>
    <n v="34381.17"/>
    <n v="103143.51"/>
    <x v="2"/>
    <x v="3"/>
  </r>
  <r>
    <x v="737"/>
    <s v="2025-05-12"/>
    <x v="4"/>
    <s v="CUST1061"/>
    <x v="0"/>
    <n v="4"/>
    <n v="39757.78"/>
    <n v="159031.12"/>
    <x v="1"/>
    <x v="1"/>
  </r>
  <r>
    <x v="738"/>
    <s v="2025-05-13"/>
    <x v="4"/>
    <s v="CUST4059"/>
    <x v="1"/>
    <n v="4"/>
    <n v="32917.1"/>
    <n v="131668.4"/>
    <x v="0"/>
    <x v="3"/>
  </r>
  <r>
    <x v="739"/>
    <s v="2025-05-13"/>
    <x v="4"/>
    <s v="CUST2587"/>
    <x v="3"/>
    <n v="4"/>
    <n v="17844.78"/>
    <n v="71379.12"/>
    <x v="3"/>
    <x v="3"/>
  </r>
  <r>
    <x v="740"/>
    <s v="2025-05-13"/>
    <x v="4"/>
    <s v="CUST8160"/>
    <x v="7"/>
    <n v="1"/>
    <n v="34139.879999999997"/>
    <n v="34139.879999999997"/>
    <x v="2"/>
    <x v="0"/>
  </r>
  <r>
    <x v="741"/>
    <s v="2025-05-13"/>
    <x v="4"/>
    <s v="CUST9785"/>
    <x v="8"/>
    <n v="4"/>
    <n v="5196.16"/>
    <n v="20784.64"/>
    <x v="1"/>
    <x v="1"/>
  </r>
  <r>
    <x v="742"/>
    <s v="2025-05-13"/>
    <x v="4"/>
    <s v="CUST1760"/>
    <x v="7"/>
    <n v="4"/>
    <n v="6911.38"/>
    <n v="27645.52"/>
    <x v="2"/>
    <x v="3"/>
  </r>
  <r>
    <x v="743"/>
    <s v="2025-05-13"/>
    <x v="4"/>
    <s v="CUST2253"/>
    <x v="1"/>
    <n v="5"/>
    <n v="33749.49"/>
    <n v="168747.45"/>
    <x v="0"/>
    <x v="1"/>
  </r>
  <r>
    <x v="744"/>
    <s v="2025-05-14"/>
    <x v="4"/>
    <s v="CUST2388"/>
    <x v="8"/>
    <n v="5"/>
    <n v="19793.669999999998"/>
    <n v="98968.35"/>
    <x v="0"/>
    <x v="2"/>
  </r>
  <r>
    <x v="745"/>
    <s v="2025-05-14"/>
    <x v="4"/>
    <s v="CUST7506"/>
    <x v="3"/>
    <n v="4"/>
    <n v="33072.43"/>
    <n v="132289.72"/>
    <x v="3"/>
    <x v="1"/>
  </r>
  <r>
    <x v="746"/>
    <s v="2025-05-14"/>
    <x v="4"/>
    <s v="CUST8859"/>
    <x v="6"/>
    <n v="2"/>
    <n v="14934.36"/>
    <n v="29868.720000000001"/>
    <x v="3"/>
    <x v="2"/>
  </r>
  <r>
    <x v="747"/>
    <s v="2025-05-14"/>
    <x v="4"/>
    <s v="CUST5071"/>
    <x v="4"/>
    <n v="1"/>
    <n v="49025.36"/>
    <n v="49025.36"/>
    <x v="3"/>
    <x v="3"/>
  </r>
  <r>
    <x v="748"/>
    <s v="2025-05-15"/>
    <x v="4"/>
    <s v="CUST7895"/>
    <x v="8"/>
    <n v="3"/>
    <n v="39210.120000000003"/>
    <n v="117630.36"/>
    <x v="1"/>
    <x v="2"/>
  </r>
  <r>
    <x v="749"/>
    <s v="2025-05-15"/>
    <x v="4"/>
    <s v="CUST8827"/>
    <x v="5"/>
    <n v="3"/>
    <n v="12929.24"/>
    <n v="38787.72"/>
    <x v="1"/>
    <x v="1"/>
  </r>
  <r>
    <x v="750"/>
    <s v="2025-05-15"/>
    <x v="4"/>
    <s v="CUST6176"/>
    <x v="3"/>
    <n v="4"/>
    <n v="28660.73"/>
    <n v="114642.92"/>
    <x v="2"/>
    <x v="2"/>
  </r>
  <r>
    <x v="751"/>
    <s v="2025-05-15"/>
    <x v="4"/>
    <s v="CUST5685"/>
    <x v="7"/>
    <n v="1"/>
    <n v="33012.65"/>
    <n v="33012.65"/>
    <x v="0"/>
    <x v="3"/>
  </r>
  <r>
    <x v="752"/>
    <s v="2025-05-16"/>
    <x v="4"/>
    <s v="CUST6924"/>
    <x v="7"/>
    <n v="5"/>
    <n v="13975.18"/>
    <n v="69875.899999999994"/>
    <x v="1"/>
    <x v="1"/>
  </r>
  <r>
    <x v="753"/>
    <s v="2025-05-16"/>
    <x v="4"/>
    <s v="CUST8522"/>
    <x v="0"/>
    <n v="5"/>
    <n v="9371.15"/>
    <n v="46855.75"/>
    <x v="1"/>
    <x v="3"/>
  </r>
  <r>
    <x v="754"/>
    <s v="2025-05-16"/>
    <x v="4"/>
    <s v="CUST7986"/>
    <x v="8"/>
    <n v="1"/>
    <n v="25102.15"/>
    <n v="25102.15"/>
    <x v="0"/>
    <x v="0"/>
  </r>
  <r>
    <x v="755"/>
    <s v="2025-05-16"/>
    <x v="4"/>
    <s v="CUST3174"/>
    <x v="8"/>
    <n v="5"/>
    <n v="35882.410000000003"/>
    <n v="179412.05"/>
    <x v="0"/>
    <x v="3"/>
  </r>
  <r>
    <x v="756"/>
    <s v="2025-05-17"/>
    <x v="4"/>
    <s v="CUST7021"/>
    <x v="0"/>
    <n v="5"/>
    <n v="15224.96"/>
    <n v="76124.800000000003"/>
    <x v="3"/>
    <x v="0"/>
  </r>
  <r>
    <x v="757"/>
    <s v="2025-05-17"/>
    <x v="4"/>
    <s v="CUST6493"/>
    <x v="4"/>
    <n v="3"/>
    <n v="46350.93"/>
    <n v="139052.79"/>
    <x v="2"/>
    <x v="3"/>
  </r>
  <r>
    <x v="758"/>
    <s v="2025-05-17"/>
    <x v="4"/>
    <s v="CUST3953"/>
    <x v="9"/>
    <n v="1"/>
    <n v="42575.39"/>
    <n v="42575.39"/>
    <x v="3"/>
    <x v="1"/>
  </r>
  <r>
    <x v="759"/>
    <s v="2025-05-17"/>
    <x v="4"/>
    <s v="CUST7208"/>
    <x v="1"/>
    <n v="1"/>
    <n v="21869.79"/>
    <n v="21869.79"/>
    <x v="3"/>
    <x v="2"/>
  </r>
  <r>
    <x v="760"/>
    <s v="2025-05-17"/>
    <x v="4"/>
    <s v="CUST6571"/>
    <x v="6"/>
    <n v="2"/>
    <n v="13933.45"/>
    <n v="27866.9"/>
    <x v="2"/>
    <x v="1"/>
  </r>
  <r>
    <x v="761"/>
    <s v="2025-05-18"/>
    <x v="4"/>
    <s v="CUST2754"/>
    <x v="5"/>
    <n v="3"/>
    <n v="17539.95"/>
    <n v="52619.85"/>
    <x v="1"/>
    <x v="0"/>
  </r>
  <r>
    <x v="762"/>
    <s v="2025-05-18"/>
    <x v="4"/>
    <s v="CUST6615"/>
    <x v="0"/>
    <n v="1"/>
    <n v="13782.84"/>
    <n v="13782.84"/>
    <x v="1"/>
    <x v="1"/>
  </r>
  <r>
    <x v="763"/>
    <s v="2025-05-18"/>
    <x v="4"/>
    <s v="CUST5600"/>
    <x v="5"/>
    <n v="4"/>
    <n v="10089.67"/>
    <n v="40358.68"/>
    <x v="0"/>
    <x v="3"/>
  </r>
  <r>
    <x v="764"/>
    <s v="2025-05-18"/>
    <x v="4"/>
    <s v="CUST1383"/>
    <x v="3"/>
    <n v="5"/>
    <n v="9843.5300000000007"/>
    <n v="49217.65"/>
    <x v="1"/>
    <x v="3"/>
  </r>
  <r>
    <x v="765"/>
    <s v="2025-05-18"/>
    <x v="4"/>
    <s v="CUST8359"/>
    <x v="6"/>
    <n v="4"/>
    <n v="10966.14"/>
    <n v="43864.56"/>
    <x v="2"/>
    <x v="3"/>
  </r>
  <r>
    <x v="766"/>
    <s v="2025-05-18"/>
    <x v="4"/>
    <s v="CUST2950"/>
    <x v="6"/>
    <n v="1"/>
    <n v="9175.01"/>
    <n v="9175.01"/>
    <x v="0"/>
    <x v="0"/>
  </r>
  <r>
    <x v="767"/>
    <s v="2025-05-18"/>
    <x v="4"/>
    <s v="CUST6014"/>
    <x v="7"/>
    <n v="4"/>
    <n v="18660.82"/>
    <n v="74643.28"/>
    <x v="0"/>
    <x v="0"/>
  </r>
  <r>
    <x v="768"/>
    <s v="2025-05-19"/>
    <x v="4"/>
    <s v="CUST4732"/>
    <x v="7"/>
    <n v="1"/>
    <n v="10274.33"/>
    <n v="10274.33"/>
    <x v="3"/>
    <x v="0"/>
  </r>
  <r>
    <x v="769"/>
    <s v="2025-05-19"/>
    <x v="4"/>
    <s v="CUST4943"/>
    <x v="8"/>
    <n v="5"/>
    <n v="47138.52"/>
    <n v="235692.6"/>
    <x v="2"/>
    <x v="0"/>
  </r>
  <r>
    <x v="770"/>
    <s v="2025-05-19"/>
    <x v="4"/>
    <s v="CUST5918"/>
    <x v="7"/>
    <n v="5"/>
    <n v="38893.18"/>
    <n v="194465.9"/>
    <x v="3"/>
    <x v="2"/>
  </r>
  <r>
    <x v="771"/>
    <s v="2025-05-19"/>
    <x v="4"/>
    <s v="CUST3431"/>
    <x v="3"/>
    <n v="5"/>
    <n v="7315.31"/>
    <n v="36576.550000000003"/>
    <x v="2"/>
    <x v="3"/>
  </r>
  <r>
    <x v="772"/>
    <s v="2025-05-19"/>
    <x v="4"/>
    <s v="CUST4663"/>
    <x v="6"/>
    <n v="3"/>
    <n v="32464.28"/>
    <n v="97392.84"/>
    <x v="1"/>
    <x v="2"/>
  </r>
  <r>
    <x v="773"/>
    <s v="2025-05-19"/>
    <x v="4"/>
    <s v="CUST9896"/>
    <x v="4"/>
    <n v="4"/>
    <n v="39132.39"/>
    <n v="156529.56"/>
    <x v="2"/>
    <x v="3"/>
  </r>
  <r>
    <x v="774"/>
    <s v="2025-05-20"/>
    <x v="4"/>
    <s v="CUST2585"/>
    <x v="2"/>
    <n v="2"/>
    <n v="26681.89"/>
    <n v="53363.78"/>
    <x v="2"/>
    <x v="0"/>
  </r>
  <r>
    <x v="775"/>
    <s v="2025-05-20"/>
    <x v="4"/>
    <s v="CUST7054"/>
    <x v="3"/>
    <n v="5"/>
    <n v="31510.5"/>
    <n v="157552.5"/>
    <x v="2"/>
    <x v="1"/>
  </r>
  <r>
    <x v="776"/>
    <s v="2025-05-20"/>
    <x v="4"/>
    <s v="CUST9398"/>
    <x v="2"/>
    <n v="5"/>
    <n v="45502.86"/>
    <n v="227514.3"/>
    <x v="3"/>
    <x v="0"/>
  </r>
  <r>
    <x v="777"/>
    <s v="2025-05-20"/>
    <x v="4"/>
    <s v="CUST7778"/>
    <x v="2"/>
    <n v="4"/>
    <n v="12248.24"/>
    <n v="48992.959999999999"/>
    <x v="3"/>
    <x v="2"/>
  </r>
  <r>
    <x v="778"/>
    <s v="2025-05-21"/>
    <x v="4"/>
    <s v="CUST9890"/>
    <x v="4"/>
    <n v="1"/>
    <n v="21550.67"/>
    <n v="21550.67"/>
    <x v="2"/>
    <x v="3"/>
  </r>
  <r>
    <x v="779"/>
    <s v="2025-05-21"/>
    <x v="4"/>
    <s v="CUST9234"/>
    <x v="3"/>
    <n v="4"/>
    <n v="20539.72"/>
    <n v="82158.880000000005"/>
    <x v="2"/>
    <x v="2"/>
  </r>
  <r>
    <x v="780"/>
    <s v="2025-05-21"/>
    <x v="4"/>
    <s v="CUST5298"/>
    <x v="7"/>
    <n v="3"/>
    <n v="6549.41"/>
    <n v="19648.23"/>
    <x v="1"/>
    <x v="1"/>
  </r>
  <r>
    <x v="781"/>
    <s v="2025-05-22"/>
    <x v="4"/>
    <s v="CUST7555"/>
    <x v="8"/>
    <n v="2"/>
    <n v="32915.300000000003"/>
    <n v="65830.600000000006"/>
    <x v="3"/>
    <x v="0"/>
  </r>
  <r>
    <x v="782"/>
    <s v="2025-05-22"/>
    <x v="4"/>
    <s v="CUST7678"/>
    <x v="8"/>
    <n v="1"/>
    <n v="14266.31"/>
    <n v="14266.31"/>
    <x v="1"/>
    <x v="2"/>
  </r>
  <r>
    <x v="783"/>
    <s v="2025-05-22"/>
    <x v="4"/>
    <s v="CUST3579"/>
    <x v="2"/>
    <n v="5"/>
    <n v="19608.77"/>
    <n v="98043.85"/>
    <x v="2"/>
    <x v="0"/>
  </r>
  <r>
    <x v="784"/>
    <s v="2025-05-22"/>
    <x v="4"/>
    <s v="CUST5243"/>
    <x v="4"/>
    <n v="5"/>
    <n v="11557.32"/>
    <n v="57786.6"/>
    <x v="0"/>
    <x v="0"/>
  </r>
  <r>
    <x v="785"/>
    <s v="2025-05-22"/>
    <x v="4"/>
    <s v="CUST5511"/>
    <x v="0"/>
    <n v="3"/>
    <n v="39039.279999999999"/>
    <n v="117117.84"/>
    <x v="3"/>
    <x v="1"/>
  </r>
  <r>
    <x v="786"/>
    <s v="2025-05-23"/>
    <x v="4"/>
    <s v="CUST8425"/>
    <x v="9"/>
    <n v="4"/>
    <n v="4366.49"/>
    <n v="17465.96"/>
    <x v="0"/>
    <x v="0"/>
  </r>
  <r>
    <x v="787"/>
    <s v="2025-05-23"/>
    <x v="4"/>
    <s v="CUST3961"/>
    <x v="2"/>
    <n v="4"/>
    <n v="13244.24"/>
    <n v="52976.959999999999"/>
    <x v="2"/>
    <x v="3"/>
  </r>
  <r>
    <x v="788"/>
    <s v="2025-05-23"/>
    <x v="4"/>
    <s v="CUST1877"/>
    <x v="6"/>
    <n v="4"/>
    <n v="23980.49"/>
    <n v="95921.96"/>
    <x v="2"/>
    <x v="3"/>
  </r>
  <r>
    <x v="789"/>
    <s v="2025-05-23"/>
    <x v="4"/>
    <s v="CUST4975"/>
    <x v="0"/>
    <n v="1"/>
    <n v="46105.120000000003"/>
    <n v="46105.120000000003"/>
    <x v="3"/>
    <x v="0"/>
  </r>
  <r>
    <x v="790"/>
    <s v="2025-05-23"/>
    <x v="4"/>
    <s v="CUST4891"/>
    <x v="0"/>
    <n v="3"/>
    <n v="4354.0600000000004"/>
    <n v="13062.18"/>
    <x v="3"/>
    <x v="2"/>
  </r>
  <r>
    <x v="791"/>
    <s v="2025-05-24"/>
    <x v="4"/>
    <s v="CUST7956"/>
    <x v="8"/>
    <n v="4"/>
    <n v="18366.16"/>
    <n v="73464.639999999999"/>
    <x v="2"/>
    <x v="0"/>
  </r>
  <r>
    <x v="792"/>
    <s v="2025-05-24"/>
    <x v="4"/>
    <s v="CUST3310"/>
    <x v="3"/>
    <n v="5"/>
    <n v="724.67"/>
    <n v="3623.35"/>
    <x v="3"/>
    <x v="3"/>
  </r>
  <r>
    <x v="793"/>
    <s v="2025-05-24"/>
    <x v="4"/>
    <s v="CUST4832"/>
    <x v="6"/>
    <n v="5"/>
    <n v="41088.120000000003"/>
    <n v="205440.6"/>
    <x v="0"/>
    <x v="2"/>
  </r>
  <r>
    <x v="794"/>
    <s v="2025-05-25"/>
    <x v="4"/>
    <s v="CUST8498"/>
    <x v="8"/>
    <n v="4"/>
    <n v="15796.61"/>
    <n v="63186.44"/>
    <x v="0"/>
    <x v="1"/>
  </r>
  <r>
    <x v="795"/>
    <s v="2025-05-25"/>
    <x v="4"/>
    <s v="CUST2829"/>
    <x v="9"/>
    <n v="5"/>
    <n v="41957.69"/>
    <n v="209788.45"/>
    <x v="0"/>
    <x v="3"/>
  </r>
  <r>
    <x v="796"/>
    <s v="2025-05-25"/>
    <x v="4"/>
    <s v="CUST9894"/>
    <x v="6"/>
    <n v="5"/>
    <n v="29539.72"/>
    <n v="147698.6"/>
    <x v="0"/>
    <x v="3"/>
  </r>
  <r>
    <x v="797"/>
    <s v="2025-05-25"/>
    <x v="4"/>
    <s v="CUST9071"/>
    <x v="5"/>
    <n v="4"/>
    <n v="6382.11"/>
    <n v="25528.44"/>
    <x v="0"/>
    <x v="2"/>
  </r>
  <r>
    <x v="798"/>
    <s v="2025-05-25"/>
    <x v="4"/>
    <s v="CUST2728"/>
    <x v="4"/>
    <n v="1"/>
    <n v="21896.99"/>
    <n v="21896.99"/>
    <x v="0"/>
    <x v="3"/>
  </r>
  <r>
    <x v="799"/>
    <s v="2025-05-26"/>
    <x v="4"/>
    <s v="CUST7197"/>
    <x v="1"/>
    <n v="4"/>
    <n v="33915.120000000003"/>
    <n v="135660.48000000001"/>
    <x v="1"/>
    <x v="2"/>
  </r>
  <r>
    <x v="800"/>
    <s v="2025-05-26"/>
    <x v="4"/>
    <s v="CUST5593"/>
    <x v="0"/>
    <n v="1"/>
    <n v="12613.97"/>
    <n v="12613.97"/>
    <x v="0"/>
    <x v="3"/>
  </r>
  <r>
    <x v="801"/>
    <s v="2025-05-26"/>
    <x v="4"/>
    <s v="CUST8403"/>
    <x v="2"/>
    <n v="5"/>
    <n v="9061.43"/>
    <n v="45307.15"/>
    <x v="2"/>
    <x v="0"/>
  </r>
  <r>
    <x v="802"/>
    <s v="2025-05-26"/>
    <x v="4"/>
    <s v="CUST7822"/>
    <x v="3"/>
    <n v="2"/>
    <n v="40485.39"/>
    <n v="80970.78"/>
    <x v="0"/>
    <x v="3"/>
  </r>
  <r>
    <x v="803"/>
    <s v="2025-05-26"/>
    <x v="4"/>
    <s v="CUST1099"/>
    <x v="6"/>
    <n v="3"/>
    <n v="21155.35"/>
    <n v="63466.05"/>
    <x v="3"/>
    <x v="0"/>
  </r>
  <r>
    <x v="804"/>
    <s v="2025-05-26"/>
    <x v="4"/>
    <s v="CUST8398"/>
    <x v="7"/>
    <n v="1"/>
    <n v="37906.01"/>
    <n v="37906.01"/>
    <x v="0"/>
    <x v="2"/>
  </r>
  <r>
    <x v="805"/>
    <s v="2025-05-26"/>
    <x v="4"/>
    <s v="CUST2115"/>
    <x v="3"/>
    <n v="5"/>
    <n v="23563.48"/>
    <n v="117817.4"/>
    <x v="3"/>
    <x v="2"/>
  </r>
  <r>
    <x v="806"/>
    <s v="2025-05-26"/>
    <x v="4"/>
    <s v="CUST3396"/>
    <x v="3"/>
    <n v="4"/>
    <n v="12667.23"/>
    <n v="50668.92"/>
    <x v="2"/>
    <x v="0"/>
  </r>
  <r>
    <x v="807"/>
    <s v="2025-05-27"/>
    <x v="4"/>
    <s v="CUST1726"/>
    <x v="7"/>
    <n v="2"/>
    <n v="14936.22"/>
    <n v="29872.44"/>
    <x v="2"/>
    <x v="3"/>
  </r>
  <r>
    <x v="808"/>
    <s v="2025-05-27"/>
    <x v="4"/>
    <s v="CUST4807"/>
    <x v="2"/>
    <n v="5"/>
    <n v="20747.439999999999"/>
    <n v="103737.2"/>
    <x v="0"/>
    <x v="2"/>
  </r>
  <r>
    <x v="809"/>
    <s v="2025-05-27"/>
    <x v="4"/>
    <s v="CUST3772"/>
    <x v="9"/>
    <n v="3"/>
    <n v="29545.7"/>
    <n v="88637.1"/>
    <x v="1"/>
    <x v="0"/>
  </r>
  <r>
    <x v="810"/>
    <s v="2025-05-27"/>
    <x v="4"/>
    <s v="CUST3723"/>
    <x v="5"/>
    <n v="4"/>
    <n v="49924.07"/>
    <n v="199696.28"/>
    <x v="3"/>
    <x v="2"/>
  </r>
  <r>
    <x v="811"/>
    <s v="2025-05-27"/>
    <x v="4"/>
    <s v="CUST2882"/>
    <x v="1"/>
    <n v="1"/>
    <n v="37035.53"/>
    <n v="37035.53"/>
    <x v="3"/>
    <x v="0"/>
  </r>
  <r>
    <x v="812"/>
    <s v="2025-05-27"/>
    <x v="4"/>
    <s v="CUST5212"/>
    <x v="3"/>
    <n v="2"/>
    <n v="16047.27"/>
    <n v="32094.54"/>
    <x v="2"/>
    <x v="2"/>
  </r>
  <r>
    <x v="813"/>
    <s v="2025-05-27"/>
    <x v="4"/>
    <s v="CUST5830"/>
    <x v="2"/>
    <n v="3"/>
    <n v="27033.53"/>
    <n v="81100.59"/>
    <x v="1"/>
    <x v="3"/>
  </r>
  <r>
    <x v="814"/>
    <s v="2025-05-27"/>
    <x v="4"/>
    <s v="CUST5405"/>
    <x v="0"/>
    <n v="2"/>
    <n v="11404.34"/>
    <n v="22808.68"/>
    <x v="3"/>
    <x v="2"/>
  </r>
  <r>
    <x v="815"/>
    <s v="2025-05-28"/>
    <x v="4"/>
    <s v="CUST3841"/>
    <x v="6"/>
    <n v="4"/>
    <n v="20519.62"/>
    <n v="82078.48"/>
    <x v="2"/>
    <x v="2"/>
  </r>
  <r>
    <x v="816"/>
    <s v="2025-05-28"/>
    <x v="4"/>
    <s v="CUST7131"/>
    <x v="4"/>
    <n v="2"/>
    <n v="43366.1"/>
    <n v="86732.2"/>
    <x v="1"/>
    <x v="2"/>
  </r>
  <r>
    <x v="817"/>
    <s v="2025-05-28"/>
    <x v="4"/>
    <s v="CUST6906"/>
    <x v="9"/>
    <n v="2"/>
    <n v="42793.14"/>
    <n v="85586.28"/>
    <x v="2"/>
    <x v="1"/>
  </r>
  <r>
    <x v="818"/>
    <s v="2025-05-28"/>
    <x v="4"/>
    <s v="CUST2651"/>
    <x v="2"/>
    <n v="1"/>
    <n v="47512.74"/>
    <n v="47512.74"/>
    <x v="3"/>
    <x v="1"/>
  </r>
  <r>
    <x v="819"/>
    <s v="2025-05-28"/>
    <x v="4"/>
    <s v="CUST1950"/>
    <x v="4"/>
    <n v="2"/>
    <n v="24834.27"/>
    <n v="49668.54"/>
    <x v="3"/>
    <x v="0"/>
  </r>
  <r>
    <x v="820"/>
    <s v="2025-05-28"/>
    <x v="4"/>
    <s v="CUST4841"/>
    <x v="4"/>
    <n v="2"/>
    <n v="21095.16"/>
    <n v="42190.32"/>
    <x v="1"/>
    <x v="0"/>
  </r>
  <r>
    <x v="821"/>
    <s v="2025-05-29"/>
    <x v="4"/>
    <s v="CUST5442"/>
    <x v="8"/>
    <n v="1"/>
    <n v="48204.2"/>
    <n v="48204.2"/>
    <x v="0"/>
    <x v="1"/>
  </r>
  <r>
    <x v="822"/>
    <s v="2025-05-29"/>
    <x v="4"/>
    <s v="CUST1130"/>
    <x v="3"/>
    <n v="5"/>
    <n v="24136.33"/>
    <n v="120681.65"/>
    <x v="2"/>
    <x v="0"/>
  </r>
  <r>
    <x v="823"/>
    <s v="2025-05-29"/>
    <x v="4"/>
    <s v="CUST9627"/>
    <x v="7"/>
    <n v="5"/>
    <n v="24442.720000000001"/>
    <n v="122213.6"/>
    <x v="2"/>
    <x v="3"/>
  </r>
  <r>
    <x v="824"/>
    <s v="2025-05-29"/>
    <x v="4"/>
    <s v="CUST5382"/>
    <x v="0"/>
    <n v="2"/>
    <n v="17326.84"/>
    <n v="34653.68"/>
    <x v="1"/>
    <x v="2"/>
  </r>
  <r>
    <x v="825"/>
    <s v="2025-05-29"/>
    <x v="4"/>
    <s v="CUST8834"/>
    <x v="8"/>
    <n v="3"/>
    <n v="37623.68"/>
    <n v="112871.03999999999"/>
    <x v="3"/>
    <x v="2"/>
  </r>
  <r>
    <x v="826"/>
    <s v="2025-05-29"/>
    <x v="4"/>
    <s v="CUST3782"/>
    <x v="3"/>
    <n v="4"/>
    <n v="35841.82"/>
    <n v="143367.28"/>
    <x v="0"/>
    <x v="0"/>
  </r>
  <r>
    <x v="827"/>
    <s v="2025-05-30"/>
    <x v="4"/>
    <s v="CUST7928"/>
    <x v="1"/>
    <n v="3"/>
    <n v="8394.94"/>
    <n v="25184.82"/>
    <x v="3"/>
    <x v="2"/>
  </r>
  <r>
    <x v="828"/>
    <s v="2025-05-30"/>
    <x v="4"/>
    <s v="CUST8451"/>
    <x v="7"/>
    <n v="5"/>
    <n v="39113.949999999997"/>
    <n v="195569.75"/>
    <x v="3"/>
    <x v="1"/>
  </r>
  <r>
    <x v="829"/>
    <s v="2025-05-30"/>
    <x v="4"/>
    <s v="CUST9008"/>
    <x v="8"/>
    <n v="1"/>
    <n v="2165.96"/>
    <n v="2165.96"/>
    <x v="1"/>
    <x v="2"/>
  </r>
  <r>
    <x v="830"/>
    <s v="2025-05-30"/>
    <x v="4"/>
    <s v="CUST6836"/>
    <x v="5"/>
    <n v="1"/>
    <n v="45456.22"/>
    <n v="45456.22"/>
    <x v="1"/>
    <x v="3"/>
  </r>
  <r>
    <x v="831"/>
    <s v="2025-05-30"/>
    <x v="4"/>
    <s v="CUST2868"/>
    <x v="9"/>
    <n v="3"/>
    <n v="37836.269999999997"/>
    <n v="113508.81"/>
    <x v="2"/>
    <x v="1"/>
  </r>
  <r>
    <x v="832"/>
    <s v="2025-05-31"/>
    <x v="4"/>
    <s v="CUST1694"/>
    <x v="9"/>
    <n v="3"/>
    <n v="49473.56"/>
    <n v="148420.68"/>
    <x v="0"/>
    <x v="3"/>
  </r>
  <r>
    <x v="833"/>
    <s v="2025-05-31"/>
    <x v="4"/>
    <s v="CUST7065"/>
    <x v="0"/>
    <n v="2"/>
    <n v="18836.25"/>
    <n v="37672.5"/>
    <x v="0"/>
    <x v="0"/>
  </r>
  <r>
    <x v="834"/>
    <s v="2025-05-31"/>
    <x v="4"/>
    <s v="CUST2471"/>
    <x v="9"/>
    <n v="2"/>
    <n v="20665.87"/>
    <n v="41331.74"/>
    <x v="1"/>
    <x v="2"/>
  </r>
  <r>
    <x v="835"/>
    <s v="2025-05-31"/>
    <x v="4"/>
    <s v="CUST2723"/>
    <x v="3"/>
    <n v="5"/>
    <n v="21326.54"/>
    <n v="106632.7"/>
    <x v="1"/>
    <x v="3"/>
  </r>
  <r>
    <x v="836"/>
    <s v="2025-05-31"/>
    <x v="4"/>
    <s v="CUST6869"/>
    <x v="7"/>
    <n v="3"/>
    <n v="32108.67"/>
    <n v="96326.01"/>
    <x v="3"/>
    <x v="0"/>
  </r>
  <r>
    <x v="837"/>
    <s v="2025-06-01"/>
    <x v="5"/>
    <s v="CUST6316"/>
    <x v="2"/>
    <n v="3"/>
    <n v="44253.04"/>
    <n v="132759.12"/>
    <x v="1"/>
    <x v="3"/>
  </r>
  <r>
    <x v="838"/>
    <s v="2025-06-01"/>
    <x v="5"/>
    <s v="CUST3792"/>
    <x v="8"/>
    <n v="2"/>
    <n v="724.48"/>
    <n v="1448.96"/>
    <x v="1"/>
    <x v="0"/>
  </r>
  <r>
    <x v="839"/>
    <s v="2025-06-01"/>
    <x v="5"/>
    <s v="CUST1576"/>
    <x v="7"/>
    <n v="1"/>
    <n v="32222.78"/>
    <n v="32222.78"/>
    <x v="2"/>
    <x v="1"/>
  </r>
  <r>
    <x v="840"/>
    <s v="2025-06-01"/>
    <x v="5"/>
    <s v="CUST2299"/>
    <x v="8"/>
    <n v="1"/>
    <n v="18872.099999999999"/>
    <n v="18872.099999999999"/>
    <x v="2"/>
    <x v="0"/>
  </r>
  <r>
    <x v="841"/>
    <s v="2025-06-01"/>
    <x v="5"/>
    <s v="CUST7711"/>
    <x v="0"/>
    <n v="1"/>
    <n v="38176.1"/>
    <n v="38176.1"/>
    <x v="0"/>
    <x v="2"/>
  </r>
  <r>
    <x v="842"/>
    <s v="2025-06-01"/>
    <x v="5"/>
    <s v="CUST2282"/>
    <x v="0"/>
    <n v="2"/>
    <n v="14526.63"/>
    <n v="29053.26"/>
    <x v="3"/>
    <x v="3"/>
  </r>
  <r>
    <x v="843"/>
    <s v="2025-06-02"/>
    <x v="5"/>
    <s v="CUST4329"/>
    <x v="9"/>
    <n v="1"/>
    <n v="43978.86"/>
    <n v="43978.86"/>
    <x v="1"/>
    <x v="2"/>
  </r>
  <r>
    <x v="844"/>
    <s v="2025-06-02"/>
    <x v="5"/>
    <s v="CUST9360"/>
    <x v="5"/>
    <n v="4"/>
    <n v="36887.74"/>
    <n v="147550.96"/>
    <x v="1"/>
    <x v="2"/>
  </r>
  <r>
    <x v="845"/>
    <s v="2025-06-02"/>
    <x v="5"/>
    <s v="CUST9786"/>
    <x v="4"/>
    <n v="2"/>
    <n v="20804.240000000002"/>
    <n v="41608.480000000003"/>
    <x v="0"/>
    <x v="0"/>
  </r>
  <r>
    <x v="846"/>
    <s v="2025-06-02"/>
    <x v="5"/>
    <s v="CUST5066"/>
    <x v="1"/>
    <n v="3"/>
    <n v="21361.09"/>
    <n v="64083.27"/>
    <x v="2"/>
    <x v="2"/>
  </r>
  <r>
    <x v="847"/>
    <s v="2025-06-02"/>
    <x v="5"/>
    <s v="CUST9407"/>
    <x v="3"/>
    <n v="2"/>
    <n v="11959.41"/>
    <n v="23918.82"/>
    <x v="1"/>
    <x v="3"/>
  </r>
  <r>
    <x v="848"/>
    <s v="2025-06-02"/>
    <x v="5"/>
    <s v="CUST4138"/>
    <x v="3"/>
    <n v="3"/>
    <n v="7824.27"/>
    <n v="23472.81"/>
    <x v="1"/>
    <x v="2"/>
  </r>
  <r>
    <x v="849"/>
    <s v="2025-06-02"/>
    <x v="5"/>
    <s v="CUST9165"/>
    <x v="6"/>
    <n v="1"/>
    <n v="911.54"/>
    <n v="911.54"/>
    <x v="1"/>
    <x v="2"/>
  </r>
  <r>
    <x v="850"/>
    <s v="2025-06-03"/>
    <x v="5"/>
    <s v="CUST6843"/>
    <x v="4"/>
    <n v="3"/>
    <n v="24432.33"/>
    <n v="73296.990000000005"/>
    <x v="2"/>
    <x v="0"/>
  </r>
  <r>
    <x v="851"/>
    <s v="2025-06-03"/>
    <x v="5"/>
    <s v="CUST7823"/>
    <x v="9"/>
    <n v="5"/>
    <n v="43653.53"/>
    <n v="218267.65"/>
    <x v="0"/>
    <x v="0"/>
  </r>
  <r>
    <x v="852"/>
    <s v="2025-06-03"/>
    <x v="5"/>
    <s v="CUST7526"/>
    <x v="3"/>
    <n v="2"/>
    <n v="17871.95"/>
    <n v="35743.9"/>
    <x v="1"/>
    <x v="0"/>
  </r>
  <r>
    <x v="853"/>
    <s v="2025-06-03"/>
    <x v="5"/>
    <s v="CUST1637"/>
    <x v="7"/>
    <n v="5"/>
    <n v="46314"/>
    <n v="231570"/>
    <x v="1"/>
    <x v="2"/>
  </r>
  <r>
    <x v="854"/>
    <s v="2025-06-03"/>
    <x v="5"/>
    <s v="CUST2369"/>
    <x v="1"/>
    <n v="4"/>
    <n v="30537.68"/>
    <n v="122150.72"/>
    <x v="1"/>
    <x v="3"/>
  </r>
  <r>
    <x v="855"/>
    <s v="2025-06-04"/>
    <x v="5"/>
    <s v="CUST2509"/>
    <x v="8"/>
    <n v="5"/>
    <n v="9459.66"/>
    <n v="47298.3"/>
    <x v="1"/>
    <x v="0"/>
  </r>
  <r>
    <x v="856"/>
    <s v="2025-06-04"/>
    <x v="5"/>
    <s v="CUST1959"/>
    <x v="9"/>
    <n v="4"/>
    <n v="20100.740000000002"/>
    <n v="80402.960000000006"/>
    <x v="2"/>
    <x v="1"/>
  </r>
  <r>
    <x v="857"/>
    <s v="2025-06-04"/>
    <x v="5"/>
    <s v="CUST9774"/>
    <x v="0"/>
    <n v="2"/>
    <n v="33600.199999999997"/>
    <n v="67200.399999999994"/>
    <x v="0"/>
    <x v="0"/>
  </r>
  <r>
    <x v="858"/>
    <s v="2025-06-04"/>
    <x v="5"/>
    <s v="CUST6988"/>
    <x v="8"/>
    <n v="3"/>
    <n v="3870.18"/>
    <n v="11610.54"/>
    <x v="0"/>
    <x v="1"/>
  </r>
  <r>
    <x v="859"/>
    <s v="2025-06-04"/>
    <x v="5"/>
    <s v="CUST8756"/>
    <x v="3"/>
    <n v="1"/>
    <n v="39797.49"/>
    <n v="39797.49"/>
    <x v="2"/>
    <x v="1"/>
  </r>
  <r>
    <x v="860"/>
    <s v="2025-06-04"/>
    <x v="5"/>
    <s v="CUST3950"/>
    <x v="3"/>
    <n v="3"/>
    <n v="23600.1"/>
    <n v="70800.3"/>
    <x v="1"/>
    <x v="2"/>
  </r>
  <r>
    <x v="861"/>
    <s v="2025-06-04"/>
    <x v="5"/>
    <s v="CUST9154"/>
    <x v="3"/>
    <n v="5"/>
    <n v="9860.0499999999993"/>
    <n v="49300.25"/>
    <x v="1"/>
    <x v="0"/>
  </r>
  <r>
    <x v="862"/>
    <s v="2025-06-05"/>
    <x v="5"/>
    <s v="CUST9780"/>
    <x v="0"/>
    <n v="3"/>
    <n v="22362.89"/>
    <n v="67088.67"/>
    <x v="1"/>
    <x v="1"/>
  </r>
  <r>
    <x v="863"/>
    <s v="2025-06-05"/>
    <x v="5"/>
    <s v="CUST9366"/>
    <x v="6"/>
    <n v="2"/>
    <n v="37886.81"/>
    <n v="75773.62"/>
    <x v="1"/>
    <x v="2"/>
  </r>
  <r>
    <x v="864"/>
    <s v="2025-06-05"/>
    <x v="5"/>
    <s v="CUST5607"/>
    <x v="7"/>
    <n v="4"/>
    <n v="15193.71"/>
    <n v="60774.84"/>
    <x v="0"/>
    <x v="3"/>
  </r>
  <r>
    <x v="865"/>
    <s v="2025-06-05"/>
    <x v="5"/>
    <s v="CUST8050"/>
    <x v="6"/>
    <n v="4"/>
    <n v="47240.86"/>
    <n v="188963.44"/>
    <x v="3"/>
    <x v="0"/>
  </r>
  <r>
    <x v="866"/>
    <s v="2025-06-06"/>
    <x v="5"/>
    <s v="CUST9833"/>
    <x v="7"/>
    <n v="1"/>
    <n v="2801.89"/>
    <n v="2801.89"/>
    <x v="1"/>
    <x v="0"/>
  </r>
  <r>
    <x v="867"/>
    <s v="2025-06-06"/>
    <x v="5"/>
    <s v="CUST3634"/>
    <x v="9"/>
    <n v="1"/>
    <n v="34583.4"/>
    <n v="34583.4"/>
    <x v="1"/>
    <x v="3"/>
  </r>
  <r>
    <x v="868"/>
    <s v="2025-06-06"/>
    <x v="5"/>
    <s v="CUST9889"/>
    <x v="1"/>
    <n v="1"/>
    <n v="13429.83"/>
    <n v="13429.83"/>
    <x v="2"/>
    <x v="1"/>
  </r>
  <r>
    <x v="869"/>
    <s v="2025-06-06"/>
    <x v="5"/>
    <s v="CUST9618"/>
    <x v="5"/>
    <n v="1"/>
    <n v="47315.68"/>
    <n v="47315.68"/>
    <x v="2"/>
    <x v="3"/>
  </r>
  <r>
    <x v="870"/>
    <s v="2025-06-06"/>
    <x v="5"/>
    <s v="CUST5053"/>
    <x v="7"/>
    <n v="5"/>
    <n v="5905.8"/>
    <n v="29529"/>
    <x v="1"/>
    <x v="2"/>
  </r>
  <r>
    <x v="871"/>
    <s v="2025-06-06"/>
    <x v="5"/>
    <s v="CUST6194"/>
    <x v="2"/>
    <n v="1"/>
    <n v="36989.33"/>
    <n v="36989.33"/>
    <x v="1"/>
    <x v="3"/>
  </r>
  <r>
    <x v="872"/>
    <s v="2025-06-07"/>
    <x v="5"/>
    <s v="CUST6011"/>
    <x v="9"/>
    <n v="2"/>
    <n v="22575.599999999999"/>
    <n v="45151.199999999997"/>
    <x v="0"/>
    <x v="2"/>
  </r>
  <r>
    <x v="873"/>
    <s v="2025-06-07"/>
    <x v="5"/>
    <s v="CUST1483"/>
    <x v="4"/>
    <n v="2"/>
    <n v="13051.18"/>
    <n v="26102.36"/>
    <x v="2"/>
    <x v="3"/>
  </r>
  <r>
    <x v="874"/>
    <s v="2025-06-07"/>
    <x v="5"/>
    <s v="CUST2948"/>
    <x v="5"/>
    <n v="1"/>
    <n v="45159.11"/>
    <n v="45159.11"/>
    <x v="2"/>
    <x v="2"/>
  </r>
  <r>
    <x v="875"/>
    <s v="2025-06-07"/>
    <x v="5"/>
    <s v="CUST4474"/>
    <x v="6"/>
    <n v="3"/>
    <n v="6977.37"/>
    <n v="20932.11"/>
    <x v="1"/>
    <x v="1"/>
  </r>
  <r>
    <x v="876"/>
    <s v="2025-06-07"/>
    <x v="5"/>
    <s v="CUST8145"/>
    <x v="3"/>
    <n v="4"/>
    <n v="6747.58"/>
    <n v="26990.32"/>
    <x v="3"/>
    <x v="1"/>
  </r>
  <r>
    <x v="877"/>
    <s v="2025-06-07"/>
    <x v="5"/>
    <s v="CUST8040"/>
    <x v="9"/>
    <n v="4"/>
    <n v="32576.29"/>
    <n v="130305.16"/>
    <x v="3"/>
    <x v="0"/>
  </r>
  <r>
    <x v="878"/>
    <s v="2025-06-07"/>
    <x v="5"/>
    <s v="CUST4151"/>
    <x v="3"/>
    <n v="3"/>
    <n v="31211.34"/>
    <n v="93634.02"/>
    <x v="0"/>
    <x v="0"/>
  </r>
  <r>
    <x v="879"/>
    <s v="2025-06-08"/>
    <x v="5"/>
    <s v="CUST1827"/>
    <x v="1"/>
    <n v="4"/>
    <n v="48790.22"/>
    <n v="195160.88"/>
    <x v="0"/>
    <x v="2"/>
  </r>
  <r>
    <x v="880"/>
    <s v="2025-06-08"/>
    <x v="5"/>
    <s v="CUST4662"/>
    <x v="4"/>
    <n v="2"/>
    <n v="9849.07"/>
    <n v="19698.14"/>
    <x v="3"/>
    <x v="1"/>
  </r>
  <r>
    <x v="881"/>
    <s v="2025-06-08"/>
    <x v="5"/>
    <s v="CUST4795"/>
    <x v="2"/>
    <n v="2"/>
    <n v="24406.06"/>
    <n v="48812.12"/>
    <x v="1"/>
    <x v="3"/>
  </r>
  <r>
    <x v="882"/>
    <s v="2025-06-08"/>
    <x v="5"/>
    <s v="CUST3294"/>
    <x v="4"/>
    <n v="5"/>
    <n v="36289.21"/>
    <n v="181446.05"/>
    <x v="0"/>
    <x v="0"/>
  </r>
  <r>
    <x v="883"/>
    <s v="2025-06-08"/>
    <x v="5"/>
    <s v="CUST3183"/>
    <x v="8"/>
    <n v="5"/>
    <n v="45155.01"/>
    <n v="225775.05"/>
    <x v="1"/>
    <x v="3"/>
  </r>
  <r>
    <x v="884"/>
    <s v="2025-06-09"/>
    <x v="5"/>
    <s v="CUST9149"/>
    <x v="8"/>
    <n v="3"/>
    <n v="33133.5"/>
    <n v="99400.5"/>
    <x v="2"/>
    <x v="1"/>
  </r>
  <r>
    <x v="885"/>
    <s v="2025-06-09"/>
    <x v="5"/>
    <s v="CUST8682"/>
    <x v="1"/>
    <n v="1"/>
    <n v="2803.47"/>
    <n v="2803.47"/>
    <x v="3"/>
    <x v="0"/>
  </r>
  <r>
    <x v="886"/>
    <s v="2025-06-09"/>
    <x v="5"/>
    <s v="CUST6429"/>
    <x v="9"/>
    <n v="5"/>
    <n v="21095.59"/>
    <n v="105477.95"/>
    <x v="0"/>
    <x v="2"/>
  </r>
  <r>
    <x v="887"/>
    <s v="2025-06-09"/>
    <x v="5"/>
    <s v="CUST8324"/>
    <x v="7"/>
    <n v="5"/>
    <n v="17959.41"/>
    <n v="89797.05"/>
    <x v="0"/>
    <x v="3"/>
  </r>
  <r>
    <x v="888"/>
    <s v="2025-06-09"/>
    <x v="5"/>
    <s v="CUST9583"/>
    <x v="5"/>
    <n v="4"/>
    <n v="40912.839999999997"/>
    <n v="163651.35999999999"/>
    <x v="0"/>
    <x v="2"/>
  </r>
  <r>
    <x v="889"/>
    <s v="2025-06-09"/>
    <x v="5"/>
    <s v="CUST8912"/>
    <x v="5"/>
    <n v="3"/>
    <n v="26048.42"/>
    <n v="78145.259999999995"/>
    <x v="1"/>
    <x v="3"/>
  </r>
  <r>
    <x v="890"/>
    <s v="2025-06-10"/>
    <x v="5"/>
    <s v="CUST8770"/>
    <x v="7"/>
    <n v="4"/>
    <n v="25504.04"/>
    <n v="102016.16"/>
    <x v="3"/>
    <x v="3"/>
  </r>
  <r>
    <x v="891"/>
    <s v="2025-06-10"/>
    <x v="5"/>
    <s v="CUST1595"/>
    <x v="1"/>
    <n v="3"/>
    <n v="41225.43"/>
    <n v="123676.29"/>
    <x v="2"/>
    <x v="2"/>
  </r>
  <r>
    <x v="892"/>
    <s v="2025-06-10"/>
    <x v="5"/>
    <s v="CUST8387"/>
    <x v="9"/>
    <n v="3"/>
    <n v="25419.72"/>
    <n v="76259.16"/>
    <x v="1"/>
    <x v="0"/>
  </r>
  <r>
    <x v="893"/>
    <s v="2025-06-10"/>
    <x v="5"/>
    <s v="CUST7013"/>
    <x v="5"/>
    <n v="5"/>
    <n v="45306.36"/>
    <n v="226531.8"/>
    <x v="3"/>
    <x v="2"/>
  </r>
  <r>
    <x v="894"/>
    <s v="2025-06-10"/>
    <x v="5"/>
    <s v="CUST3368"/>
    <x v="5"/>
    <n v="4"/>
    <n v="44780.23"/>
    <n v="179120.92"/>
    <x v="2"/>
    <x v="2"/>
  </r>
  <r>
    <x v="895"/>
    <s v="2025-06-10"/>
    <x v="5"/>
    <s v="CUST7174"/>
    <x v="3"/>
    <n v="5"/>
    <n v="4543.5"/>
    <n v="22717.5"/>
    <x v="0"/>
    <x v="2"/>
  </r>
  <r>
    <x v="896"/>
    <s v="2025-06-11"/>
    <x v="5"/>
    <s v="CUST5018"/>
    <x v="8"/>
    <n v="2"/>
    <n v="11682.99"/>
    <n v="23365.98"/>
    <x v="1"/>
    <x v="1"/>
  </r>
  <r>
    <x v="897"/>
    <s v="2025-06-11"/>
    <x v="5"/>
    <s v="CUST6518"/>
    <x v="0"/>
    <n v="1"/>
    <n v="44766.400000000001"/>
    <n v="44766.400000000001"/>
    <x v="3"/>
    <x v="2"/>
  </r>
  <r>
    <x v="898"/>
    <s v="2025-06-11"/>
    <x v="5"/>
    <s v="CUST9223"/>
    <x v="5"/>
    <n v="3"/>
    <n v="15341.58"/>
    <n v="46024.74"/>
    <x v="0"/>
    <x v="2"/>
  </r>
  <r>
    <x v="899"/>
    <s v="2025-06-12"/>
    <x v="5"/>
    <s v="CUST2616"/>
    <x v="4"/>
    <n v="5"/>
    <n v="47062.6"/>
    <n v="235313"/>
    <x v="1"/>
    <x v="1"/>
  </r>
  <r>
    <x v="900"/>
    <s v="2025-06-12"/>
    <x v="5"/>
    <s v="CUST8708"/>
    <x v="3"/>
    <n v="1"/>
    <n v="21090.77"/>
    <n v="21090.77"/>
    <x v="2"/>
    <x v="0"/>
  </r>
  <r>
    <x v="901"/>
    <s v="2025-06-12"/>
    <x v="5"/>
    <s v="CUST5189"/>
    <x v="9"/>
    <n v="5"/>
    <n v="12256.23"/>
    <n v="61281.15"/>
    <x v="3"/>
    <x v="2"/>
  </r>
  <r>
    <x v="902"/>
    <s v="2025-06-12"/>
    <x v="5"/>
    <s v="CUST1743"/>
    <x v="5"/>
    <n v="1"/>
    <n v="26766.31"/>
    <n v="26766.31"/>
    <x v="2"/>
    <x v="3"/>
  </r>
  <r>
    <x v="903"/>
    <s v="2025-06-12"/>
    <x v="5"/>
    <s v="CUST8681"/>
    <x v="0"/>
    <n v="5"/>
    <n v="13506.49"/>
    <n v="67532.45"/>
    <x v="2"/>
    <x v="3"/>
  </r>
  <r>
    <x v="904"/>
    <s v="2025-06-12"/>
    <x v="5"/>
    <s v="CUST6945"/>
    <x v="8"/>
    <n v="3"/>
    <n v="40896.92"/>
    <n v="122690.76"/>
    <x v="3"/>
    <x v="3"/>
  </r>
  <r>
    <x v="905"/>
    <s v="2025-06-13"/>
    <x v="5"/>
    <s v="CUST7005"/>
    <x v="1"/>
    <n v="3"/>
    <n v="41529.919999999998"/>
    <n v="124589.75999999999"/>
    <x v="3"/>
    <x v="2"/>
  </r>
  <r>
    <x v="906"/>
    <s v="2025-06-13"/>
    <x v="5"/>
    <s v="CUST3652"/>
    <x v="6"/>
    <n v="5"/>
    <n v="20848.830000000002"/>
    <n v="104244.15"/>
    <x v="0"/>
    <x v="1"/>
  </r>
  <r>
    <x v="907"/>
    <s v="2025-06-13"/>
    <x v="5"/>
    <s v="CUST9033"/>
    <x v="2"/>
    <n v="5"/>
    <n v="40824.68"/>
    <n v="204123.4"/>
    <x v="0"/>
    <x v="2"/>
  </r>
  <r>
    <x v="908"/>
    <s v="2025-06-14"/>
    <x v="5"/>
    <s v="CUST9331"/>
    <x v="0"/>
    <n v="2"/>
    <n v="47613.04"/>
    <n v="95226.08"/>
    <x v="1"/>
    <x v="3"/>
  </r>
  <r>
    <x v="909"/>
    <s v="2025-06-14"/>
    <x v="5"/>
    <s v="CUST9142"/>
    <x v="6"/>
    <n v="3"/>
    <n v="48534.29"/>
    <n v="145602.87"/>
    <x v="2"/>
    <x v="0"/>
  </r>
  <r>
    <x v="910"/>
    <s v="2025-06-14"/>
    <x v="5"/>
    <s v="CUST2617"/>
    <x v="2"/>
    <n v="5"/>
    <n v="43938.57"/>
    <n v="219692.85"/>
    <x v="0"/>
    <x v="0"/>
  </r>
  <r>
    <x v="911"/>
    <s v="2025-06-14"/>
    <x v="5"/>
    <s v="CUST2846"/>
    <x v="9"/>
    <n v="5"/>
    <n v="36642.089999999997"/>
    <n v="183210.45"/>
    <x v="3"/>
    <x v="0"/>
  </r>
  <r>
    <x v="912"/>
    <s v="2025-06-15"/>
    <x v="5"/>
    <s v="CUST4212"/>
    <x v="6"/>
    <n v="3"/>
    <n v="37955.75"/>
    <n v="113867.25"/>
    <x v="0"/>
    <x v="2"/>
  </r>
  <r>
    <x v="913"/>
    <s v="2025-06-15"/>
    <x v="5"/>
    <s v="CUST9199"/>
    <x v="9"/>
    <n v="2"/>
    <n v="29028.799999999999"/>
    <n v="58057.599999999999"/>
    <x v="2"/>
    <x v="1"/>
  </r>
  <r>
    <x v="914"/>
    <s v="2025-06-15"/>
    <x v="5"/>
    <s v="CUST7731"/>
    <x v="6"/>
    <n v="1"/>
    <n v="31520.560000000001"/>
    <n v="31520.560000000001"/>
    <x v="0"/>
    <x v="1"/>
  </r>
  <r>
    <x v="915"/>
    <s v="2025-06-16"/>
    <x v="5"/>
    <s v="CUST2361"/>
    <x v="8"/>
    <n v="4"/>
    <n v="37852.81"/>
    <n v="151411.24"/>
    <x v="3"/>
    <x v="1"/>
  </r>
  <r>
    <x v="916"/>
    <s v="2025-06-16"/>
    <x v="5"/>
    <s v="CUST5978"/>
    <x v="6"/>
    <n v="3"/>
    <n v="47108.5"/>
    <n v="141325.5"/>
    <x v="2"/>
    <x v="2"/>
  </r>
  <r>
    <x v="917"/>
    <s v="2025-06-16"/>
    <x v="5"/>
    <s v="CUST9285"/>
    <x v="7"/>
    <n v="3"/>
    <n v="26715.46"/>
    <n v="80146.38"/>
    <x v="1"/>
    <x v="3"/>
  </r>
  <r>
    <x v="918"/>
    <s v="2025-06-17"/>
    <x v="5"/>
    <s v="CUST2391"/>
    <x v="7"/>
    <n v="5"/>
    <n v="26422.58"/>
    <n v="132112.9"/>
    <x v="3"/>
    <x v="3"/>
  </r>
  <r>
    <x v="919"/>
    <s v="2025-06-17"/>
    <x v="5"/>
    <s v="CUST3381"/>
    <x v="8"/>
    <n v="3"/>
    <n v="14348.77"/>
    <n v="43046.31"/>
    <x v="1"/>
    <x v="1"/>
  </r>
  <r>
    <x v="920"/>
    <s v="2025-06-17"/>
    <x v="5"/>
    <s v="CUST4772"/>
    <x v="3"/>
    <n v="2"/>
    <n v="7746.75"/>
    <n v="15493.5"/>
    <x v="1"/>
    <x v="0"/>
  </r>
  <r>
    <x v="921"/>
    <s v="2025-06-17"/>
    <x v="5"/>
    <s v="CUST8003"/>
    <x v="4"/>
    <n v="3"/>
    <n v="26620.06"/>
    <n v="79860.179999999993"/>
    <x v="2"/>
    <x v="1"/>
  </r>
  <r>
    <x v="922"/>
    <s v="2025-06-17"/>
    <x v="5"/>
    <s v="CUST7424"/>
    <x v="5"/>
    <n v="2"/>
    <n v="20129.71"/>
    <n v="40259.42"/>
    <x v="2"/>
    <x v="0"/>
  </r>
  <r>
    <x v="923"/>
    <s v="2025-06-18"/>
    <x v="5"/>
    <s v="CUST3070"/>
    <x v="7"/>
    <n v="4"/>
    <n v="12051.99"/>
    <n v="48207.96"/>
    <x v="1"/>
    <x v="2"/>
  </r>
  <r>
    <x v="924"/>
    <s v="2025-06-18"/>
    <x v="5"/>
    <s v="CUST1387"/>
    <x v="3"/>
    <n v="2"/>
    <n v="33354.42"/>
    <n v="66708.84"/>
    <x v="3"/>
    <x v="0"/>
  </r>
  <r>
    <x v="925"/>
    <s v="2025-06-18"/>
    <x v="5"/>
    <s v="CUST3693"/>
    <x v="1"/>
    <n v="5"/>
    <n v="1984.76"/>
    <n v="9923.7999999999993"/>
    <x v="1"/>
    <x v="2"/>
  </r>
  <r>
    <x v="926"/>
    <s v="2025-06-18"/>
    <x v="5"/>
    <s v="CUST3837"/>
    <x v="7"/>
    <n v="4"/>
    <n v="39109.949999999997"/>
    <n v="156439.79999999999"/>
    <x v="2"/>
    <x v="1"/>
  </r>
  <r>
    <x v="927"/>
    <s v="2025-06-18"/>
    <x v="5"/>
    <s v="CUST8139"/>
    <x v="3"/>
    <n v="2"/>
    <n v="5036.9399999999996"/>
    <n v="10073.879999999999"/>
    <x v="0"/>
    <x v="1"/>
  </r>
  <r>
    <x v="928"/>
    <s v="2025-06-18"/>
    <x v="5"/>
    <s v="CUST4143"/>
    <x v="7"/>
    <n v="4"/>
    <n v="27046.44"/>
    <n v="108185.76"/>
    <x v="3"/>
    <x v="3"/>
  </r>
  <r>
    <x v="929"/>
    <s v="2025-06-18"/>
    <x v="5"/>
    <s v="CUST1223"/>
    <x v="0"/>
    <n v="4"/>
    <n v="24196.68"/>
    <n v="96786.72"/>
    <x v="2"/>
    <x v="0"/>
  </r>
  <r>
    <x v="930"/>
    <s v="2025-06-19"/>
    <x v="5"/>
    <s v="CUST6172"/>
    <x v="4"/>
    <n v="3"/>
    <n v="20423.41"/>
    <n v="61270.23"/>
    <x v="3"/>
    <x v="3"/>
  </r>
  <r>
    <x v="931"/>
    <s v="2025-06-19"/>
    <x v="5"/>
    <s v="CUST2700"/>
    <x v="8"/>
    <n v="5"/>
    <n v="27541.68"/>
    <n v="137708.4"/>
    <x v="0"/>
    <x v="1"/>
  </r>
  <r>
    <x v="932"/>
    <s v="2025-06-19"/>
    <x v="5"/>
    <s v="CUST7770"/>
    <x v="5"/>
    <n v="4"/>
    <n v="39359.550000000003"/>
    <n v="157438.20000000001"/>
    <x v="1"/>
    <x v="2"/>
  </r>
  <r>
    <x v="933"/>
    <s v="2025-06-20"/>
    <x v="5"/>
    <s v="CUST8418"/>
    <x v="8"/>
    <n v="5"/>
    <n v="23442.59"/>
    <n v="117212.95"/>
    <x v="3"/>
    <x v="0"/>
  </r>
  <r>
    <x v="934"/>
    <s v="2025-06-20"/>
    <x v="5"/>
    <s v="CUST7873"/>
    <x v="0"/>
    <n v="3"/>
    <n v="40360.97"/>
    <n v="121082.91"/>
    <x v="0"/>
    <x v="2"/>
  </r>
  <r>
    <x v="935"/>
    <s v="2025-06-20"/>
    <x v="5"/>
    <s v="CUST9586"/>
    <x v="2"/>
    <n v="3"/>
    <n v="44126.58"/>
    <n v="132379.74"/>
    <x v="2"/>
    <x v="3"/>
  </r>
  <r>
    <x v="936"/>
    <s v="2025-06-20"/>
    <x v="5"/>
    <s v="CUST1438"/>
    <x v="8"/>
    <n v="1"/>
    <n v="13360.24"/>
    <n v="13360.24"/>
    <x v="2"/>
    <x v="0"/>
  </r>
  <r>
    <x v="937"/>
    <s v="2025-06-21"/>
    <x v="5"/>
    <s v="CUST1488"/>
    <x v="4"/>
    <n v="4"/>
    <n v="21404.81"/>
    <n v="85619.24"/>
    <x v="1"/>
    <x v="2"/>
  </r>
  <r>
    <x v="938"/>
    <s v="2025-06-21"/>
    <x v="5"/>
    <s v="CUST6001"/>
    <x v="7"/>
    <n v="3"/>
    <n v="10958.45"/>
    <n v="32875.35"/>
    <x v="1"/>
    <x v="2"/>
  </r>
  <r>
    <x v="939"/>
    <s v="2025-06-21"/>
    <x v="5"/>
    <s v="CUST3562"/>
    <x v="0"/>
    <n v="5"/>
    <n v="47292.63"/>
    <n v="236463.15"/>
    <x v="1"/>
    <x v="1"/>
  </r>
  <r>
    <x v="940"/>
    <s v="2025-06-21"/>
    <x v="5"/>
    <s v="CUST7215"/>
    <x v="1"/>
    <n v="4"/>
    <n v="4141.47"/>
    <n v="16565.88"/>
    <x v="1"/>
    <x v="0"/>
  </r>
  <r>
    <x v="941"/>
    <s v="2025-06-21"/>
    <x v="5"/>
    <s v="CUST9288"/>
    <x v="1"/>
    <n v="3"/>
    <n v="7835.02"/>
    <n v="23505.06"/>
    <x v="0"/>
    <x v="2"/>
  </r>
  <r>
    <x v="942"/>
    <s v="2025-06-21"/>
    <x v="5"/>
    <s v="CUST3114"/>
    <x v="4"/>
    <n v="4"/>
    <n v="25275.71"/>
    <n v="101102.84"/>
    <x v="0"/>
    <x v="1"/>
  </r>
  <r>
    <x v="943"/>
    <s v="2025-06-21"/>
    <x v="5"/>
    <s v="CUST3376"/>
    <x v="9"/>
    <n v="5"/>
    <n v="39423.660000000003"/>
    <n v="197118.3"/>
    <x v="2"/>
    <x v="1"/>
  </r>
  <r>
    <x v="944"/>
    <s v="2025-06-22"/>
    <x v="5"/>
    <s v="CUST2068"/>
    <x v="1"/>
    <n v="5"/>
    <n v="48373.78"/>
    <n v="241868.9"/>
    <x v="0"/>
    <x v="0"/>
  </r>
  <r>
    <x v="945"/>
    <s v="2025-06-22"/>
    <x v="5"/>
    <s v="CUST3272"/>
    <x v="4"/>
    <n v="4"/>
    <n v="28432.52"/>
    <n v="113730.08"/>
    <x v="0"/>
    <x v="3"/>
  </r>
  <r>
    <x v="946"/>
    <s v="2025-06-22"/>
    <x v="5"/>
    <s v="CUST1643"/>
    <x v="4"/>
    <n v="4"/>
    <n v="44555.62"/>
    <n v="178222.48"/>
    <x v="0"/>
    <x v="3"/>
  </r>
  <r>
    <x v="947"/>
    <s v="2025-06-22"/>
    <x v="5"/>
    <s v="CUST3756"/>
    <x v="6"/>
    <n v="4"/>
    <n v="11193.88"/>
    <n v="44775.519999999997"/>
    <x v="2"/>
    <x v="2"/>
  </r>
  <r>
    <x v="948"/>
    <s v="2025-06-22"/>
    <x v="5"/>
    <s v="CUST7852"/>
    <x v="8"/>
    <n v="5"/>
    <n v="11223.44"/>
    <n v="56117.2"/>
    <x v="3"/>
    <x v="2"/>
  </r>
  <r>
    <x v="949"/>
    <s v="2025-06-23"/>
    <x v="5"/>
    <s v="CUST5769"/>
    <x v="5"/>
    <n v="2"/>
    <n v="7573.34"/>
    <n v="15146.68"/>
    <x v="0"/>
    <x v="0"/>
  </r>
  <r>
    <x v="950"/>
    <s v="2025-06-23"/>
    <x v="5"/>
    <s v="CUST4445"/>
    <x v="5"/>
    <n v="2"/>
    <n v="42415.95"/>
    <n v="84831.9"/>
    <x v="1"/>
    <x v="3"/>
  </r>
  <r>
    <x v="951"/>
    <s v="2025-06-23"/>
    <x v="5"/>
    <s v="CUST9062"/>
    <x v="0"/>
    <n v="1"/>
    <n v="37732.67"/>
    <n v="37732.67"/>
    <x v="3"/>
    <x v="1"/>
  </r>
  <r>
    <x v="952"/>
    <s v="2025-06-23"/>
    <x v="5"/>
    <s v="CUST7813"/>
    <x v="0"/>
    <n v="5"/>
    <n v="28215.26"/>
    <n v="141076.29999999999"/>
    <x v="0"/>
    <x v="3"/>
  </r>
  <r>
    <x v="953"/>
    <s v="2025-06-23"/>
    <x v="5"/>
    <s v="CUST2905"/>
    <x v="3"/>
    <n v="5"/>
    <n v="31096.3"/>
    <n v="155481.5"/>
    <x v="1"/>
    <x v="0"/>
  </r>
  <r>
    <x v="954"/>
    <s v="2025-06-23"/>
    <x v="5"/>
    <s v="CUST2504"/>
    <x v="4"/>
    <n v="5"/>
    <n v="28025.15"/>
    <n v="140125.75"/>
    <x v="1"/>
    <x v="1"/>
  </r>
  <r>
    <x v="955"/>
    <s v="2025-06-23"/>
    <x v="5"/>
    <s v="CUST3222"/>
    <x v="4"/>
    <n v="2"/>
    <n v="17551.740000000002"/>
    <n v="35103.480000000003"/>
    <x v="0"/>
    <x v="3"/>
  </r>
  <r>
    <x v="956"/>
    <s v="2025-06-24"/>
    <x v="5"/>
    <s v="CUST9393"/>
    <x v="5"/>
    <n v="3"/>
    <n v="14215.6"/>
    <n v="42646.8"/>
    <x v="3"/>
    <x v="3"/>
  </r>
  <r>
    <x v="957"/>
    <s v="2025-06-24"/>
    <x v="5"/>
    <s v="CUST4153"/>
    <x v="2"/>
    <n v="2"/>
    <n v="38315.449999999997"/>
    <n v="76630.899999999994"/>
    <x v="0"/>
    <x v="2"/>
  </r>
  <r>
    <x v="958"/>
    <s v="2025-06-24"/>
    <x v="5"/>
    <s v="CUST9529"/>
    <x v="9"/>
    <n v="2"/>
    <n v="33614.92"/>
    <n v="67229.84"/>
    <x v="1"/>
    <x v="0"/>
  </r>
  <r>
    <x v="959"/>
    <s v="2025-06-24"/>
    <x v="5"/>
    <s v="CUST3727"/>
    <x v="3"/>
    <n v="1"/>
    <n v="35796.61"/>
    <n v="35796.61"/>
    <x v="1"/>
    <x v="0"/>
  </r>
  <r>
    <x v="960"/>
    <s v="2025-06-24"/>
    <x v="5"/>
    <s v="CUST3791"/>
    <x v="5"/>
    <n v="1"/>
    <n v="27260.62"/>
    <n v="27260.62"/>
    <x v="1"/>
    <x v="0"/>
  </r>
  <r>
    <x v="961"/>
    <s v="2025-06-25"/>
    <x v="5"/>
    <s v="CUST7374"/>
    <x v="4"/>
    <n v="1"/>
    <n v="20083.990000000002"/>
    <n v="20083.990000000002"/>
    <x v="1"/>
    <x v="0"/>
  </r>
  <r>
    <x v="962"/>
    <s v="2025-06-25"/>
    <x v="5"/>
    <s v="CUST9409"/>
    <x v="3"/>
    <n v="2"/>
    <n v="10417.61"/>
    <n v="20835.22"/>
    <x v="0"/>
    <x v="3"/>
  </r>
  <r>
    <x v="963"/>
    <s v="2025-06-25"/>
    <x v="5"/>
    <s v="CUST5160"/>
    <x v="6"/>
    <n v="1"/>
    <n v="6136.31"/>
    <n v="6136.31"/>
    <x v="0"/>
    <x v="2"/>
  </r>
  <r>
    <x v="964"/>
    <s v="2025-06-25"/>
    <x v="5"/>
    <s v="CUST1033"/>
    <x v="2"/>
    <n v="4"/>
    <n v="5883.38"/>
    <n v="23533.52"/>
    <x v="0"/>
    <x v="3"/>
  </r>
  <r>
    <x v="965"/>
    <s v="2025-06-25"/>
    <x v="5"/>
    <s v="CUST9956"/>
    <x v="2"/>
    <n v="3"/>
    <n v="38168.85"/>
    <n v="114506.55"/>
    <x v="2"/>
    <x v="1"/>
  </r>
  <r>
    <x v="966"/>
    <s v="2025-06-25"/>
    <x v="5"/>
    <s v="CUST4469"/>
    <x v="7"/>
    <n v="4"/>
    <n v="7989.93"/>
    <n v="31959.72"/>
    <x v="1"/>
    <x v="1"/>
  </r>
  <r>
    <x v="967"/>
    <s v="2025-06-26"/>
    <x v="5"/>
    <s v="CUST9446"/>
    <x v="3"/>
    <n v="3"/>
    <n v="12116.76"/>
    <n v="36350.28"/>
    <x v="2"/>
    <x v="3"/>
  </r>
  <r>
    <x v="968"/>
    <s v="2025-06-26"/>
    <x v="5"/>
    <s v="CUST4104"/>
    <x v="2"/>
    <n v="3"/>
    <n v="18360.71"/>
    <n v="55082.13"/>
    <x v="1"/>
    <x v="0"/>
  </r>
  <r>
    <x v="969"/>
    <s v="2025-06-26"/>
    <x v="5"/>
    <s v="CUST1577"/>
    <x v="6"/>
    <n v="2"/>
    <n v="15854.93"/>
    <n v="31709.86"/>
    <x v="3"/>
    <x v="1"/>
  </r>
  <r>
    <x v="970"/>
    <s v="2025-06-26"/>
    <x v="5"/>
    <s v="CUST1622"/>
    <x v="5"/>
    <n v="4"/>
    <n v="41093.94"/>
    <n v="164375.76"/>
    <x v="1"/>
    <x v="1"/>
  </r>
  <r>
    <x v="971"/>
    <s v="2025-06-27"/>
    <x v="5"/>
    <s v="CUST9700"/>
    <x v="7"/>
    <n v="3"/>
    <n v="10058.49"/>
    <n v="30175.47"/>
    <x v="1"/>
    <x v="0"/>
  </r>
  <r>
    <x v="972"/>
    <s v="2025-06-27"/>
    <x v="5"/>
    <s v="CUST2732"/>
    <x v="0"/>
    <n v="3"/>
    <n v="42337.43"/>
    <n v="127012.29"/>
    <x v="2"/>
    <x v="3"/>
  </r>
  <r>
    <x v="973"/>
    <s v="2025-06-27"/>
    <x v="5"/>
    <s v="CUST3260"/>
    <x v="1"/>
    <n v="1"/>
    <n v="45837.66"/>
    <n v="45837.66"/>
    <x v="1"/>
    <x v="3"/>
  </r>
  <r>
    <x v="974"/>
    <s v="2025-06-27"/>
    <x v="5"/>
    <s v="CUST6588"/>
    <x v="4"/>
    <n v="2"/>
    <n v="10629.73"/>
    <n v="21259.46"/>
    <x v="2"/>
    <x v="2"/>
  </r>
  <r>
    <x v="975"/>
    <s v="2025-06-27"/>
    <x v="5"/>
    <s v="CUST7159"/>
    <x v="5"/>
    <n v="1"/>
    <n v="31306.09"/>
    <n v="31306.09"/>
    <x v="1"/>
    <x v="0"/>
  </r>
  <r>
    <x v="976"/>
    <s v="2025-06-27"/>
    <x v="5"/>
    <s v="CUST7950"/>
    <x v="7"/>
    <n v="5"/>
    <n v="6189.3"/>
    <n v="30946.5"/>
    <x v="3"/>
    <x v="1"/>
  </r>
  <r>
    <x v="977"/>
    <s v="2025-06-27"/>
    <x v="5"/>
    <s v="CUST4099"/>
    <x v="8"/>
    <n v="5"/>
    <n v="35030.25"/>
    <n v="175151.25"/>
    <x v="3"/>
    <x v="2"/>
  </r>
  <r>
    <x v="978"/>
    <s v="2025-06-27"/>
    <x v="5"/>
    <s v="CUST6232"/>
    <x v="5"/>
    <n v="2"/>
    <n v="20872.900000000001"/>
    <n v="41745.800000000003"/>
    <x v="0"/>
    <x v="3"/>
  </r>
  <r>
    <x v="979"/>
    <s v="2025-06-28"/>
    <x v="5"/>
    <s v="CUST3363"/>
    <x v="7"/>
    <n v="3"/>
    <n v="36817.64"/>
    <n v="110452.92"/>
    <x v="2"/>
    <x v="2"/>
  </r>
  <r>
    <x v="980"/>
    <s v="2025-06-28"/>
    <x v="5"/>
    <s v="CUST3985"/>
    <x v="4"/>
    <n v="5"/>
    <n v="15417.63"/>
    <n v="77088.149999999994"/>
    <x v="3"/>
    <x v="2"/>
  </r>
  <r>
    <x v="981"/>
    <s v="2025-06-28"/>
    <x v="5"/>
    <s v="CUST9939"/>
    <x v="1"/>
    <n v="5"/>
    <n v="49829.97"/>
    <n v="249149.85"/>
    <x v="2"/>
    <x v="0"/>
  </r>
  <r>
    <x v="982"/>
    <s v="2025-06-28"/>
    <x v="5"/>
    <s v="CUST9153"/>
    <x v="9"/>
    <n v="5"/>
    <n v="36930.32"/>
    <n v="184651.6"/>
    <x v="1"/>
    <x v="3"/>
  </r>
  <r>
    <x v="983"/>
    <s v="2025-06-28"/>
    <x v="5"/>
    <s v="CUST7654"/>
    <x v="8"/>
    <n v="5"/>
    <n v="13105.1"/>
    <n v="65525.5"/>
    <x v="3"/>
    <x v="3"/>
  </r>
  <r>
    <x v="984"/>
    <s v="2025-06-28"/>
    <x v="5"/>
    <s v="CUST6632"/>
    <x v="0"/>
    <n v="4"/>
    <n v="38430.61"/>
    <n v="153722.44"/>
    <x v="1"/>
    <x v="3"/>
  </r>
  <r>
    <x v="985"/>
    <s v="2025-06-28"/>
    <x v="5"/>
    <s v="CUST8179"/>
    <x v="7"/>
    <n v="1"/>
    <n v="7781.21"/>
    <n v="7781.21"/>
    <x v="2"/>
    <x v="2"/>
  </r>
  <r>
    <x v="986"/>
    <s v="2025-06-29"/>
    <x v="5"/>
    <s v="CUST4730"/>
    <x v="0"/>
    <n v="3"/>
    <n v="40504.730000000003"/>
    <n v="121514.19"/>
    <x v="2"/>
    <x v="2"/>
  </r>
  <r>
    <x v="987"/>
    <s v="2025-06-29"/>
    <x v="5"/>
    <s v="CUST5311"/>
    <x v="1"/>
    <n v="1"/>
    <n v="6201.58"/>
    <n v="6201.58"/>
    <x v="2"/>
    <x v="2"/>
  </r>
  <r>
    <x v="988"/>
    <s v="2025-06-29"/>
    <x v="5"/>
    <s v="CUST6909"/>
    <x v="1"/>
    <n v="3"/>
    <n v="9326.2999999999993"/>
    <n v="27978.9"/>
    <x v="0"/>
    <x v="1"/>
  </r>
  <r>
    <x v="989"/>
    <s v="2025-06-29"/>
    <x v="5"/>
    <s v="CUST7047"/>
    <x v="8"/>
    <n v="3"/>
    <n v="21446.26"/>
    <n v="64338.78"/>
    <x v="3"/>
    <x v="1"/>
  </r>
  <r>
    <x v="990"/>
    <s v="2025-06-30"/>
    <x v="5"/>
    <s v="CUST5607"/>
    <x v="7"/>
    <n v="3"/>
    <n v="24444.19"/>
    <n v="73332.570000000007"/>
    <x v="0"/>
    <x v="3"/>
  </r>
  <r>
    <x v="991"/>
    <s v="2025-06-30"/>
    <x v="5"/>
    <s v="CUST7863"/>
    <x v="3"/>
    <n v="5"/>
    <n v="22198.6"/>
    <n v="110993"/>
    <x v="3"/>
    <x v="0"/>
  </r>
  <r>
    <x v="992"/>
    <s v="2025-06-30"/>
    <x v="5"/>
    <s v="CUST6369"/>
    <x v="1"/>
    <n v="5"/>
    <n v="1996.41"/>
    <n v="9982.0499999999993"/>
    <x v="0"/>
    <x v="0"/>
  </r>
  <r>
    <x v="993"/>
    <s v="2025-06-30"/>
    <x v="5"/>
    <s v="CUST4014"/>
    <x v="6"/>
    <n v="3"/>
    <n v="5250.94"/>
    <n v="15752.82"/>
    <x v="3"/>
    <x v="3"/>
  </r>
  <r>
    <x v="994"/>
    <s v="2025-06-30"/>
    <x v="5"/>
    <s v="CUST3279"/>
    <x v="0"/>
    <n v="4"/>
    <n v="8624.25"/>
    <n v="34497"/>
    <x v="0"/>
    <x v="3"/>
  </r>
  <r>
    <x v="995"/>
    <s v="2025-06-30"/>
    <x v="5"/>
    <s v="CUST2280"/>
    <x v="8"/>
    <n v="4"/>
    <n v="44681.279999999999"/>
    <n v="178725.12"/>
    <x v="0"/>
    <x v="3"/>
  </r>
  <r>
    <x v="996"/>
    <s v="2025-06-30"/>
    <x v="5"/>
    <s v="CUST5791"/>
    <x v="6"/>
    <n v="4"/>
    <n v="37700.71"/>
    <n v="150802.84"/>
    <x v="0"/>
    <x v="2"/>
  </r>
  <r>
    <x v="997"/>
    <s v="2025-07-01"/>
    <x v="6"/>
    <s v="CUST7028"/>
    <x v="1"/>
    <n v="1"/>
    <n v="33519.26"/>
    <n v="33519.26"/>
    <x v="3"/>
    <x v="0"/>
  </r>
  <r>
    <x v="998"/>
    <s v="2025-07-01"/>
    <x v="6"/>
    <s v="CUST4644"/>
    <x v="5"/>
    <n v="1"/>
    <n v="18761.490000000002"/>
    <n v="18761.490000000002"/>
    <x v="1"/>
    <x v="0"/>
  </r>
  <r>
    <x v="999"/>
    <s v="2025-07-01"/>
    <x v="6"/>
    <s v="CUST3633"/>
    <x v="2"/>
    <n v="5"/>
    <n v="38817.519999999997"/>
    <n v="194087.6"/>
    <x v="3"/>
    <x v="3"/>
  </r>
  <r>
    <x v="1000"/>
    <s v="2025-07-01"/>
    <x v="6"/>
    <s v="CUST2363"/>
    <x v="7"/>
    <n v="5"/>
    <n v="33684.559999999998"/>
    <n v="168422.8"/>
    <x v="2"/>
    <x v="0"/>
  </r>
  <r>
    <x v="1001"/>
    <s v="2025-07-01"/>
    <x v="6"/>
    <s v="CUST6643"/>
    <x v="6"/>
    <n v="4"/>
    <n v="13381.2"/>
    <n v="53524.800000000003"/>
    <x v="1"/>
    <x v="0"/>
  </r>
  <r>
    <x v="1002"/>
    <s v="2025-07-01"/>
    <x v="6"/>
    <s v="CUST9108"/>
    <x v="5"/>
    <n v="4"/>
    <n v="14211.34"/>
    <n v="56845.36"/>
    <x v="1"/>
    <x v="2"/>
  </r>
  <r>
    <x v="1003"/>
    <s v="2025-07-02"/>
    <x v="6"/>
    <s v="CUST3823"/>
    <x v="9"/>
    <n v="5"/>
    <n v="9197.44"/>
    <n v="45987.199999999997"/>
    <x v="0"/>
    <x v="2"/>
  </r>
  <r>
    <x v="1004"/>
    <s v="2025-07-02"/>
    <x v="6"/>
    <s v="CUST1128"/>
    <x v="9"/>
    <n v="4"/>
    <n v="2910.03"/>
    <n v="11640.12"/>
    <x v="3"/>
    <x v="3"/>
  </r>
  <r>
    <x v="1005"/>
    <s v="2025-07-02"/>
    <x v="6"/>
    <s v="CUST1629"/>
    <x v="7"/>
    <n v="1"/>
    <n v="553.29999999999995"/>
    <n v="553.29999999999995"/>
    <x v="1"/>
    <x v="3"/>
  </r>
  <r>
    <x v="1006"/>
    <s v="2025-07-02"/>
    <x v="6"/>
    <s v="CUST7790"/>
    <x v="6"/>
    <n v="3"/>
    <n v="44739.32"/>
    <n v="134217.96"/>
    <x v="1"/>
    <x v="0"/>
  </r>
  <r>
    <x v="1007"/>
    <s v="2025-07-02"/>
    <x v="6"/>
    <s v="CUST7220"/>
    <x v="9"/>
    <n v="2"/>
    <n v="37614.06"/>
    <n v="75228.12"/>
    <x v="3"/>
    <x v="1"/>
  </r>
  <r>
    <x v="1008"/>
    <s v="2025-07-02"/>
    <x v="6"/>
    <s v="CUST2603"/>
    <x v="9"/>
    <n v="4"/>
    <n v="30608.7"/>
    <n v="122434.8"/>
    <x v="3"/>
    <x v="3"/>
  </r>
  <r>
    <x v="1009"/>
    <s v="2025-07-03"/>
    <x v="6"/>
    <s v="CUST4485"/>
    <x v="7"/>
    <n v="4"/>
    <n v="46428.75"/>
    <n v="185715"/>
    <x v="3"/>
    <x v="0"/>
  </r>
  <r>
    <x v="1010"/>
    <s v="2025-07-03"/>
    <x v="6"/>
    <s v="CUST6645"/>
    <x v="5"/>
    <n v="3"/>
    <n v="3966.05"/>
    <n v="11898.15"/>
    <x v="2"/>
    <x v="0"/>
  </r>
  <r>
    <x v="1011"/>
    <s v="2025-07-03"/>
    <x v="6"/>
    <s v="CUST2015"/>
    <x v="0"/>
    <n v="3"/>
    <n v="17955.37"/>
    <n v="53866.11"/>
    <x v="2"/>
    <x v="1"/>
  </r>
  <r>
    <x v="1012"/>
    <s v="2025-07-03"/>
    <x v="6"/>
    <s v="CUST5804"/>
    <x v="2"/>
    <n v="2"/>
    <n v="16673.59"/>
    <n v="33347.18"/>
    <x v="1"/>
    <x v="0"/>
  </r>
  <r>
    <x v="1013"/>
    <s v="2025-07-03"/>
    <x v="6"/>
    <s v="CUST6342"/>
    <x v="4"/>
    <n v="1"/>
    <n v="47123.7"/>
    <n v="47123.7"/>
    <x v="1"/>
    <x v="3"/>
  </r>
  <r>
    <x v="1014"/>
    <s v="2025-07-03"/>
    <x v="6"/>
    <s v="CUST2091"/>
    <x v="7"/>
    <n v="2"/>
    <n v="27404.14"/>
    <n v="54808.28"/>
    <x v="0"/>
    <x v="3"/>
  </r>
  <r>
    <x v="1015"/>
    <s v="2025-07-03"/>
    <x v="6"/>
    <s v="CUST4327"/>
    <x v="1"/>
    <n v="5"/>
    <n v="16910.59"/>
    <n v="84552.95"/>
    <x v="2"/>
    <x v="1"/>
  </r>
  <r>
    <x v="1016"/>
    <s v="2025-07-03"/>
    <x v="6"/>
    <s v="CUST8329"/>
    <x v="6"/>
    <n v="1"/>
    <n v="5956.63"/>
    <n v="5956.63"/>
    <x v="3"/>
    <x v="1"/>
  </r>
  <r>
    <x v="1017"/>
    <s v="2025-07-04"/>
    <x v="6"/>
    <s v="CUST2298"/>
    <x v="2"/>
    <n v="1"/>
    <n v="30334.62"/>
    <n v="30334.62"/>
    <x v="1"/>
    <x v="1"/>
  </r>
  <r>
    <x v="1018"/>
    <s v="2025-07-04"/>
    <x v="6"/>
    <s v="CUST6152"/>
    <x v="3"/>
    <n v="4"/>
    <n v="5091.3"/>
    <n v="20365.2"/>
    <x v="1"/>
    <x v="0"/>
  </r>
  <r>
    <x v="1019"/>
    <s v="2025-07-04"/>
    <x v="6"/>
    <s v="CUST9792"/>
    <x v="9"/>
    <n v="3"/>
    <n v="1816.74"/>
    <n v="5450.22"/>
    <x v="0"/>
    <x v="3"/>
  </r>
  <r>
    <x v="1020"/>
    <s v="2025-07-04"/>
    <x v="6"/>
    <s v="CUST8058"/>
    <x v="1"/>
    <n v="5"/>
    <n v="19174.79"/>
    <n v="95873.95"/>
    <x v="2"/>
    <x v="3"/>
  </r>
  <r>
    <x v="1021"/>
    <s v="2025-07-04"/>
    <x v="6"/>
    <s v="CUST3514"/>
    <x v="5"/>
    <n v="3"/>
    <n v="6934.15"/>
    <n v="20802.45"/>
    <x v="3"/>
    <x v="2"/>
  </r>
  <r>
    <x v="1022"/>
    <s v="2025-07-04"/>
    <x v="6"/>
    <s v="CUST3585"/>
    <x v="2"/>
    <n v="5"/>
    <n v="17294.95"/>
    <n v="86474.75"/>
    <x v="1"/>
    <x v="3"/>
  </r>
  <r>
    <x v="1023"/>
    <s v="2025-07-04"/>
    <x v="6"/>
    <s v="CUST1555"/>
    <x v="3"/>
    <n v="2"/>
    <n v="25604.69"/>
    <n v="51209.38"/>
    <x v="1"/>
    <x v="0"/>
  </r>
  <r>
    <x v="1024"/>
    <s v="2025-07-04"/>
    <x v="6"/>
    <s v="CUST5906"/>
    <x v="5"/>
    <n v="2"/>
    <n v="21338.080000000002"/>
    <n v="42676.160000000003"/>
    <x v="3"/>
    <x v="1"/>
  </r>
  <r>
    <x v="1025"/>
    <s v="2025-07-05"/>
    <x v="6"/>
    <s v="CUST5352"/>
    <x v="3"/>
    <n v="3"/>
    <n v="8446.75"/>
    <n v="25340.25"/>
    <x v="0"/>
    <x v="0"/>
  </r>
  <r>
    <x v="1026"/>
    <s v="2025-07-05"/>
    <x v="6"/>
    <s v="CUST5633"/>
    <x v="6"/>
    <n v="5"/>
    <n v="23214.560000000001"/>
    <n v="116072.8"/>
    <x v="0"/>
    <x v="2"/>
  </r>
  <r>
    <x v="1027"/>
    <s v="2025-07-05"/>
    <x v="6"/>
    <s v="CUST7191"/>
    <x v="4"/>
    <n v="3"/>
    <n v="2612.9699999999998"/>
    <n v="7838.91"/>
    <x v="1"/>
    <x v="3"/>
  </r>
  <r>
    <x v="1028"/>
    <s v="2025-07-05"/>
    <x v="6"/>
    <s v="CUST7834"/>
    <x v="9"/>
    <n v="4"/>
    <n v="34262.589999999997"/>
    <n v="137050.35999999999"/>
    <x v="3"/>
    <x v="3"/>
  </r>
  <r>
    <x v="1029"/>
    <s v="2025-07-06"/>
    <x v="6"/>
    <s v="CUST1183"/>
    <x v="4"/>
    <n v="1"/>
    <n v="16851.25"/>
    <n v="16851.25"/>
    <x v="2"/>
    <x v="1"/>
  </r>
  <r>
    <x v="1030"/>
    <s v="2025-07-06"/>
    <x v="6"/>
    <s v="CUST4772"/>
    <x v="5"/>
    <n v="4"/>
    <n v="39517.71"/>
    <n v="158070.84"/>
    <x v="2"/>
    <x v="2"/>
  </r>
  <r>
    <x v="1031"/>
    <s v="2025-07-06"/>
    <x v="6"/>
    <s v="CUST3054"/>
    <x v="7"/>
    <n v="4"/>
    <n v="6174.4"/>
    <n v="24697.599999999999"/>
    <x v="3"/>
    <x v="0"/>
  </r>
  <r>
    <x v="1032"/>
    <s v="2025-07-06"/>
    <x v="6"/>
    <s v="CUST6290"/>
    <x v="9"/>
    <n v="5"/>
    <n v="43843.12"/>
    <n v="219215.6"/>
    <x v="2"/>
    <x v="2"/>
  </r>
  <r>
    <x v="1033"/>
    <s v="2025-07-07"/>
    <x v="6"/>
    <s v="CUST1728"/>
    <x v="5"/>
    <n v="5"/>
    <n v="34823.25"/>
    <n v="174116.25"/>
    <x v="0"/>
    <x v="0"/>
  </r>
  <r>
    <x v="1034"/>
    <s v="2025-07-07"/>
    <x v="6"/>
    <s v="CUST8619"/>
    <x v="5"/>
    <n v="1"/>
    <n v="40006.68"/>
    <n v="40006.68"/>
    <x v="1"/>
    <x v="2"/>
  </r>
  <r>
    <x v="1035"/>
    <s v="2025-07-07"/>
    <x v="6"/>
    <s v="CUST9112"/>
    <x v="2"/>
    <n v="3"/>
    <n v="49674.879999999997"/>
    <n v="149024.64000000001"/>
    <x v="3"/>
    <x v="3"/>
  </r>
  <r>
    <x v="1036"/>
    <s v="2025-07-08"/>
    <x v="6"/>
    <s v="CUST3361"/>
    <x v="0"/>
    <n v="2"/>
    <n v="37302.1"/>
    <n v="74604.2"/>
    <x v="3"/>
    <x v="2"/>
  </r>
  <r>
    <x v="1037"/>
    <s v="2025-07-08"/>
    <x v="6"/>
    <s v="CUST2214"/>
    <x v="7"/>
    <n v="1"/>
    <n v="7816.34"/>
    <n v="7816.34"/>
    <x v="0"/>
    <x v="1"/>
  </r>
  <r>
    <x v="1038"/>
    <s v="2025-07-08"/>
    <x v="6"/>
    <s v="CUST1719"/>
    <x v="3"/>
    <n v="5"/>
    <n v="9938.2900000000009"/>
    <n v="49691.45"/>
    <x v="1"/>
    <x v="3"/>
  </r>
  <r>
    <x v="1039"/>
    <s v="2025-07-09"/>
    <x v="6"/>
    <s v="CUST3420"/>
    <x v="1"/>
    <n v="2"/>
    <n v="18784.89"/>
    <n v="37569.78"/>
    <x v="3"/>
    <x v="0"/>
  </r>
  <r>
    <x v="1040"/>
    <s v="2025-07-09"/>
    <x v="6"/>
    <s v="CUST7571"/>
    <x v="3"/>
    <n v="4"/>
    <n v="48927.23"/>
    <n v="195708.92"/>
    <x v="0"/>
    <x v="3"/>
  </r>
  <r>
    <x v="1041"/>
    <s v="2025-07-09"/>
    <x v="6"/>
    <s v="CUST1749"/>
    <x v="3"/>
    <n v="3"/>
    <n v="4328.6400000000003"/>
    <n v="12985.92"/>
    <x v="3"/>
    <x v="2"/>
  </r>
  <r>
    <x v="1042"/>
    <s v="2025-07-09"/>
    <x v="6"/>
    <s v="CUST9501"/>
    <x v="2"/>
    <n v="4"/>
    <n v="23325.62"/>
    <n v="93302.48"/>
    <x v="2"/>
    <x v="1"/>
  </r>
  <r>
    <x v="1043"/>
    <s v="2025-07-09"/>
    <x v="6"/>
    <s v="CUST3067"/>
    <x v="6"/>
    <n v="5"/>
    <n v="33932.35"/>
    <n v="169661.75"/>
    <x v="0"/>
    <x v="2"/>
  </r>
  <r>
    <x v="1044"/>
    <s v="2025-07-09"/>
    <x v="6"/>
    <s v="CUST8033"/>
    <x v="2"/>
    <n v="1"/>
    <n v="22981.5"/>
    <n v="22981.5"/>
    <x v="1"/>
    <x v="0"/>
  </r>
  <r>
    <x v="1045"/>
    <s v="2025-07-09"/>
    <x v="6"/>
    <s v="CUST9699"/>
    <x v="8"/>
    <n v="2"/>
    <n v="38166.269999999997"/>
    <n v="76332.539999999994"/>
    <x v="3"/>
    <x v="0"/>
  </r>
  <r>
    <x v="1046"/>
    <s v="2025-07-09"/>
    <x v="6"/>
    <s v="CUST1921"/>
    <x v="9"/>
    <n v="1"/>
    <n v="29273.97"/>
    <n v="29273.97"/>
    <x v="2"/>
    <x v="0"/>
  </r>
  <r>
    <x v="1047"/>
    <s v="2025-07-10"/>
    <x v="6"/>
    <s v="CUST9378"/>
    <x v="5"/>
    <n v="1"/>
    <n v="33728.660000000003"/>
    <n v="33728.660000000003"/>
    <x v="1"/>
    <x v="1"/>
  </r>
  <r>
    <x v="1048"/>
    <s v="2025-07-10"/>
    <x v="6"/>
    <s v="CUST2605"/>
    <x v="4"/>
    <n v="3"/>
    <n v="22439.8"/>
    <n v="67319.399999999994"/>
    <x v="2"/>
    <x v="3"/>
  </r>
  <r>
    <x v="1049"/>
    <s v="2025-07-10"/>
    <x v="6"/>
    <s v="CUST2416"/>
    <x v="8"/>
    <n v="1"/>
    <n v="42601.93"/>
    <n v="42601.93"/>
    <x v="0"/>
    <x v="2"/>
  </r>
  <r>
    <x v="1050"/>
    <s v="2025-07-10"/>
    <x v="6"/>
    <s v="CUST2685"/>
    <x v="1"/>
    <n v="5"/>
    <n v="7991.34"/>
    <n v="39956.699999999997"/>
    <x v="2"/>
    <x v="0"/>
  </r>
  <r>
    <x v="1051"/>
    <s v="2025-07-10"/>
    <x v="6"/>
    <s v="CUST4627"/>
    <x v="7"/>
    <n v="5"/>
    <n v="43503.65"/>
    <n v="217518.25"/>
    <x v="0"/>
    <x v="1"/>
  </r>
  <r>
    <x v="1052"/>
    <s v="2025-07-11"/>
    <x v="6"/>
    <s v="CUST1669"/>
    <x v="7"/>
    <n v="5"/>
    <n v="9926.85"/>
    <n v="49634.25"/>
    <x v="1"/>
    <x v="2"/>
  </r>
  <r>
    <x v="1053"/>
    <s v="2025-07-11"/>
    <x v="6"/>
    <s v="CUST2894"/>
    <x v="4"/>
    <n v="3"/>
    <n v="26676.92"/>
    <n v="80030.759999999995"/>
    <x v="1"/>
    <x v="3"/>
  </r>
  <r>
    <x v="1054"/>
    <s v="2025-07-11"/>
    <x v="6"/>
    <s v="CUST9592"/>
    <x v="5"/>
    <n v="4"/>
    <n v="49575.199999999997"/>
    <n v="198300.79999999999"/>
    <x v="0"/>
    <x v="3"/>
  </r>
  <r>
    <x v="1055"/>
    <s v="2025-07-11"/>
    <x v="6"/>
    <s v="CUST6712"/>
    <x v="8"/>
    <n v="5"/>
    <n v="46571.48"/>
    <n v="232857.4"/>
    <x v="1"/>
    <x v="2"/>
  </r>
  <r>
    <x v="1056"/>
    <s v="2025-07-11"/>
    <x v="6"/>
    <s v="CUST3921"/>
    <x v="7"/>
    <n v="2"/>
    <n v="44803.06"/>
    <n v="89606.12"/>
    <x v="2"/>
    <x v="0"/>
  </r>
  <r>
    <x v="1057"/>
    <s v="2025-07-11"/>
    <x v="6"/>
    <s v="CUST9844"/>
    <x v="4"/>
    <n v="4"/>
    <n v="48674.49"/>
    <n v="194697.96"/>
    <x v="1"/>
    <x v="3"/>
  </r>
  <r>
    <x v="1058"/>
    <s v="2025-07-11"/>
    <x v="6"/>
    <s v="CUST3853"/>
    <x v="1"/>
    <n v="3"/>
    <n v="10708.99"/>
    <n v="32126.97"/>
    <x v="3"/>
    <x v="3"/>
  </r>
  <r>
    <x v="1059"/>
    <s v="2025-07-11"/>
    <x v="6"/>
    <s v="CUST3658"/>
    <x v="5"/>
    <n v="2"/>
    <n v="35462.21"/>
    <n v="70924.42"/>
    <x v="3"/>
    <x v="3"/>
  </r>
  <r>
    <x v="1060"/>
    <s v="2025-07-12"/>
    <x v="6"/>
    <s v="CUST2570"/>
    <x v="5"/>
    <n v="1"/>
    <n v="36787.370000000003"/>
    <n v="36787.370000000003"/>
    <x v="3"/>
    <x v="3"/>
  </r>
  <r>
    <x v="1061"/>
    <s v="2025-07-12"/>
    <x v="6"/>
    <s v="CUST8259"/>
    <x v="9"/>
    <n v="5"/>
    <n v="6567.18"/>
    <n v="32835.9"/>
    <x v="2"/>
    <x v="1"/>
  </r>
  <r>
    <x v="1062"/>
    <s v="2025-07-12"/>
    <x v="6"/>
    <s v="CUST7836"/>
    <x v="5"/>
    <n v="2"/>
    <n v="33686.75"/>
    <n v="67373.5"/>
    <x v="3"/>
    <x v="3"/>
  </r>
  <r>
    <x v="1063"/>
    <s v="2025-07-12"/>
    <x v="6"/>
    <s v="CUST1882"/>
    <x v="4"/>
    <n v="3"/>
    <n v="6158.39"/>
    <n v="18475.169999999998"/>
    <x v="3"/>
    <x v="0"/>
  </r>
  <r>
    <x v="1064"/>
    <s v="2025-07-12"/>
    <x v="6"/>
    <s v="CUST6007"/>
    <x v="5"/>
    <n v="3"/>
    <n v="5071.8599999999997"/>
    <n v="15215.58"/>
    <x v="3"/>
    <x v="3"/>
  </r>
  <r>
    <x v="1065"/>
    <s v="2025-07-12"/>
    <x v="6"/>
    <s v="CUST1588"/>
    <x v="0"/>
    <n v="5"/>
    <n v="48734.62"/>
    <n v="243673.1"/>
    <x v="1"/>
    <x v="2"/>
  </r>
  <r>
    <x v="1066"/>
    <s v="2025-07-12"/>
    <x v="6"/>
    <s v="CUST5258"/>
    <x v="9"/>
    <n v="4"/>
    <n v="24058.67"/>
    <n v="96234.68"/>
    <x v="0"/>
    <x v="2"/>
  </r>
  <r>
    <x v="1067"/>
    <s v="2025-07-12"/>
    <x v="6"/>
    <s v="CUST5407"/>
    <x v="4"/>
    <n v="5"/>
    <n v="21025.02"/>
    <n v="105125.1"/>
    <x v="0"/>
    <x v="0"/>
  </r>
  <r>
    <x v="1068"/>
    <s v="2025-07-13"/>
    <x v="6"/>
    <s v="CUST6885"/>
    <x v="0"/>
    <n v="2"/>
    <n v="37051.35"/>
    <n v="74102.7"/>
    <x v="2"/>
    <x v="3"/>
  </r>
  <r>
    <x v="1069"/>
    <s v="2025-07-13"/>
    <x v="6"/>
    <s v="CUST2046"/>
    <x v="3"/>
    <n v="5"/>
    <n v="6812.43"/>
    <n v="34062.15"/>
    <x v="3"/>
    <x v="0"/>
  </r>
  <r>
    <x v="1070"/>
    <s v="2025-07-13"/>
    <x v="6"/>
    <s v="CUST7252"/>
    <x v="0"/>
    <n v="4"/>
    <n v="3391.93"/>
    <n v="13567.72"/>
    <x v="2"/>
    <x v="1"/>
  </r>
  <r>
    <x v="1071"/>
    <s v="2025-07-13"/>
    <x v="6"/>
    <s v="CUST2456"/>
    <x v="8"/>
    <n v="1"/>
    <n v="24979.49"/>
    <n v="24979.49"/>
    <x v="1"/>
    <x v="3"/>
  </r>
  <r>
    <x v="1072"/>
    <s v="2025-07-13"/>
    <x v="6"/>
    <s v="CUST3794"/>
    <x v="4"/>
    <n v="2"/>
    <n v="13275.81"/>
    <n v="26551.62"/>
    <x v="2"/>
    <x v="2"/>
  </r>
  <r>
    <x v="1073"/>
    <s v="2025-07-14"/>
    <x v="6"/>
    <s v="CUST7923"/>
    <x v="5"/>
    <n v="1"/>
    <n v="19558.84"/>
    <n v="19558.84"/>
    <x v="1"/>
    <x v="3"/>
  </r>
  <r>
    <x v="1074"/>
    <s v="2025-07-14"/>
    <x v="6"/>
    <s v="CUST7656"/>
    <x v="6"/>
    <n v="1"/>
    <n v="46224.78"/>
    <n v="46224.78"/>
    <x v="1"/>
    <x v="1"/>
  </r>
  <r>
    <x v="1075"/>
    <s v="2025-07-14"/>
    <x v="6"/>
    <s v="CUST8211"/>
    <x v="7"/>
    <n v="2"/>
    <n v="44553.99"/>
    <n v="89107.98"/>
    <x v="0"/>
    <x v="3"/>
  </r>
  <r>
    <x v="1076"/>
    <s v="2025-07-14"/>
    <x v="6"/>
    <s v="CUST4513"/>
    <x v="3"/>
    <n v="3"/>
    <n v="32949.360000000001"/>
    <n v="98848.08"/>
    <x v="2"/>
    <x v="0"/>
  </r>
  <r>
    <x v="1077"/>
    <s v="2025-07-15"/>
    <x v="6"/>
    <s v="CUST2894"/>
    <x v="6"/>
    <n v="1"/>
    <n v="27545.18"/>
    <n v="27545.18"/>
    <x v="0"/>
    <x v="3"/>
  </r>
  <r>
    <x v="1078"/>
    <s v="2025-07-15"/>
    <x v="6"/>
    <s v="CUST3032"/>
    <x v="1"/>
    <n v="1"/>
    <n v="29712.1"/>
    <n v="29712.1"/>
    <x v="2"/>
    <x v="2"/>
  </r>
  <r>
    <x v="1079"/>
    <s v="2025-07-15"/>
    <x v="6"/>
    <s v="CUST9956"/>
    <x v="1"/>
    <n v="5"/>
    <n v="30635.96"/>
    <n v="153179.79999999999"/>
    <x v="1"/>
    <x v="3"/>
  </r>
  <r>
    <x v="1080"/>
    <s v="2025-07-15"/>
    <x v="6"/>
    <s v="CUST3646"/>
    <x v="2"/>
    <n v="2"/>
    <n v="6170.14"/>
    <n v="12340.28"/>
    <x v="0"/>
    <x v="3"/>
  </r>
  <r>
    <x v="1081"/>
    <s v="2025-07-15"/>
    <x v="6"/>
    <s v="CUST7391"/>
    <x v="6"/>
    <n v="2"/>
    <n v="22203.21"/>
    <n v="44406.42"/>
    <x v="3"/>
    <x v="3"/>
  </r>
  <r>
    <x v="1082"/>
    <s v="2025-07-15"/>
    <x v="6"/>
    <s v="CUST1454"/>
    <x v="1"/>
    <n v="3"/>
    <n v="21472.85"/>
    <n v="64418.55"/>
    <x v="0"/>
    <x v="1"/>
  </r>
  <r>
    <x v="1083"/>
    <s v="2025-07-15"/>
    <x v="6"/>
    <s v="CUST4134"/>
    <x v="5"/>
    <n v="2"/>
    <n v="4491.7700000000004"/>
    <n v="8983.5400000000009"/>
    <x v="1"/>
    <x v="0"/>
  </r>
  <r>
    <x v="1084"/>
    <s v="2025-07-16"/>
    <x v="6"/>
    <s v="CUST4812"/>
    <x v="2"/>
    <n v="1"/>
    <n v="46095.32"/>
    <n v="46095.32"/>
    <x v="2"/>
    <x v="2"/>
  </r>
  <r>
    <x v="1085"/>
    <s v="2025-07-16"/>
    <x v="6"/>
    <s v="CUST9890"/>
    <x v="8"/>
    <n v="3"/>
    <n v="43592.53"/>
    <n v="130777.59"/>
    <x v="1"/>
    <x v="0"/>
  </r>
  <r>
    <x v="1086"/>
    <s v="2025-07-16"/>
    <x v="6"/>
    <s v="CUST3475"/>
    <x v="0"/>
    <n v="1"/>
    <n v="45792.7"/>
    <n v="45792.7"/>
    <x v="0"/>
    <x v="2"/>
  </r>
  <r>
    <x v="1087"/>
    <s v="2025-07-16"/>
    <x v="6"/>
    <s v="CUST7791"/>
    <x v="1"/>
    <n v="3"/>
    <n v="5205.7700000000004"/>
    <n v="15617.31"/>
    <x v="3"/>
    <x v="2"/>
  </r>
  <r>
    <x v="1088"/>
    <s v="2025-07-16"/>
    <x v="6"/>
    <s v="CUST8865"/>
    <x v="4"/>
    <n v="3"/>
    <n v="15337.87"/>
    <n v="46013.61"/>
    <x v="1"/>
    <x v="3"/>
  </r>
  <r>
    <x v="1089"/>
    <s v="2025-07-17"/>
    <x v="6"/>
    <s v="CUST8953"/>
    <x v="5"/>
    <n v="4"/>
    <n v="11964.89"/>
    <n v="47859.56"/>
    <x v="0"/>
    <x v="1"/>
  </r>
  <r>
    <x v="1090"/>
    <s v="2025-07-17"/>
    <x v="6"/>
    <s v="CUST5185"/>
    <x v="5"/>
    <n v="2"/>
    <n v="1688.67"/>
    <n v="3377.34"/>
    <x v="3"/>
    <x v="1"/>
  </r>
  <r>
    <x v="1091"/>
    <s v="2025-07-17"/>
    <x v="6"/>
    <s v="CUST6635"/>
    <x v="4"/>
    <n v="3"/>
    <n v="18595.43"/>
    <n v="55786.29"/>
    <x v="3"/>
    <x v="1"/>
  </r>
  <r>
    <x v="1092"/>
    <s v="2025-07-18"/>
    <x v="6"/>
    <s v="CUST8258"/>
    <x v="3"/>
    <n v="4"/>
    <n v="47383.67"/>
    <n v="189534.68"/>
    <x v="1"/>
    <x v="1"/>
  </r>
  <r>
    <x v="1093"/>
    <s v="2025-07-18"/>
    <x v="6"/>
    <s v="CUST6680"/>
    <x v="7"/>
    <n v="2"/>
    <n v="3024.43"/>
    <n v="6048.86"/>
    <x v="3"/>
    <x v="0"/>
  </r>
  <r>
    <x v="1094"/>
    <s v="2025-07-18"/>
    <x v="6"/>
    <s v="CUST6372"/>
    <x v="5"/>
    <n v="2"/>
    <n v="43342.67"/>
    <n v="86685.34"/>
    <x v="2"/>
    <x v="3"/>
  </r>
  <r>
    <x v="1095"/>
    <s v="2025-07-18"/>
    <x v="6"/>
    <s v="CUST8682"/>
    <x v="0"/>
    <n v="5"/>
    <n v="48234.74"/>
    <n v="241173.7"/>
    <x v="0"/>
    <x v="0"/>
  </r>
  <r>
    <x v="1096"/>
    <s v="2025-07-18"/>
    <x v="6"/>
    <s v="CUST6827"/>
    <x v="9"/>
    <n v="4"/>
    <n v="41821.83"/>
    <n v="167287.32"/>
    <x v="2"/>
    <x v="1"/>
  </r>
  <r>
    <x v="1097"/>
    <s v="2025-07-18"/>
    <x v="6"/>
    <s v="CUST4885"/>
    <x v="5"/>
    <n v="5"/>
    <n v="10225.82"/>
    <n v="51129.1"/>
    <x v="3"/>
    <x v="3"/>
  </r>
  <r>
    <x v="1098"/>
    <s v="2025-07-19"/>
    <x v="6"/>
    <s v="CUST2000"/>
    <x v="2"/>
    <n v="2"/>
    <n v="8721.6299999999992"/>
    <n v="17443.259999999998"/>
    <x v="0"/>
    <x v="1"/>
  </r>
  <r>
    <x v="1099"/>
    <s v="2025-07-19"/>
    <x v="6"/>
    <s v="CUST3206"/>
    <x v="5"/>
    <n v="5"/>
    <n v="34950.28"/>
    <n v="174751.4"/>
    <x v="1"/>
    <x v="0"/>
  </r>
  <r>
    <x v="1100"/>
    <s v="2025-07-19"/>
    <x v="6"/>
    <s v="CUST3590"/>
    <x v="1"/>
    <n v="3"/>
    <n v="10900.17"/>
    <n v="32700.51"/>
    <x v="2"/>
    <x v="2"/>
  </r>
  <r>
    <x v="1101"/>
    <s v="2025-07-19"/>
    <x v="6"/>
    <s v="CUST6342"/>
    <x v="1"/>
    <n v="2"/>
    <n v="30871.43"/>
    <n v="61742.86"/>
    <x v="0"/>
    <x v="1"/>
  </r>
  <r>
    <x v="1102"/>
    <s v="2025-07-19"/>
    <x v="6"/>
    <s v="CUST4363"/>
    <x v="1"/>
    <n v="2"/>
    <n v="32007.42"/>
    <n v="64014.84"/>
    <x v="1"/>
    <x v="3"/>
  </r>
  <r>
    <x v="1103"/>
    <s v="2025-07-19"/>
    <x v="6"/>
    <s v="CUST4793"/>
    <x v="5"/>
    <n v="4"/>
    <n v="10785.03"/>
    <n v="43140.12"/>
    <x v="2"/>
    <x v="1"/>
  </r>
  <r>
    <x v="1104"/>
    <s v="2025-07-20"/>
    <x v="6"/>
    <s v="CUST9606"/>
    <x v="4"/>
    <n v="3"/>
    <n v="34328.449999999997"/>
    <n v="102985.35"/>
    <x v="2"/>
    <x v="2"/>
  </r>
  <r>
    <x v="1105"/>
    <s v="2025-07-20"/>
    <x v="6"/>
    <s v="CUST5753"/>
    <x v="3"/>
    <n v="5"/>
    <n v="635.59"/>
    <n v="3177.95"/>
    <x v="0"/>
    <x v="1"/>
  </r>
  <r>
    <x v="1106"/>
    <s v="2025-07-20"/>
    <x v="6"/>
    <s v="CUST1836"/>
    <x v="3"/>
    <n v="5"/>
    <n v="10318.540000000001"/>
    <n v="51592.7"/>
    <x v="1"/>
    <x v="0"/>
  </r>
  <r>
    <x v="1107"/>
    <s v="2025-07-20"/>
    <x v="6"/>
    <s v="CUST8071"/>
    <x v="5"/>
    <n v="5"/>
    <n v="13784.06"/>
    <n v="68920.3"/>
    <x v="3"/>
    <x v="3"/>
  </r>
  <r>
    <x v="1108"/>
    <s v="2025-07-20"/>
    <x v="6"/>
    <s v="CUST8695"/>
    <x v="5"/>
    <n v="5"/>
    <n v="35359.26"/>
    <n v="176796.3"/>
    <x v="0"/>
    <x v="3"/>
  </r>
  <r>
    <x v="1109"/>
    <s v="2025-07-20"/>
    <x v="6"/>
    <s v="CUST8833"/>
    <x v="5"/>
    <n v="1"/>
    <n v="21547.8"/>
    <n v="21547.8"/>
    <x v="3"/>
    <x v="2"/>
  </r>
  <r>
    <x v="1110"/>
    <s v="2025-07-21"/>
    <x v="6"/>
    <s v="CUST8081"/>
    <x v="9"/>
    <n v="1"/>
    <n v="32028.04"/>
    <n v="32028.04"/>
    <x v="1"/>
    <x v="2"/>
  </r>
  <r>
    <x v="1111"/>
    <s v="2025-07-21"/>
    <x v="6"/>
    <s v="CUST6403"/>
    <x v="1"/>
    <n v="4"/>
    <n v="18208.2"/>
    <n v="72832.800000000003"/>
    <x v="1"/>
    <x v="1"/>
  </r>
  <r>
    <x v="1112"/>
    <s v="2025-07-21"/>
    <x v="6"/>
    <s v="CUST3963"/>
    <x v="9"/>
    <n v="1"/>
    <n v="14100.54"/>
    <n v="14100.54"/>
    <x v="2"/>
    <x v="1"/>
  </r>
  <r>
    <x v="1113"/>
    <s v="2025-07-21"/>
    <x v="6"/>
    <s v="CUST7171"/>
    <x v="9"/>
    <n v="1"/>
    <n v="6657.11"/>
    <n v="6657.11"/>
    <x v="1"/>
    <x v="3"/>
  </r>
  <r>
    <x v="1114"/>
    <s v="2025-07-21"/>
    <x v="6"/>
    <s v="CUST7013"/>
    <x v="6"/>
    <n v="5"/>
    <n v="10260.790000000001"/>
    <n v="51303.95"/>
    <x v="3"/>
    <x v="2"/>
  </r>
  <r>
    <x v="1115"/>
    <s v="2025-07-21"/>
    <x v="6"/>
    <s v="CUST2881"/>
    <x v="9"/>
    <n v="4"/>
    <n v="21592.51"/>
    <n v="86370.04"/>
    <x v="1"/>
    <x v="1"/>
  </r>
  <r>
    <x v="1116"/>
    <s v="2025-07-21"/>
    <x v="6"/>
    <s v="CUST4650"/>
    <x v="6"/>
    <n v="4"/>
    <n v="36009.519999999997"/>
    <n v="144038.07999999999"/>
    <x v="1"/>
    <x v="3"/>
  </r>
  <r>
    <x v="1117"/>
    <s v="2025-07-22"/>
    <x v="6"/>
    <s v="CUST2851"/>
    <x v="3"/>
    <n v="3"/>
    <n v="45943.28"/>
    <n v="137829.84"/>
    <x v="0"/>
    <x v="0"/>
  </r>
  <r>
    <x v="1118"/>
    <s v="2025-07-22"/>
    <x v="6"/>
    <s v="CUST4926"/>
    <x v="0"/>
    <n v="5"/>
    <n v="46495.45"/>
    <n v="232477.25"/>
    <x v="3"/>
    <x v="1"/>
  </r>
  <r>
    <x v="1119"/>
    <s v="2025-07-22"/>
    <x v="6"/>
    <s v="CUST1806"/>
    <x v="0"/>
    <n v="3"/>
    <n v="31729.89"/>
    <n v="95189.67"/>
    <x v="2"/>
    <x v="3"/>
  </r>
  <r>
    <x v="1120"/>
    <s v="2025-07-22"/>
    <x v="6"/>
    <s v="CUST7180"/>
    <x v="9"/>
    <n v="4"/>
    <n v="4407.51"/>
    <n v="17630.04"/>
    <x v="0"/>
    <x v="0"/>
  </r>
  <r>
    <x v="1121"/>
    <s v="2025-07-22"/>
    <x v="6"/>
    <s v="CUST5278"/>
    <x v="9"/>
    <n v="4"/>
    <n v="49531.68"/>
    <n v="198126.72"/>
    <x v="3"/>
    <x v="2"/>
  </r>
  <r>
    <x v="1122"/>
    <s v="2025-07-22"/>
    <x v="6"/>
    <s v="CUST8680"/>
    <x v="6"/>
    <n v="5"/>
    <n v="36791.410000000003"/>
    <n v="183957.05"/>
    <x v="0"/>
    <x v="2"/>
  </r>
  <r>
    <x v="1123"/>
    <s v="2025-07-22"/>
    <x v="6"/>
    <s v="CUST7515"/>
    <x v="2"/>
    <n v="2"/>
    <n v="826"/>
    <n v="1652"/>
    <x v="1"/>
    <x v="1"/>
  </r>
  <r>
    <x v="1124"/>
    <s v="2025-07-23"/>
    <x v="6"/>
    <s v="CUST9786"/>
    <x v="2"/>
    <n v="5"/>
    <n v="20530.72"/>
    <n v="102653.6"/>
    <x v="2"/>
    <x v="2"/>
  </r>
  <r>
    <x v="1125"/>
    <s v="2025-07-23"/>
    <x v="6"/>
    <s v="CUST1765"/>
    <x v="0"/>
    <n v="3"/>
    <n v="45281.29"/>
    <n v="135843.87"/>
    <x v="3"/>
    <x v="1"/>
  </r>
  <r>
    <x v="1126"/>
    <s v="2025-07-23"/>
    <x v="6"/>
    <s v="CUST9088"/>
    <x v="9"/>
    <n v="3"/>
    <n v="7532.83"/>
    <n v="22598.49"/>
    <x v="1"/>
    <x v="1"/>
  </r>
  <r>
    <x v="1127"/>
    <s v="2025-07-23"/>
    <x v="6"/>
    <s v="CUST8207"/>
    <x v="0"/>
    <n v="2"/>
    <n v="14038.31"/>
    <n v="28076.62"/>
    <x v="2"/>
    <x v="0"/>
  </r>
  <r>
    <x v="1128"/>
    <s v="2025-07-23"/>
    <x v="6"/>
    <s v="CUST7647"/>
    <x v="2"/>
    <n v="4"/>
    <n v="15992.04"/>
    <n v="63968.160000000003"/>
    <x v="3"/>
    <x v="3"/>
  </r>
  <r>
    <x v="1129"/>
    <s v="2025-07-23"/>
    <x v="6"/>
    <s v="CUST4935"/>
    <x v="5"/>
    <n v="5"/>
    <n v="45032.29"/>
    <n v="225161.45"/>
    <x v="1"/>
    <x v="0"/>
  </r>
  <r>
    <x v="1130"/>
    <s v="2025-07-23"/>
    <x v="6"/>
    <s v="CUST4393"/>
    <x v="0"/>
    <n v="5"/>
    <n v="19711.18"/>
    <n v="98555.9"/>
    <x v="2"/>
    <x v="3"/>
  </r>
  <r>
    <x v="1131"/>
    <s v="2025-07-23"/>
    <x v="6"/>
    <s v="CUST5879"/>
    <x v="5"/>
    <n v="2"/>
    <n v="42152.36"/>
    <n v="84304.72"/>
    <x v="0"/>
    <x v="2"/>
  </r>
  <r>
    <x v="1132"/>
    <s v="2025-07-24"/>
    <x v="6"/>
    <s v="CUST3334"/>
    <x v="7"/>
    <n v="2"/>
    <n v="23134.05"/>
    <n v="46268.1"/>
    <x v="3"/>
    <x v="0"/>
  </r>
  <r>
    <x v="1133"/>
    <s v="2025-07-24"/>
    <x v="6"/>
    <s v="CUST9422"/>
    <x v="9"/>
    <n v="5"/>
    <n v="18068.45"/>
    <n v="90342.25"/>
    <x v="3"/>
    <x v="0"/>
  </r>
  <r>
    <x v="1134"/>
    <s v="2025-07-24"/>
    <x v="6"/>
    <s v="CUST5191"/>
    <x v="4"/>
    <n v="1"/>
    <n v="16134.52"/>
    <n v="16134.52"/>
    <x v="2"/>
    <x v="2"/>
  </r>
  <r>
    <x v="1135"/>
    <s v="2025-07-24"/>
    <x v="6"/>
    <s v="CUST3513"/>
    <x v="8"/>
    <n v="4"/>
    <n v="34674.58"/>
    <n v="138698.32"/>
    <x v="2"/>
    <x v="3"/>
  </r>
  <r>
    <x v="1136"/>
    <s v="2025-07-24"/>
    <x v="6"/>
    <s v="CUST4174"/>
    <x v="7"/>
    <n v="3"/>
    <n v="46278.64"/>
    <n v="138835.92000000001"/>
    <x v="0"/>
    <x v="3"/>
  </r>
  <r>
    <x v="1137"/>
    <s v="2025-07-25"/>
    <x v="6"/>
    <s v="CUST2139"/>
    <x v="5"/>
    <n v="4"/>
    <n v="39504.74"/>
    <n v="158018.96"/>
    <x v="0"/>
    <x v="2"/>
  </r>
  <r>
    <x v="1138"/>
    <s v="2025-07-25"/>
    <x v="6"/>
    <s v="CUST7384"/>
    <x v="6"/>
    <n v="2"/>
    <n v="25047.96"/>
    <n v="50095.92"/>
    <x v="1"/>
    <x v="3"/>
  </r>
  <r>
    <x v="1139"/>
    <s v="2025-07-25"/>
    <x v="6"/>
    <s v="CUST4368"/>
    <x v="0"/>
    <n v="4"/>
    <n v="34780.769999999997"/>
    <n v="139123.07999999999"/>
    <x v="3"/>
    <x v="0"/>
  </r>
  <r>
    <x v="1140"/>
    <s v="2025-07-25"/>
    <x v="6"/>
    <s v="CUST2232"/>
    <x v="4"/>
    <n v="4"/>
    <n v="26987.82"/>
    <n v="107951.28"/>
    <x v="3"/>
    <x v="1"/>
  </r>
  <r>
    <x v="1141"/>
    <s v="2025-07-25"/>
    <x v="6"/>
    <s v="CUST1654"/>
    <x v="6"/>
    <n v="2"/>
    <n v="16406.62"/>
    <n v="32813.24"/>
    <x v="0"/>
    <x v="2"/>
  </r>
  <r>
    <x v="1142"/>
    <s v="2025-07-25"/>
    <x v="6"/>
    <s v="CUST4447"/>
    <x v="0"/>
    <n v="1"/>
    <n v="34078.870000000003"/>
    <n v="34078.870000000003"/>
    <x v="2"/>
    <x v="0"/>
  </r>
  <r>
    <x v="1143"/>
    <s v="2025-07-25"/>
    <x v="6"/>
    <s v="CUST4979"/>
    <x v="0"/>
    <n v="5"/>
    <n v="4237.8"/>
    <n v="21189"/>
    <x v="3"/>
    <x v="0"/>
  </r>
  <r>
    <x v="1144"/>
    <s v="2025-07-26"/>
    <x v="6"/>
    <s v="CUST7950"/>
    <x v="1"/>
    <n v="1"/>
    <n v="7873.26"/>
    <n v="7873.26"/>
    <x v="2"/>
    <x v="2"/>
  </r>
  <r>
    <x v="1145"/>
    <s v="2025-07-26"/>
    <x v="6"/>
    <s v="CUST7754"/>
    <x v="1"/>
    <n v="3"/>
    <n v="34194.839999999997"/>
    <n v="102584.52"/>
    <x v="2"/>
    <x v="2"/>
  </r>
  <r>
    <x v="1146"/>
    <s v="2025-07-26"/>
    <x v="6"/>
    <s v="CUST5024"/>
    <x v="8"/>
    <n v="2"/>
    <n v="47753.760000000002"/>
    <n v="95507.520000000004"/>
    <x v="2"/>
    <x v="3"/>
  </r>
  <r>
    <x v="1147"/>
    <s v="2025-07-26"/>
    <x v="6"/>
    <s v="CUST3445"/>
    <x v="7"/>
    <n v="3"/>
    <n v="49564.160000000003"/>
    <n v="148692.48000000001"/>
    <x v="3"/>
    <x v="0"/>
  </r>
  <r>
    <x v="1148"/>
    <s v="2025-07-27"/>
    <x v="6"/>
    <s v="CUST2377"/>
    <x v="1"/>
    <n v="2"/>
    <n v="37733.07"/>
    <n v="75466.14"/>
    <x v="1"/>
    <x v="2"/>
  </r>
  <r>
    <x v="1149"/>
    <s v="2025-07-27"/>
    <x v="6"/>
    <s v="CUST1530"/>
    <x v="7"/>
    <n v="1"/>
    <n v="8961.16"/>
    <n v="8961.16"/>
    <x v="3"/>
    <x v="3"/>
  </r>
  <r>
    <x v="1150"/>
    <s v="2025-07-27"/>
    <x v="6"/>
    <s v="CUST2791"/>
    <x v="0"/>
    <n v="4"/>
    <n v="26123.52"/>
    <n v="104494.08"/>
    <x v="0"/>
    <x v="3"/>
  </r>
  <r>
    <x v="1151"/>
    <s v="2025-07-27"/>
    <x v="6"/>
    <s v="CUST9889"/>
    <x v="4"/>
    <n v="2"/>
    <n v="19400.91"/>
    <n v="38801.82"/>
    <x v="1"/>
    <x v="0"/>
  </r>
  <r>
    <x v="1152"/>
    <s v="2025-07-28"/>
    <x v="6"/>
    <s v="CUST3121"/>
    <x v="6"/>
    <n v="3"/>
    <n v="47352.92"/>
    <n v="142058.76"/>
    <x v="1"/>
    <x v="1"/>
  </r>
  <r>
    <x v="1153"/>
    <s v="2025-07-28"/>
    <x v="6"/>
    <s v="CUST3096"/>
    <x v="2"/>
    <n v="2"/>
    <n v="39310.14"/>
    <n v="78620.28"/>
    <x v="0"/>
    <x v="2"/>
  </r>
  <r>
    <x v="1154"/>
    <s v="2025-07-28"/>
    <x v="6"/>
    <s v="CUST3443"/>
    <x v="3"/>
    <n v="2"/>
    <n v="34606.07"/>
    <n v="69212.14"/>
    <x v="1"/>
    <x v="2"/>
  </r>
  <r>
    <x v="1155"/>
    <s v="2025-07-28"/>
    <x v="6"/>
    <s v="CUST9829"/>
    <x v="8"/>
    <n v="3"/>
    <n v="3584.6"/>
    <n v="10753.8"/>
    <x v="0"/>
    <x v="1"/>
  </r>
  <r>
    <x v="1156"/>
    <s v="2025-07-28"/>
    <x v="6"/>
    <s v="CUST7627"/>
    <x v="7"/>
    <n v="5"/>
    <n v="38958.85"/>
    <n v="194794.25"/>
    <x v="3"/>
    <x v="1"/>
  </r>
  <r>
    <x v="1157"/>
    <s v="2025-07-28"/>
    <x v="6"/>
    <s v="CUST3125"/>
    <x v="8"/>
    <n v="1"/>
    <n v="21978.240000000002"/>
    <n v="21978.240000000002"/>
    <x v="3"/>
    <x v="2"/>
  </r>
  <r>
    <x v="1158"/>
    <s v="2025-07-28"/>
    <x v="6"/>
    <s v="CUST7729"/>
    <x v="2"/>
    <n v="3"/>
    <n v="32663.65"/>
    <n v="97990.95"/>
    <x v="1"/>
    <x v="2"/>
  </r>
  <r>
    <x v="1159"/>
    <s v="2025-07-28"/>
    <x v="6"/>
    <s v="CUST4155"/>
    <x v="5"/>
    <n v="5"/>
    <n v="38612.400000000001"/>
    <n v="193062"/>
    <x v="3"/>
    <x v="0"/>
  </r>
  <r>
    <x v="1160"/>
    <s v="2025-07-29"/>
    <x v="6"/>
    <s v="CUST9396"/>
    <x v="9"/>
    <n v="3"/>
    <n v="33109.230000000003"/>
    <n v="99327.69"/>
    <x v="0"/>
    <x v="1"/>
  </r>
  <r>
    <x v="1161"/>
    <s v="2025-07-29"/>
    <x v="6"/>
    <s v="CUST1932"/>
    <x v="6"/>
    <n v="5"/>
    <n v="23594.28"/>
    <n v="117971.4"/>
    <x v="0"/>
    <x v="1"/>
  </r>
  <r>
    <x v="1162"/>
    <s v="2025-07-29"/>
    <x v="6"/>
    <s v="CUST5232"/>
    <x v="9"/>
    <n v="1"/>
    <n v="19725.12"/>
    <n v="19725.12"/>
    <x v="0"/>
    <x v="2"/>
  </r>
  <r>
    <x v="1163"/>
    <s v="2025-07-30"/>
    <x v="6"/>
    <s v="CUST7926"/>
    <x v="9"/>
    <n v="3"/>
    <n v="15675.13"/>
    <n v="47025.39"/>
    <x v="2"/>
    <x v="0"/>
  </r>
  <r>
    <x v="1164"/>
    <s v="2025-07-30"/>
    <x v="6"/>
    <s v="CUST1840"/>
    <x v="0"/>
    <n v="3"/>
    <n v="38184.410000000003"/>
    <n v="114553.23"/>
    <x v="2"/>
    <x v="3"/>
  </r>
  <r>
    <x v="1165"/>
    <s v="2025-07-30"/>
    <x v="6"/>
    <s v="CUST1261"/>
    <x v="4"/>
    <n v="4"/>
    <n v="41703.72"/>
    <n v="166814.88"/>
    <x v="1"/>
    <x v="3"/>
  </r>
  <r>
    <x v="1166"/>
    <s v="2025-07-30"/>
    <x v="6"/>
    <s v="CUST4474"/>
    <x v="3"/>
    <n v="1"/>
    <n v="28730.46"/>
    <n v="28730.46"/>
    <x v="2"/>
    <x v="3"/>
  </r>
  <r>
    <x v="1167"/>
    <s v="2025-07-30"/>
    <x v="6"/>
    <s v="CUST9050"/>
    <x v="3"/>
    <n v="1"/>
    <n v="7178.72"/>
    <n v="7178.72"/>
    <x v="1"/>
    <x v="0"/>
  </r>
  <r>
    <x v="1168"/>
    <s v="2025-07-30"/>
    <x v="6"/>
    <s v="CUST7139"/>
    <x v="2"/>
    <n v="3"/>
    <n v="11401.78"/>
    <n v="34205.339999999997"/>
    <x v="1"/>
    <x v="3"/>
  </r>
  <r>
    <x v="1169"/>
    <s v="2025-07-31"/>
    <x v="6"/>
    <s v="CUST1127"/>
    <x v="6"/>
    <n v="1"/>
    <n v="5573.41"/>
    <n v="5573.41"/>
    <x v="1"/>
    <x v="2"/>
  </r>
  <r>
    <x v="1170"/>
    <s v="2025-07-31"/>
    <x v="6"/>
    <s v="CUST5672"/>
    <x v="1"/>
    <n v="5"/>
    <n v="7179.19"/>
    <n v="35895.949999999997"/>
    <x v="3"/>
    <x v="1"/>
  </r>
  <r>
    <x v="1171"/>
    <s v="2025-07-31"/>
    <x v="6"/>
    <s v="CUST6304"/>
    <x v="8"/>
    <n v="1"/>
    <n v="18295.29"/>
    <n v="18295.29"/>
    <x v="2"/>
    <x v="1"/>
  </r>
  <r>
    <x v="1172"/>
    <s v="2025-07-31"/>
    <x v="6"/>
    <s v="CUST3369"/>
    <x v="8"/>
    <n v="5"/>
    <n v="20181.509999999998"/>
    <n v="100907.55"/>
    <x v="0"/>
    <x v="1"/>
  </r>
  <r>
    <x v="1173"/>
    <s v="2025-07-31"/>
    <x v="6"/>
    <s v="CUST1401"/>
    <x v="3"/>
    <n v="5"/>
    <n v="20530.580000000002"/>
    <n v="102652.9"/>
    <x v="1"/>
    <x v="3"/>
  </r>
  <r>
    <x v="1174"/>
    <s v="2025-08-01"/>
    <x v="7"/>
    <s v="CUST4744"/>
    <x v="1"/>
    <n v="1"/>
    <n v="8419.4500000000007"/>
    <n v="8419.4500000000007"/>
    <x v="0"/>
    <x v="0"/>
  </r>
  <r>
    <x v="1175"/>
    <s v="2025-08-01"/>
    <x v="7"/>
    <s v="CUST1088"/>
    <x v="9"/>
    <n v="1"/>
    <n v="4536.47"/>
    <n v="4536.47"/>
    <x v="3"/>
    <x v="1"/>
  </r>
  <r>
    <x v="1176"/>
    <s v="2025-08-01"/>
    <x v="7"/>
    <s v="CUST1055"/>
    <x v="3"/>
    <n v="1"/>
    <n v="25615.91"/>
    <n v="25615.91"/>
    <x v="2"/>
    <x v="0"/>
  </r>
  <r>
    <x v="1177"/>
    <s v="2025-08-01"/>
    <x v="7"/>
    <s v="CUST2676"/>
    <x v="3"/>
    <n v="2"/>
    <n v="12380.82"/>
    <n v="24761.64"/>
    <x v="3"/>
    <x v="2"/>
  </r>
  <r>
    <x v="1178"/>
    <s v="2025-08-02"/>
    <x v="7"/>
    <s v="CUST7348"/>
    <x v="5"/>
    <n v="4"/>
    <n v="11808.37"/>
    <n v="47233.48"/>
    <x v="2"/>
    <x v="2"/>
  </r>
  <r>
    <x v="1179"/>
    <s v="2025-08-02"/>
    <x v="7"/>
    <s v="CUST8918"/>
    <x v="0"/>
    <n v="2"/>
    <n v="33006.339999999997"/>
    <n v="66012.679999999993"/>
    <x v="2"/>
    <x v="3"/>
  </r>
  <r>
    <x v="1180"/>
    <s v="2025-08-02"/>
    <x v="7"/>
    <s v="CUST4996"/>
    <x v="9"/>
    <n v="2"/>
    <n v="15896.82"/>
    <n v="31793.64"/>
    <x v="3"/>
    <x v="2"/>
  </r>
  <r>
    <x v="1181"/>
    <s v="2025-08-02"/>
    <x v="7"/>
    <s v="CUST9438"/>
    <x v="4"/>
    <n v="3"/>
    <n v="35770.15"/>
    <n v="107310.45"/>
    <x v="1"/>
    <x v="2"/>
  </r>
  <r>
    <x v="1182"/>
    <s v="2025-08-02"/>
    <x v="7"/>
    <s v="CUST7295"/>
    <x v="4"/>
    <n v="3"/>
    <n v="40788.19"/>
    <n v="122364.57"/>
    <x v="3"/>
    <x v="1"/>
  </r>
  <r>
    <x v="1183"/>
    <s v="2025-08-02"/>
    <x v="7"/>
    <s v="CUST4015"/>
    <x v="8"/>
    <n v="4"/>
    <n v="43018.9"/>
    <n v="172075.6"/>
    <x v="0"/>
    <x v="3"/>
  </r>
  <r>
    <x v="1184"/>
    <s v="2025-08-03"/>
    <x v="7"/>
    <s v="CUST1266"/>
    <x v="9"/>
    <n v="1"/>
    <n v="13992.96"/>
    <n v="13992.96"/>
    <x v="1"/>
    <x v="1"/>
  </r>
  <r>
    <x v="1185"/>
    <s v="2025-08-03"/>
    <x v="7"/>
    <s v="CUST4747"/>
    <x v="2"/>
    <n v="3"/>
    <n v="19012.650000000001"/>
    <n v="57037.95"/>
    <x v="2"/>
    <x v="2"/>
  </r>
  <r>
    <x v="1186"/>
    <s v="2025-08-03"/>
    <x v="7"/>
    <s v="CUST3397"/>
    <x v="8"/>
    <n v="1"/>
    <n v="45484.91"/>
    <n v="45484.91"/>
    <x v="3"/>
    <x v="2"/>
  </r>
  <r>
    <x v="1187"/>
    <s v="2025-08-03"/>
    <x v="7"/>
    <s v="CUST7951"/>
    <x v="5"/>
    <n v="4"/>
    <n v="33519.61"/>
    <n v="134078.44"/>
    <x v="1"/>
    <x v="3"/>
  </r>
  <r>
    <x v="1188"/>
    <s v="2025-08-03"/>
    <x v="7"/>
    <s v="CUST4904"/>
    <x v="5"/>
    <n v="1"/>
    <n v="38118.33"/>
    <n v="38118.33"/>
    <x v="3"/>
    <x v="3"/>
  </r>
  <r>
    <x v="1189"/>
    <s v="2025-08-03"/>
    <x v="7"/>
    <s v="CUST5461"/>
    <x v="6"/>
    <n v="4"/>
    <n v="45522.78"/>
    <n v="182091.12"/>
    <x v="2"/>
    <x v="3"/>
  </r>
  <r>
    <x v="1190"/>
    <s v="2025-08-03"/>
    <x v="7"/>
    <s v="CUST6440"/>
    <x v="1"/>
    <n v="5"/>
    <n v="31198.3"/>
    <n v="155991.5"/>
    <x v="0"/>
    <x v="2"/>
  </r>
  <r>
    <x v="1191"/>
    <s v="2025-08-03"/>
    <x v="7"/>
    <s v="CUST6351"/>
    <x v="1"/>
    <n v="2"/>
    <n v="18209.73"/>
    <n v="36419.46"/>
    <x v="2"/>
    <x v="2"/>
  </r>
  <r>
    <x v="1192"/>
    <s v="2025-08-04"/>
    <x v="7"/>
    <s v="CUST5463"/>
    <x v="4"/>
    <n v="2"/>
    <n v="14841.49"/>
    <n v="29682.98"/>
    <x v="3"/>
    <x v="2"/>
  </r>
  <r>
    <x v="1193"/>
    <s v="2025-08-04"/>
    <x v="7"/>
    <s v="CUST5860"/>
    <x v="2"/>
    <n v="5"/>
    <n v="11897.53"/>
    <n v="59487.65"/>
    <x v="0"/>
    <x v="1"/>
  </r>
  <r>
    <x v="1194"/>
    <s v="2025-08-04"/>
    <x v="7"/>
    <s v="CUST8355"/>
    <x v="5"/>
    <n v="3"/>
    <n v="46611.48"/>
    <n v="139834.44"/>
    <x v="3"/>
    <x v="2"/>
  </r>
  <r>
    <x v="1195"/>
    <s v="2025-08-05"/>
    <x v="7"/>
    <s v="CUST4900"/>
    <x v="6"/>
    <n v="1"/>
    <n v="15261.47"/>
    <n v="15261.47"/>
    <x v="2"/>
    <x v="3"/>
  </r>
  <r>
    <x v="1196"/>
    <s v="2025-08-05"/>
    <x v="7"/>
    <s v="CUST7059"/>
    <x v="3"/>
    <n v="5"/>
    <n v="3935.55"/>
    <n v="19677.75"/>
    <x v="0"/>
    <x v="0"/>
  </r>
  <r>
    <x v="1197"/>
    <s v="2025-08-05"/>
    <x v="7"/>
    <s v="CUST2117"/>
    <x v="3"/>
    <n v="1"/>
    <n v="24394.27"/>
    <n v="24394.27"/>
    <x v="0"/>
    <x v="1"/>
  </r>
  <r>
    <x v="1198"/>
    <s v="2025-08-05"/>
    <x v="7"/>
    <s v="CUST3985"/>
    <x v="6"/>
    <n v="5"/>
    <n v="12211.8"/>
    <n v="61059"/>
    <x v="3"/>
    <x v="3"/>
  </r>
  <r>
    <x v="1199"/>
    <s v="2025-08-05"/>
    <x v="7"/>
    <s v="CUST6713"/>
    <x v="8"/>
    <n v="2"/>
    <n v="879.51"/>
    <n v="1759.02"/>
    <x v="1"/>
    <x v="0"/>
  </r>
  <r>
    <x v="1200"/>
    <s v="2025-08-05"/>
    <x v="7"/>
    <s v="CUST6681"/>
    <x v="9"/>
    <n v="3"/>
    <n v="43856.79"/>
    <n v="131570.37"/>
    <x v="2"/>
    <x v="0"/>
  </r>
  <r>
    <x v="1201"/>
    <s v="2025-08-05"/>
    <x v="7"/>
    <s v="CUST5424"/>
    <x v="1"/>
    <n v="5"/>
    <n v="33376.9"/>
    <n v="166884.5"/>
    <x v="3"/>
    <x v="0"/>
  </r>
  <r>
    <x v="1202"/>
    <s v="2025-08-06"/>
    <x v="7"/>
    <s v="CUST4612"/>
    <x v="6"/>
    <n v="4"/>
    <n v="22124.17"/>
    <n v="88496.68"/>
    <x v="0"/>
    <x v="3"/>
  </r>
  <r>
    <x v="1203"/>
    <s v="2025-08-06"/>
    <x v="7"/>
    <s v="CUST7115"/>
    <x v="7"/>
    <n v="5"/>
    <n v="40028.93"/>
    <n v="200144.65"/>
    <x v="2"/>
    <x v="1"/>
  </r>
  <r>
    <x v="1204"/>
    <s v="2025-08-06"/>
    <x v="7"/>
    <s v="CUST9339"/>
    <x v="4"/>
    <n v="2"/>
    <n v="44425.66"/>
    <n v="88851.32"/>
    <x v="3"/>
    <x v="3"/>
  </r>
  <r>
    <x v="1205"/>
    <s v="2025-08-06"/>
    <x v="7"/>
    <s v="CUST7295"/>
    <x v="4"/>
    <n v="3"/>
    <n v="4844.1000000000004"/>
    <n v="14532.3"/>
    <x v="2"/>
    <x v="1"/>
  </r>
  <r>
    <x v="1206"/>
    <s v="2025-08-06"/>
    <x v="7"/>
    <s v="CUST8856"/>
    <x v="6"/>
    <n v="5"/>
    <n v="38510.639999999999"/>
    <n v="192553.2"/>
    <x v="2"/>
    <x v="0"/>
  </r>
  <r>
    <x v="1207"/>
    <s v="2025-08-07"/>
    <x v="7"/>
    <s v="CUST7479"/>
    <x v="0"/>
    <n v="5"/>
    <n v="19984.28"/>
    <n v="99921.4"/>
    <x v="3"/>
    <x v="0"/>
  </r>
  <r>
    <x v="1208"/>
    <s v="2025-08-07"/>
    <x v="7"/>
    <s v="CUST4749"/>
    <x v="9"/>
    <n v="3"/>
    <n v="34765.050000000003"/>
    <n v="104295.15"/>
    <x v="2"/>
    <x v="1"/>
  </r>
  <r>
    <x v="1209"/>
    <s v="2025-08-07"/>
    <x v="7"/>
    <s v="CUST1055"/>
    <x v="5"/>
    <n v="2"/>
    <n v="33254.199999999997"/>
    <n v="66508.399999999994"/>
    <x v="1"/>
    <x v="1"/>
  </r>
  <r>
    <x v="1210"/>
    <s v="2025-08-07"/>
    <x v="7"/>
    <s v="CUST8704"/>
    <x v="4"/>
    <n v="1"/>
    <n v="35592.199999999997"/>
    <n v="35592.199999999997"/>
    <x v="1"/>
    <x v="2"/>
  </r>
  <r>
    <x v="1211"/>
    <s v="2025-08-07"/>
    <x v="7"/>
    <s v="CUST2657"/>
    <x v="7"/>
    <n v="1"/>
    <n v="33394.19"/>
    <n v="33394.19"/>
    <x v="0"/>
    <x v="1"/>
  </r>
  <r>
    <x v="1212"/>
    <s v="2025-08-07"/>
    <x v="7"/>
    <s v="CUST7792"/>
    <x v="8"/>
    <n v="1"/>
    <n v="40558.44"/>
    <n v="40558.44"/>
    <x v="3"/>
    <x v="2"/>
  </r>
  <r>
    <x v="1213"/>
    <s v="2025-08-07"/>
    <x v="7"/>
    <s v="CUST3927"/>
    <x v="6"/>
    <n v="3"/>
    <n v="46082.64"/>
    <n v="138247.92000000001"/>
    <x v="0"/>
    <x v="0"/>
  </r>
  <r>
    <x v="1214"/>
    <s v="2025-08-08"/>
    <x v="7"/>
    <s v="CUST6221"/>
    <x v="7"/>
    <n v="3"/>
    <n v="36394.839999999997"/>
    <n v="109184.52"/>
    <x v="1"/>
    <x v="2"/>
  </r>
  <r>
    <x v="1215"/>
    <s v="2025-08-08"/>
    <x v="7"/>
    <s v="CUST2858"/>
    <x v="6"/>
    <n v="2"/>
    <n v="6265.84"/>
    <n v="12531.68"/>
    <x v="3"/>
    <x v="3"/>
  </r>
  <r>
    <x v="1216"/>
    <s v="2025-08-08"/>
    <x v="7"/>
    <s v="CUST7297"/>
    <x v="8"/>
    <n v="1"/>
    <n v="1872.48"/>
    <n v="1872.48"/>
    <x v="3"/>
    <x v="1"/>
  </r>
  <r>
    <x v="1217"/>
    <s v="2025-08-08"/>
    <x v="7"/>
    <s v="CUST1855"/>
    <x v="1"/>
    <n v="1"/>
    <n v="22612.92"/>
    <n v="22612.92"/>
    <x v="0"/>
    <x v="3"/>
  </r>
  <r>
    <x v="1218"/>
    <s v="2025-08-08"/>
    <x v="7"/>
    <s v="CUST4643"/>
    <x v="7"/>
    <n v="3"/>
    <n v="45979.34"/>
    <n v="137938.01999999999"/>
    <x v="0"/>
    <x v="3"/>
  </r>
  <r>
    <x v="1219"/>
    <s v="2025-08-08"/>
    <x v="7"/>
    <s v="CUST5743"/>
    <x v="0"/>
    <n v="2"/>
    <n v="36508.94"/>
    <n v="73017.88"/>
    <x v="0"/>
    <x v="3"/>
  </r>
  <r>
    <x v="1220"/>
    <s v="2025-08-08"/>
    <x v="7"/>
    <s v="CUST1803"/>
    <x v="6"/>
    <n v="1"/>
    <n v="2799.04"/>
    <n v="2799.04"/>
    <x v="1"/>
    <x v="0"/>
  </r>
  <r>
    <x v="1221"/>
    <s v="2025-08-09"/>
    <x v="7"/>
    <s v="CUST9749"/>
    <x v="2"/>
    <n v="5"/>
    <n v="28050.15"/>
    <n v="140250.75"/>
    <x v="1"/>
    <x v="2"/>
  </r>
  <r>
    <x v="1222"/>
    <s v="2025-08-09"/>
    <x v="7"/>
    <s v="CUST4441"/>
    <x v="5"/>
    <n v="3"/>
    <n v="22576.31"/>
    <n v="67728.929999999993"/>
    <x v="1"/>
    <x v="3"/>
  </r>
  <r>
    <x v="1223"/>
    <s v="2025-08-09"/>
    <x v="7"/>
    <s v="CUST1436"/>
    <x v="8"/>
    <n v="5"/>
    <n v="32603.47"/>
    <n v="163017.35"/>
    <x v="2"/>
    <x v="0"/>
  </r>
  <r>
    <x v="1224"/>
    <s v="2025-08-09"/>
    <x v="7"/>
    <s v="CUST4753"/>
    <x v="4"/>
    <n v="2"/>
    <n v="27911.01"/>
    <n v="55822.02"/>
    <x v="2"/>
    <x v="1"/>
  </r>
  <r>
    <x v="1225"/>
    <s v="2025-08-09"/>
    <x v="7"/>
    <s v="CUST8357"/>
    <x v="9"/>
    <n v="2"/>
    <n v="8409.98"/>
    <n v="16819.96"/>
    <x v="2"/>
    <x v="2"/>
  </r>
  <r>
    <x v="1226"/>
    <s v="2025-08-09"/>
    <x v="7"/>
    <s v="CUST8595"/>
    <x v="0"/>
    <n v="2"/>
    <n v="3711.61"/>
    <n v="7423.22"/>
    <x v="2"/>
    <x v="2"/>
  </r>
  <r>
    <x v="1227"/>
    <s v="2025-08-09"/>
    <x v="7"/>
    <s v="CUST1337"/>
    <x v="1"/>
    <n v="4"/>
    <n v="49309.51"/>
    <n v="197238.04"/>
    <x v="0"/>
    <x v="1"/>
  </r>
  <r>
    <x v="1228"/>
    <s v="2025-08-09"/>
    <x v="7"/>
    <s v="CUST8795"/>
    <x v="1"/>
    <n v="1"/>
    <n v="36018.74"/>
    <n v="36018.74"/>
    <x v="0"/>
    <x v="3"/>
  </r>
  <r>
    <x v="1229"/>
    <s v="2025-08-10"/>
    <x v="7"/>
    <s v="CUST9017"/>
    <x v="3"/>
    <n v="2"/>
    <n v="19422.509999999998"/>
    <n v="38845.019999999997"/>
    <x v="2"/>
    <x v="0"/>
  </r>
  <r>
    <x v="1230"/>
    <s v="2025-08-10"/>
    <x v="7"/>
    <s v="CUST1254"/>
    <x v="6"/>
    <n v="1"/>
    <n v="47703.97"/>
    <n v="47703.97"/>
    <x v="0"/>
    <x v="2"/>
  </r>
  <r>
    <x v="1231"/>
    <s v="2025-08-10"/>
    <x v="7"/>
    <s v="CUST8001"/>
    <x v="9"/>
    <n v="3"/>
    <n v="18804.11"/>
    <n v="56412.33"/>
    <x v="1"/>
    <x v="0"/>
  </r>
  <r>
    <x v="1232"/>
    <s v="2025-08-10"/>
    <x v="7"/>
    <s v="CUST9925"/>
    <x v="1"/>
    <n v="3"/>
    <n v="2713.02"/>
    <n v="8139.06"/>
    <x v="3"/>
    <x v="2"/>
  </r>
  <r>
    <x v="1233"/>
    <s v="2025-08-10"/>
    <x v="7"/>
    <s v="CUST7998"/>
    <x v="8"/>
    <n v="4"/>
    <n v="32543.59"/>
    <n v="130174.36"/>
    <x v="2"/>
    <x v="3"/>
  </r>
  <r>
    <x v="1234"/>
    <s v="2025-08-10"/>
    <x v="7"/>
    <s v="CUST3865"/>
    <x v="6"/>
    <n v="3"/>
    <n v="26309.26"/>
    <n v="78927.78"/>
    <x v="3"/>
    <x v="1"/>
  </r>
  <r>
    <x v="1235"/>
    <s v="2025-08-11"/>
    <x v="7"/>
    <s v="CUST3748"/>
    <x v="5"/>
    <n v="5"/>
    <n v="7655.94"/>
    <n v="38279.699999999997"/>
    <x v="0"/>
    <x v="0"/>
  </r>
  <r>
    <x v="1236"/>
    <s v="2025-08-11"/>
    <x v="7"/>
    <s v="CUST3346"/>
    <x v="3"/>
    <n v="2"/>
    <n v="13366.19"/>
    <n v="26732.38"/>
    <x v="0"/>
    <x v="3"/>
  </r>
  <r>
    <x v="1237"/>
    <s v="2025-08-11"/>
    <x v="7"/>
    <s v="CUST8104"/>
    <x v="1"/>
    <n v="3"/>
    <n v="41553.089999999997"/>
    <n v="124659.27"/>
    <x v="2"/>
    <x v="3"/>
  </r>
  <r>
    <x v="1238"/>
    <s v="2025-08-11"/>
    <x v="7"/>
    <s v="CUST1242"/>
    <x v="2"/>
    <n v="5"/>
    <n v="41521.25"/>
    <n v="207606.25"/>
    <x v="0"/>
    <x v="2"/>
  </r>
  <r>
    <x v="1239"/>
    <s v="2025-08-11"/>
    <x v="7"/>
    <s v="CUST8418"/>
    <x v="5"/>
    <n v="2"/>
    <n v="45703.49"/>
    <n v="91406.98"/>
    <x v="2"/>
    <x v="1"/>
  </r>
  <r>
    <x v="1240"/>
    <s v="2025-08-11"/>
    <x v="7"/>
    <s v="CUST6981"/>
    <x v="2"/>
    <n v="3"/>
    <n v="22376.99"/>
    <n v="67130.97"/>
    <x v="1"/>
    <x v="0"/>
  </r>
  <r>
    <x v="1241"/>
    <s v="2025-08-11"/>
    <x v="7"/>
    <s v="CUST5415"/>
    <x v="2"/>
    <n v="3"/>
    <n v="12706.47"/>
    <n v="38119.410000000003"/>
    <x v="1"/>
    <x v="1"/>
  </r>
  <r>
    <x v="1242"/>
    <s v="2025-08-12"/>
    <x v="7"/>
    <s v="CUST7280"/>
    <x v="9"/>
    <n v="2"/>
    <n v="38167.06"/>
    <n v="76334.12"/>
    <x v="3"/>
    <x v="1"/>
  </r>
  <r>
    <x v="1243"/>
    <s v="2025-08-12"/>
    <x v="7"/>
    <s v="CUST8232"/>
    <x v="5"/>
    <n v="4"/>
    <n v="48882.34"/>
    <n v="195529.36"/>
    <x v="2"/>
    <x v="2"/>
  </r>
  <r>
    <x v="1244"/>
    <s v="2025-08-12"/>
    <x v="7"/>
    <s v="CUST3639"/>
    <x v="8"/>
    <n v="3"/>
    <n v="17107.23"/>
    <n v="51321.69"/>
    <x v="2"/>
    <x v="0"/>
  </r>
  <r>
    <x v="1245"/>
    <s v="2025-08-12"/>
    <x v="7"/>
    <s v="CUST6051"/>
    <x v="0"/>
    <n v="2"/>
    <n v="26346.61"/>
    <n v="52693.22"/>
    <x v="0"/>
    <x v="1"/>
  </r>
  <r>
    <x v="1246"/>
    <s v="2025-08-12"/>
    <x v="7"/>
    <s v="CUST9017"/>
    <x v="8"/>
    <n v="3"/>
    <n v="3083.36"/>
    <n v="9250.08"/>
    <x v="2"/>
    <x v="2"/>
  </r>
  <r>
    <x v="1247"/>
    <s v="2025-08-12"/>
    <x v="7"/>
    <s v="CUST7817"/>
    <x v="9"/>
    <n v="2"/>
    <n v="15756.52"/>
    <n v="31513.040000000001"/>
    <x v="0"/>
    <x v="0"/>
  </r>
  <r>
    <x v="1248"/>
    <s v="2025-08-13"/>
    <x v="7"/>
    <s v="CUST6022"/>
    <x v="3"/>
    <n v="4"/>
    <n v="35038.730000000003"/>
    <n v="140154.92000000001"/>
    <x v="0"/>
    <x v="2"/>
  </r>
  <r>
    <x v="1249"/>
    <s v="2025-08-13"/>
    <x v="7"/>
    <s v="CUST1792"/>
    <x v="3"/>
    <n v="3"/>
    <n v="18506.689999999999"/>
    <n v="55520.07"/>
    <x v="3"/>
    <x v="3"/>
  </r>
  <r>
    <x v="1250"/>
    <s v="2025-08-13"/>
    <x v="7"/>
    <s v="CUST8627"/>
    <x v="4"/>
    <n v="5"/>
    <n v="31169.53"/>
    <n v="155847.65"/>
    <x v="1"/>
    <x v="1"/>
  </r>
  <r>
    <x v="1251"/>
    <s v="2025-08-13"/>
    <x v="7"/>
    <s v="CUST6412"/>
    <x v="1"/>
    <n v="4"/>
    <n v="9236.3799999999992"/>
    <n v="36945.519999999997"/>
    <x v="2"/>
    <x v="1"/>
  </r>
  <r>
    <x v="1252"/>
    <s v="2025-08-13"/>
    <x v="7"/>
    <s v="CUST9818"/>
    <x v="8"/>
    <n v="2"/>
    <n v="14614.3"/>
    <n v="29228.6"/>
    <x v="3"/>
    <x v="1"/>
  </r>
  <r>
    <x v="1253"/>
    <s v="2025-08-14"/>
    <x v="7"/>
    <s v="CUST5825"/>
    <x v="4"/>
    <n v="1"/>
    <n v="17817.61"/>
    <n v="17817.61"/>
    <x v="1"/>
    <x v="1"/>
  </r>
  <r>
    <x v="1254"/>
    <s v="2025-08-14"/>
    <x v="7"/>
    <s v="CUST1524"/>
    <x v="0"/>
    <n v="3"/>
    <n v="48921.69"/>
    <n v="146765.07"/>
    <x v="3"/>
    <x v="3"/>
  </r>
  <r>
    <x v="1255"/>
    <s v="2025-08-14"/>
    <x v="7"/>
    <s v="CUST4096"/>
    <x v="1"/>
    <n v="4"/>
    <n v="2709.73"/>
    <n v="10838.92"/>
    <x v="2"/>
    <x v="1"/>
  </r>
  <r>
    <x v="1256"/>
    <s v="2025-08-15"/>
    <x v="7"/>
    <s v="CUST5222"/>
    <x v="6"/>
    <n v="5"/>
    <n v="13856.96"/>
    <n v="69284.800000000003"/>
    <x v="2"/>
    <x v="2"/>
  </r>
  <r>
    <x v="1257"/>
    <s v="2025-08-15"/>
    <x v="7"/>
    <s v="CUST4642"/>
    <x v="0"/>
    <n v="3"/>
    <n v="49338.74"/>
    <n v="148016.22"/>
    <x v="0"/>
    <x v="2"/>
  </r>
  <r>
    <x v="1258"/>
    <s v="2025-08-15"/>
    <x v="7"/>
    <s v="CUST7066"/>
    <x v="4"/>
    <n v="1"/>
    <n v="39257.360000000001"/>
    <n v="39257.360000000001"/>
    <x v="3"/>
    <x v="2"/>
  </r>
  <r>
    <x v="1259"/>
    <s v="2025-08-15"/>
    <x v="7"/>
    <s v="CUST5467"/>
    <x v="5"/>
    <n v="4"/>
    <n v="24480.59"/>
    <n v="97922.36"/>
    <x v="1"/>
    <x v="3"/>
  </r>
  <r>
    <x v="1260"/>
    <s v="2025-08-16"/>
    <x v="7"/>
    <s v="CUST3376"/>
    <x v="9"/>
    <n v="1"/>
    <n v="8692.14"/>
    <n v="8692.14"/>
    <x v="1"/>
    <x v="2"/>
  </r>
  <r>
    <x v="1261"/>
    <s v="2025-08-16"/>
    <x v="7"/>
    <s v="CUST8682"/>
    <x v="8"/>
    <n v="2"/>
    <n v="39628.19"/>
    <n v="79256.38"/>
    <x v="3"/>
    <x v="3"/>
  </r>
  <r>
    <x v="1262"/>
    <s v="2025-08-16"/>
    <x v="7"/>
    <s v="CUST6597"/>
    <x v="4"/>
    <n v="3"/>
    <n v="1417.67"/>
    <n v="4253.01"/>
    <x v="1"/>
    <x v="1"/>
  </r>
  <r>
    <x v="1263"/>
    <s v="2025-08-17"/>
    <x v="7"/>
    <s v="CUST4430"/>
    <x v="5"/>
    <n v="5"/>
    <n v="29837.24"/>
    <n v="149186.20000000001"/>
    <x v="1"/>
    <x v="0"/>
  </r>
  <r>
    <x v="1264"/>
    <s v="2025-08-17"/>
    <x v="7"/>
    <s v="CUST2528"/>
    <x v="1"/>
    <n v="5"/>
    <n v="25564.83"/>
    <n v="127824.15"/>
    <x v="0"/>
    <x v="2"/>
  </r>
  <r>
    <x v="1265"/>
    <s v="2025-08-17"/>
    <x v="7"/>
    <s v="CUST9011"/>
    <x v="7"/>
    <n v="3"/>
    <n v="22860.75"/>
    <n v="68582.25"/>
    <x v="1"/>
    <x v="1"/>
  </r>
  <r>
    <x v="1266"/>
    <s v="2025-08-17"/>
    <x v="7"/>
    <s v="CUST8036"/>
    <x v="9"/>
    <n v="1"/>
    <n v="37202.449999999997"/>
    <n v="37202.449999999997"/>
    <x v="0"/>
    <x v="2"/>
  </r>
  <r>
    <x v="1267"/>
    <s v="2025-08-17"/>
    <x v="7"/>
    <s v="CUST8544"/>
    <x v="4"/>
    <n v="1"/>
    <n v="41083.360000000001"/>
    <n v="41083.360000000001"/>
    <x v="3"/>
    <x v="1"/>
  </r>
  <r>
    <x v="1268"/>
    <s v="2025-08-17"/>
    <x v="7"/>
    <s v="CUST1251"/>
    <x v="8"/>
    <n v="2"/>
    <n v="20808.53"/>
    <n v="41617.06"/>
    <x v="2"/>
    <x v="2"/>
  </r>
  <r>
    <x v="1269"/>
    <s v="2025-08-17"/>
    <x v="7"/>
    <s v="CUST7841"/>
    <x v="2"/>
    <n v="3"/>
    <n v="16745.47"/>
    <n v="50236.41"/>
    <x v="3"/>
    <x v="0"/>
  </r>
  <r>
    <x v="1270"/>
    <s v="2025-08-17"/>
    <x v="7"/>
    <s v="CUST3872"/>
    <x v="9"/>
    <n v="5"/>
    <n v="30426.48"/>
    <n v="152132.4"/>
    <x v="0"/>
    <x v="2"/>
  </r>
  <r>
    <x v="1271"/>
    <s v="2025-08-18"/>
    <x v="7"/>
    <s v="CUST1564"/>
    <x v="8"/>
    <n v="1"/>
    <n v="13314.31"/>
    <n v="13314.31"/>
    <x v="3"/>
    <x v="0"/>
  </r>
  <r>
    <x v="1272"/>
    <s v="2025-08-18"/>
    <x v="7"/>
    <s v="CUST9171"/>
    <x v="2"/>
    <n v="5"/>
    <n v="17349.73"/>
    <n v="86748.65"/>
    <x v="2"/>
    <x v="0"/>
  </r>
  <r>
    <x v="1273"/>
    <s v="2025-08-18"/>
    <x v="7"/>
    <s v="CUST4399"/>
    <x v="9"/>
    <n v="3"/>
    <n v="34085.46"/>
    <n v="102256.38"/>
    <x v="3"/>
    <x v="1"/>
  </r>
  <r>
    <x v="1274"/>
    <s v="2025-08-18"/>
    <x v="7"/>
    <s v="CUST7247"/>
    <x v="7"/>
    <n v="1"/>
    <n v="43607.83"/>
    <n v="43607.83"/>
    <x v="3"/>
    <x v="3"/>
  </r>
  <r>
    <x v="1275"/>
    <s v="2025-08-18"/>
    <x v="7"/>
    <s v="CUST1632"/>
    <x v="9"/>
    <n v="2"/>
    <n v="2326.41"/>
    <n v="4652.82"/>
    <x v="1"/>
    <x v="0"/>
  </r>
  <r>
    <x v="1276"/>
    <s v="2025-08-18"/>
    <x v="7"/>
    <s v="CUST1667"/>
    <x v="3"/>
    <n v="4"/>
    <n v="35635.879999999997"/>
    <n v="142543.51999999999"/>
    <x v="2"/>
    <x v="2"/>
  </r>
  <r>
    <x v="1277"/>
    <s v="2025-08-18"/>
    <x v="7"/>
    <s v="CUST8136"/>
    <x v="9"/>
    <n v="3"/>
    <n v="45817.83"/>
    <n v="137453.49"/>
    <x v="2"/>
    <x v="2"/>
  </r>
  <r>
    <x v="1278"/>
    <s v="2025-08-18"/>
    <x v="7"/>
    <s v="CUST4336"/>
    <x v="6"/>
    <n v="2"/>
    <n v="38455.08"/>
    <n v="76910.16"/>
    <x v="3"/>
    <x v="1"/>
  </r>
  <r>
    <x v="1279"/>
    <s v="2025-08-19"/>
    <x v="7"/>
    <s v="CUST5508"/>
    <x v="2"/>
    <n v="3"/>
    <n v="46093.35"/>
    <n v="138280.04999999999"/>
    <x v="0"/>
    <x v="1"/>
  </r>
  <r>
    <x v="1280"/>
    <s v="2025-08-19"/>
    <x v="7"/>
    <s v="CUST8973"/>
    <x v="8"/>
    <n v="1"/>
    <n v="20168.759999999998"/>
    <n v="20168.759999999998"/>
    <x v="0"/>
    <x v="2"/>
  </r>
  <r>
    <x v="1281"/>
    <s v="2025-08-19"/>
    <x v="7"/>
    <s v="CUST2408"/>
    <x v="7"/>
    <n v="1"/>
    <n v="9700.23"/>
    <n v="9700.23"/>
    <x v="2"/>
    <x v="0"/>
  </r>
  <r>
    <x v="1282"/>
    <s v="2025-08-19"/>
    <x v="7"/>
    <s v="CUST1336"/>
    <x v="3"/>
    <n v="4"/>
    <n v="36612.17"/>
    <n v="146448.68"/>
    <x v="3"/>
    <x v="0"/>
  </r>
  <r>
    <x v="1283"/>
    <s v="2025-08-20"/>
    <x v="7"/>
    <s v="CUST7949"/>
    <x v="8"/>
    <n v="1"/>
    <n v="21619.35"/>
    <n v="21619.35"/>
    <x v="2"/>
    <x v="3"/>
  </r>
  <r>
    <x v="1284"/>
    <s v="2025-08-20"/>
    <x v="7"/>
    <s v="CUST4502"/>
    <x v="6"/>
    <n v="3"/>
    <n v="28561.84"/>
    <n v="85685.52"/>
    <x v="3"/>
    <x v="0"/>
  </r>
  <r>
    <x v="1285"/>
    <s v="2025-08-20"/>
    <x v="7"/>
    <s v="CUST9066"/>
    <x v="6"/>
    <n v="2"/>
    <n v="12976.51"/>
    <n v="25953.02"/>
    <x v="2"/>
    <x v="1"/>
  </r>
  <r>
    <x v="1286"/>
    <s v="2025-08-20"/>
    <x v="7"/>
    <s v="CUST1137"/>
    <x v="0"/>
    <n v="5"/>
    <n v="41378.44"/>
    <n v="206892.2"/>
    <x v="1"/>
    <x v="3"/>
  </r>
  <r>
    <x v="1287"/>
    <s v="2025-08-21"/>
    <x v="7"/>
    <s v="CUST1146"/>
    <x v="9"/>
    <n v="4"/>
    <n v="13945.5"/>
    <n v="55782"/>
    <x v="1"/>
    <x v="1"/>
  </r>
  <r>
    <x v="1288"/>
    <s v="2025-08-21"/>
    <x v="7"/>
    <s v="CUST7259"/>
    <x v="2"/>
    <n v="1"/>
    <n v="6360.9"/>
    <n v="6360.9"/>
    <x v="2"/>
    <x v="3"/>
  </r>
  <r>
    <x v="1289"/>
    <s v="2025-08-21"/>
    <x v="7"/>
    <s v="CUST3995"/>
    <x v="2"/>
    <n v="4"/>
    <n v="8587.89"/>
    <n v="34351.56"/>
    <x v="1"/>
    <x v="3"/>
  </r>
  <r>
    <x v="1290"/>
    <s v="2025-08-21"/>
    <x v="7"/>
    <s v="CUST9780"/>
    <x v="6"/>
    <n v="1"/>
    <n v="18775.080000000002"/>
    <n v="18775.080000000002"/>
    <x v="3"/>
    <x v="0"/>
  </r>
  <r>
    <x v="1291"/>
    <s v="2025-08-22"/>
    <x v="7"/>
    <s v="CUST6645"/>
    <x v="0"/>
    <n v="3"/>
    <n v="48913.93"/>
    <n v="146741.79"/>
    <x v="1"/>
    <x v="3"/>
  </r>
  <r>
    <x v="1292"/>
    <s v="2025-08-22"/>
    <x v="7"/>
    <s v="CUST1474"/>
    <x v="8"/>
    <n v="3"/>
    <n v="28255.25"/>
    <n v="84765.75"/>
    <x v="3"/>
    <x v="0"/>
  </r>
  <r>
    <x v="1293"/>
    <s v="2025-08-22"/>
    <x v="7"/>
    <s v="CUST3652"/>
    <x v="4"/>
    <n v="2"/>
    <n v="39541.269999999997"/>
    <n v="79082.539999999994"/>
    <x v="3"/>
    <x v="0"/>
  </r>
  <r>
    <x v="1294"/>
    <s v="2025-08-22"/>
    <x v="7"/>
    <s v="CUST9091"/>
    <x v="3"/>
    <n v="2"/>
    <n v="8858.92"/>
    <n v="17717.84"/>
    <x v="3"/>
    <x v="3"/>
  </r>
  <r>
    <x v="1295"/>
    <s v="2025-08-22"/>
    <x v="7"/>
    <s v="CUST5835"/>
    <x v="5"/>
    <n v="1"/>
    <n v="13350.05"/>
    <n v="13350.05"/>
    <x v="1"/>
    <x v="2"/>
  </r>
  <r>
    <x v="1296"/>
    <s v="2025-08-22"/>
    <x v="7"/>
    <s v="CUST5080"/>
    <x v="4"/>
    <n v="3"/>
    <n v="30225.32"/>
    <n v="90675.96"/>
    <x v="1"/>
    <x v="2"/>
  </r>
  <r>
    <x v="1297"/>
    <s v="2025-08-22"/>
    <x v="7"/>
    <s v="CUST1437"/>
    <x v="0"/>
    <n v="1"/>
    <n v="22736.240000000002"/>
    <n v="22736.240000000002"/>
    <x v="3"/>
    <x v="0"/>
  </r>
  <r>
    <x v="1298"/>
    <s v="2025-08-23"/>
    <x v="7"/>
    <s v="CUST4235"/>
    <x v="6"/>
    <n v="2"/>
    <n v="37167.31"/>
    <n v="74334.62"/>
    <x v="0"/>
    <x v="3"/>
  </r>
  <r>
    <x v="1299"/>
    <s v="2025-08-23"/>
    <x v="7"/>
    <s v="CUST6736"/>
    <x v="6"/>
    <n v="3"/>
    <n v="9180.06"/>
    <n v="27540.18"/>
    <x v="1"/>
    <x v="2"/>
  </r>
  <r>
    <x v="1300"/>
    <s v="2025-08-23"/>
    <x v="7"/>
    <s v="CUST6000"/>
    <x v="8"/>
    <n v="4"/>
    <n v="20026.96"/>
    <n v="80107.839999999997"/>
    <x v="0"/>
    <x v="0"/>
  </r>
  <r>
    <x v="1301"/>
    <s v="2025-08-23"/>
    <x v="7"/>
    <s v="CUST1832"/>
    <x v="9"/>
    <n v="1"/>
    <n v="42787.08"/>
    <n v="42787.08"/>
    <x v="2"/>
    <x v="3"/>
  </r>
  <r>
    <x v="1302"/>
    <s v="2025-08-24"/>
    <x v="7"/>
    <s v="CUST6988"/>
    <x v="6"/>
    <n v="5"/>
    <n v="42548.15"/>
    <n v="212740.75"/>
    <x v="3"/>
    <x v="0"/>
  </r>
  <r>
    <x v="1303"/>
    <s v="2025-08-24"/>
    <x v="7"/>
    <s v="CUST1886"/>
    <x v="3"/>
    <n v="4"/>
    <n v="47135.9"/>
    <n v="188543.6"/>
    <x v="2"/>
    <x v="0"/>
  </r>
  <r>
    <x v="1304"/>
    <s v="2025-08-24"/>
    <x v="7"/>
    <s v="CUST7130"/>
    <x v="8"/>
    <n v="1"/>
    <n v="28030.959999999999"/>
    <n v="28030.959999999999"/>
    <x v="0"/>
    <x v="2"/>
  </r>
  <r>
    <x v="1305"/>
    <s v="2025-08-24"/>
    <x v="7"/>
    <s v="CUST5915"/>
    <x v="1"/>
    <n v="1"/>
    <n v="35691.47"/>
    <n v="35691.47"/>
    <x v="3"/>
    <x v="2"/>
  </r>
  <r>
    <x v="1306"/>
    <s v="2025-08-24"/>
    <x v="7"/>
    <s v="CUST6778"/>
    <x v="8"/>
    <n v="2"/>
    <n v="23376.16"/>
    <n v="46752.32"/>
    <x v="1"/>
    <x v="2"/>
  </r>
  <r>
    <x v="1307"/>
    <s v="2025-08-24"/>
    <x v="7"/>
    <s v="CUST7458"/>
    <x v="6"/>
    <n v="4"/>
    <n v="33153.51"/>
    <n v="132614.04"/>
    <x v="2"/>
    <x v="3"/>
  </r>
  <r>
    <x v="1308"/>
    <s v="2025-08-25"/>
    <x v="7"/>
    <s v="CUST8751"/>
    <x v="5"/>
    <n v="5"/>
    <n v="23405.54"/>
    <n v="117027.7"/>
    <x v="1"/>
    <x v="0"/>
  </r>
  <r>
    <x v="1309"/>
    <s v="2025-08-25"/>
    <x v="7"/>
    <s v="CUST3163"/>
    <x v="5"/>
    <n v="4"/>
    <n v="36426.28"/>
    <n v="145705.12"/>
    <x v="3"/>
    <x v="2"/>
  </r>
  <r>
    <x v="1310"/>
    <s v="2025-08-25"/>
    <x v="7"/>
    <s v="CUST6532"/>
    <x v="2"/>
    <n v="3"/>
    <n v="3922.24"/>
    <n v="11766.72"/>
    <x v="3"/>
    <x v="0"/>
  </r>
  <r>
    <x v="1311"/>
    <s v="2025-08-25"/>
    <x v="7"/>
    <s v="CUST8525"/>
    <x v="5"/>
    <n v="1"/>
    <n v="8670.52"/>
    <n v="8670.52"/>
    <x v="1"/>
    <x v="3"/>
  </r>
  <r>
    <x v="1312"/>
    <s v="2025-08-25"/>
    <x v="7"/>
    <s v="CUST6679"/>
    <x v="6"/>
    <n v="2"/>
    <n v="27186.45"/>
    <n v="54372.9"/>
    <x v="2"/>
    <x v="0"/>
  </r>
  <r>
    <x v="1313"/>
    <s v="2025-08-25"/>
    <x v="7"/>
    <s v="CUST1338"/>
    <x v="8"/>
    <n v="1"/>
    <n v="41035.24"/>
    <n v="41035.24"/>
    <x v="0"/>
    <x v="1"/>
  </r>
  <r>
    <x v="1314"/>
    <s v="2025-08-25"/>
    <x v="7"/>
    <s v="CUST1592"/>
    <x v="4"/>
    <n v="2"/>
    <n v="8408.59"/>
    <n v="16817.18"/>
    <x v="1"/>
    <x v="0"/>
  </r>
  <r>
    <x v="1315"/>
    <s v="2025-08-25"/>
    <x v="7"/>
    <s v="CUST2297"/>
    <x v="7"/>
    <n v="2"/>
    <n v="21514.63"/>
    <n v="43029.26"/>
    <x v="0"/>
    <x v="2"/>
  </r>
  <r>
    <x v="1316"/>
    <s v="2025-08-26"/>
    <x v="7"/>
    <s v="CUST6700"/>
    <x v="1"/>
    <n v="4"/>
    <n v="31585.37"/>
    <n v="126341.48"/>
    <x v="1"/>
    <x v="0"/>
  </r>
  <r>
    <x v="1317"/>
    <s v="2025-08-26"/>
    <x v="7"/>
    <s v="CUST5743"/>
    <x v="1"/>
    <n v="4"/>
    <n v="37220.71"/>
    <n v="148882.84"/>
    <x v="0"/>
    <x v="3"/>
  </r>
  <r>
    <x v="1318"/>
    <s v="2025-08-26"/>
    <x v="7"/>
    <s v="CUST5743"/>
    <x v="5"/>
    <n v="2"/>
    <n v="32177.71"/>
    <n v="64355.42"/>
    <x v="0"/>
    <x v="0"/>
  </r>
  <r>
    <x v="1319"/>
    <s v="2025-08-26"/>
    <x v="7"/>
    <s v="CUST4300"/>
    <x v="9"/>
    <n v="5"/>
    <n v="27185.95"/>
    <n v="135929.75"/>
    <x v="3"/>
    <x v="3"/>
  </r>
  <r>
    <x v="1320"/>
    <s v="2025-08-26"/>
    <x v="7"/>
    <s v="CUST4071"/>
    <x v="9"/>
    <n v="5"/>
    <n v="12622.7"/>
    <n v="63113.5"/>
    <x v="1"/>
    <x v="1"/>
  </r>
  <r>
    <x v="1321"/>
    <s v="2025-08-26"/>
    <x v="7"/>
    <s v="CUST5874"/>
    <x v="5"/>
    <n v="5"/>
    <n v="16337.07"/>
    <n v="81685.350000000006"/>
    <x v="3"/>
    <x v="0"/>
  </r>
  <r>
    <x v="1322"/>
    <s v="2025-08-26"/>
    <x v="7"/>
    <s v="CUST2132"/>
    <x v="6"/>
    <n v="2"/>
    <n v="4329.91"/>
    <n v="8659.82"/>
    <x v="1"/>
    <x v="3"/>
  </r>
  <r>
    <x v="1323"/>
    <s v="2025-08-26"/>
    <x v="7"/>
    <s v="CUST8151"/>
    <x v="5"/>
    <n v="1"/>
    <n v="34015.589999999997"/>
    <n v="34015.589999999997"/>
    <x v="3"/>
    <x v="0"/>
  </r>
  <r>
    <x v="1324"/>
    <s v="2025-08-27"/>
    <x v="7"/>
    <s v="CUST9043"/>
    <x v="2"/>
    <n v="5"/>
    <n v="32075.8"/>
    <n v="160379"/>
    <x v="1"/>
    <x v="0"/>
  </r>
  <r>
    <x v="1325"/>
    <s v="2025-08-27"/>
    <x v="7"/>
    <s v="CUST3873"/>
    <x v="5"/>
    <n v="1"/>
    <n v="28257.53"/>
    <n v="28257.53"/>
    <x v="0"/>
    <x v="3"/>
  </r>
  <r>
    <x v="1326"/>
    <s v="2025-08-27"/>
    <x v="7"/>
    <s v="CUST8330"/>
    <x v="0"/>
    <n v="3"/>
    <n v="3613.39"/>
    <n v="10840.17"/>
    <x v="0"/>
    <x v="3"/>
  </r>
  <r>
    <x v="1327"/>
    <s v="2025-08-27"/>
    <x v="7"/>
    <s v="CUST3565"/>
    <x v="5"/>
    <n v="2"/>
    <n v="24531.5"/>
    <n v="49063"/>
    <x v="0"/>
    <x v="1"/>
  </r>
  <r>
    <x v="1328"/>
    <s v="2025-08-27"/>
    <x v="7"/>
    <s v="CUST1556"/>
    <x v="8"/>
    <n v="4"/>
    <n v="10917.67"/>
    <n v="43670.68"/>
    <x v="0"/>
    <x v="0"/>
  </r>
  <r>
    <x v="1329"/>
    <s v="2025-08-28"/>
    <x v="7"/>
    <s v="CUST5303"/>
    <x v="9"/>
    <n v="2"/>
    <n v="21471.99"/>
    <n v="42943.98"/>
    <x v="2"/>
    <x v="1"/>
  </r>
  <r>
    <x v="1330"/>
    <s v="2025-08-28"/>
    <x v="7"/>
    <s v="CUST1243"/>
    <x v="2"/>
    <n v="4"/>
    <n v="26579.69"/>
    <n v="106318.76"/>
    <x v="0"/>
    <x v="3"/>
  </r>
  <r>
    <x v="1331"/>
    <s v="2025-08-28"/>
    <x v="7"/>
    <s v="CUST4371"/>
    <x v="2"/>
    <n v="3"/>
    <n v="39748.19"/>
    <n v="119244.57"/>
    <x v="0"/>
    <x v="0"/>
  </r>
  <r>
    <x v="1332"/>
    <s v="2025-08-28"/>
    <x v="7"/>
    <s v="CUST7155"/>
    <x v="9"/>
    <n v="2"/>
    <n v="48936.15"/>
    <n v="97872.3"/>
    <x v="1"/>
    <x v="3"/>
  </r>
  <r>
    <x v="1333"/>
    <s v="2025-08-29"/>
    <x v="7"/>
    <s v="CUST4096"/>
    <x v="5"/>
    <n v="5"/>
    <n v="14781.41"/>
    <n v="73907.05"/>
    <x v="3"/>
    <x v="0"/>
  </r>
  <r>
    <x v="1334"/>
    <s v="2025-08-29"/>
    <x v="7"/>
    <s v="CUST4289"/>
    <x v="4"/>
    <n v="5"/>
    <n v="43500.24"/>
    <n v="217501.2"/>
    <x v="3"/>
    <x v="2"/>
  </r>
  <r>
    <x v="1335"/>
    <s v="2025-08-29"/>
    <x v="7"/>
    <s v="CUST7695"/>
    <x v="6"/>
    <n v="3"/>
    <n v="9882.56"/>
    <n v="29647.68"/>
    <x v="0"/>
    <x v="2"/>
  </r>
  <r>
    <x v="1336"/>
    <s v="2025-08-29"/>
    <x v="7"/>
    <s v="CUST5407"/>
    <x v="3"/>
    <n v="5"/>
    <n v="41233.71"/>
    <n v="206168.55"/>
    <x v="1"/>
    <x v="1"/>
  </r>
  <r>
    <x v="1337"/>
    <s v="2025-08-30"/>
    <x v="7"/>
    <s v="CUST2030"/>
    <x v="7"/>
    <n v="1"/>
    <n v="27383.89"/>
    <n v="27383.89"/>
    <x v="1"/>
    <x v="2"/>
  </r>
  <r>
    <x v="1338"/>
    <s v="2025-08-30"/>
    <x v="7"/>
    <s v="CUST7326"/>
    <x v="7"/>
    <n v="5"/>
    <n v="2685"/>
    <n v="13425"/>
    <x v="2"/>
    <x v="3"/>
  </r>
  <r>
    <x v="1339"/>
    <s v="2025-08-30"/>
    <x v="7"/>
    <s v="CUST8161"/>
    <x v="3"/>
    <n v="5"/>
    <n v="24703.99"/>
    <n v="123519.95"/>
    <x v="0"/>
    <x v="1"/>
  </r>
  <r>
    <x v="1340"/>
    <s v="2025-08-30"/>
    <x v="7"/>
    <s v="CUST3887"/>
    <x v="0"/>
    <n v="3"/>
    <n v="49092.89"/>
    <n v="147278.67000000001"/>
    <x v="2"/>
    <x v="3"/>
  </r>
  <r>
    <x v="1341"/>
    <s v="2025-08-30"/>
    <x v="7"/>
    <s v="CUST6867"/>
    <x v="2"/>
    <n v="4"/>
    <n v="5718.66"/>
    <n v="22874.639999999999"/>
    <x v="0"/>
    <x v="3"/>
  </r>
  <r>
    <x v="1342"/>
    <s v="2025-08-30"/>
    <x v="7"/>
    <s v="CUST4841"/>
    <x v="8"/>
    <n v="4"/>
    <n v="3335.33"/>
    <n v="13341.32"/>
    <x v="2"/>
    <x v="0"/>
  </r>
  <r>
    <x v="1343"/>
    <s v="2025-08-30"/>
    <x v="7"/>
    <s v="CUST8239"/>
    <x v="3"/>
    <n v="5"/>
    <n v="8428.39"/>
    <n v="42141.95"/>
    <x v="3"/>
    <x v="3"/>
  </r>
  <r>
    <x v="1344"/>
    <s v="2025-08-31"/>
    <x v="7"/>
    <s v="CUST6296"/>
    <x v="7"/>
    <n v="2"/>
    <n v="29136.7"/>
    <n v="58273.4"/>
    <x v="1"/>
    <x v="2"/>
  </r>
  <r>
    <x v="1345"/>
    <s v="2025-08-31"/>
    <x v="7"/>
    <s v="CUST3264"/>
    <x v="9"/>
    <n v="5"/>
    <n v="18363.310000000001"/>
    <n v="91816.55"/>
    <x v="2"/>
    <x v="1"/>
  </r>
  <r>
    <x v="1346"/>
    <s v="2025-08-31"/>
    <x v="7"/>
    <s v="CUST7325"/>
    <x v="9"/>
    <n v="5"/>
    <n v="26441.200000000001"/>
    <n v="132206"/>
    <x v="1"/>
    <x v="3"/>
  </r>
  <r>
    <x v="1347"/>
    <s v="2025-08-31"/>
    <x v="7"/>
    <s v="CUST7793"/>
    <x v="8"/>
    <n v="2"/>
    <n v="5401.47"/>
    <n v="10802.94"/>
    <x v="0"/>
    <x v="2"/>
  </r>
  <r>
    <x v="1348"/>
    <s v="2025-08-31"/>
    <x v="7"/>
    <s v="CUST3972"/>
    <x v="3"/>
    <n v="3"/>
    <n v="46281.41"/>
    <n v="138844.23000000001"/>
    <x v="3"/>
    <x v="3"/>
  </r>
  <r>
    <x v="1349"/>
    <s v="2025-08-31"/>
    <x v="7"/>
    <s v="CUST5484"/>
    <x v="9"/>
    <n v="4"/>
    <n v="16908.169999999998"/>
    <n v="67632.679999999993"/>
    <x v="0"/>
    <x v="3"/>
  </r>
  <r>
    <x v="1350"/>
    <s v="2025-08-31"/>
    <x v="7"/>
    <s v="CUST9643"/>
    <x v="1"/>
    <n v="4"/>
    <n v="45457.78"/>
    <n v="181831.12"/>
    <x v="3"/>
    <x v="3"/>
  </r>
  <r>
    <x v="1351"/>
    <s v="2025-09-01"/>
    <x v="8"/>
    <s v="CUST6735"/>
    <x v="6"/>
    <n v="2"/>
    <n v="19484.38"/>
    <n v="38968.76"/>
    <x v="1"/>
    <x v="0"/>
  </r>
  <r>
    <x v="1352"/>
    <s v="2025-09-01"/>
    <x v="8"/>
    <s v="CUST1967"/>
    <x v="9"/>
    <n v="2"/>
    <n v="35750.69"/>
    <n v="71501.38"/>
    <x v="3"/>
    <x v="1"/>
  </r>
  <r>
    <x v="1353"/>
    <s v="2025-09-01"/>
    <x v="8"/>
    <s v="CUST9597"/>
    <x v="4"/>
    <n v="5"/>
    <n v="47816.7"/>
    <n v="239083.5"/>
    <x v="3"/>
    <x v="3"/>
  </r>
  <r>
    <x v="1354"/>
    <s v="2025-09-02"/>
    <x v="8"/>
    <s v="CUST4398"/>
    <x v="5"/>
    <n v="5"/>
    <n v="44053.64"/>
    <n v="220268.2"/>
    <x v="0"/>
    <x v="0"/>
  </r>
  <r>
    <x v="1355"/>
    <s v="2025-09-02"/>
    <x v="8"/>
    <s v="CUST2305"/>
    <x v="9"/>
    <n v="4"/>
    <n v="10184.709999999999"/>
    <n v="40738.839999999997"/>
    <x v="2"/>
    <x v="3"/>
  </r>
  <r>
    <x v="1356"/>
    <s v="2025-09-02"/>
    <x v="8"/>
    <s v="CUST5951"/>
    <x v="2"/>
    <n v="4"/>
    <n v="19388.400000000001"/>
    <n v="77553.600000000006"/>
    <x v="2"/>
    <x v="2"/>
  </r>
  <r>
    <x v="1357"/>
    <s v="2025-09-02"/>
    <x v="8"/>
    <s v="CUST4099"/>
    <x v="9"/>
    <n v="3"/>
    <n v="38920.959999999999"/>
    <n v="116762.88"/>
    <x v="3"/>
    <x v="0"/>
  </r>
  <r>
    <x v="1358"/>
    <s v="2025-09-02"/>
    <x v="8"/>
    <s v="CUST2808"/>
    <x v="7"/>
    <n v="2"/>
    <n v="46853.760000000002"/>
    <n v="93707.520000000004"/>
    <x v="3"/>
    <x v="0"/>
  </r>
  <r>
    <x v="1359"/>
    <s v="2025-09-02"/>
    <x v="8"/>
    <s v="CUST5877"/>
    <x v="4"/>
    <n v="1"/>
    <n v="36795.339999999997"/>
    <n v="36795.339999999997"/>
    <x v="1"/>
    <x v="0"/>
  </r>
  <r>
    <x v="1360"/>
    <s v="2025-09-02"/>
    <x v="8"/>
    <s v="CUST5481"/>
    <x v="5"/>
    <n v="1"/>
    <n v="46340.160000000003"/>
    <n v="46340.160000000003"/>
    <x v="2"/>
    <x v="0"/>
  </r>
  <r>
    <x v="1361"/>
    <s v="2025-09-02"/>
    <x v="8"/>
    <s v="CUST9586"/>
    <x v="9"/>
    <n v="4"/>
    <n v="3917.4"/>
    <n v="15669.6"/>
    <x v="3"/>
    <x v="1"/>
  </r>
  <r>
    <x v="1362"/>
    <s v="2025-09-03"/>
    <x v="8"/>
    <s v="CUST9316"/>
    <x v="7"/>
    <n v="1"/>
    <n v="1673.73"/>
    <n v="1673.73"/>
    <x v="2"/>
    <x v="2"/>
  </r>
  <r>
    <x v="1363"/>
    <s v="2025-09-03"/>
    <x v="8"/>
    <s v="CUST7298"/>
    <x v="0"/>
    <n v="3"/>
    <n v="27470.52"/>
    <n v="82411.56"/>
    <x v="2"/>
    <x v="1"/>
  </r>
  <r>
    <x v="1364"/>
    <s v="2025-09-03"/>
    <x v="8"/>
    <s v="CUST1975"/>
    <x v="2"/>
    <n v="5"/>
    <n v="40366.120000000003"/>
    <n v="201830.6"/>
    <x v="1"/>
    <x v="3"/>
  </r>
  <r>
    <x v="1365"/>
    <s v="2025-09-03"/>
    <x v="8"/>
    <s v="CUST7655"/>
    <x v="2"/>
    <n v="5"/>
    <n v="40052.980000000003"/>
    <n v="200264.9"/>
    <x v="0"/>
    <x v="0"/>
  </r>
  <r>
    <x v="1366"/>
    <s v="2025-09-04"/>
    <x v="8"/>
    <s v="CUST1951"/>
    <x v="2"/>
    <n v="1"/>
    <n v="35921.89"/>
    <n v="35921.89"/>
    <x v="3"/>
    <x v="2"/>
  </r>
  <r>
    <x v="1367"/>
    <s v="2025-09-04"/>
    <x v="8"/>
    <s v="CUST8139"/>
    <x v="7"/>
    <n v="1"/>
    <n v="9580.2999999999993"/>
    <n v="9580.2999999999993"/>
    <x v="1"/>
    <x v="1"/>
  </r>
  <r>
    <x v="1368"/>
    <s v="2025-09-04"/>
    <x v="8"/>
    <s v="CUST4392"/>
    <x v="7"/>
    <n v="3"/>
    <n v="36928.01"/>
    <n v="110784.03"/>
    <x v="3"/>
    <x v="0"/>
  </r>
  <r>
    <x v="1369"/>
    <s v="2025-09-04"/>
    <x v="8"/>
    <s v="CUST6020"/>
    <x v="2"/>
    <n v="3"/>
    <n v="33520.230000000003"/>
    <n v="100560.69"/>
    <x v="3"/>
    <x v="3"/>
  </r>
  <r>
    <x v="1370"/>
    <s v="2025-09-05"/>
    <x v="8"/>
    <s v="CUST6365"/>
    <x v="9"/>
    <n v="3"/>
    <n v="17398.580000000002"/>
    <n v="52195.74"/>
    <x v="3"/>
    <x v="0"/>
  </r>
  <r>
    <x v="1371"/>
    <s v="2025-09-05"/>
    <x v="8"/>
    <s v="CUST8540"/>
    <x v="5"/>
    <n v="4"/>
    <n v="3948.09"/>
    <n v="15792.36"/>
    <x v="0"/>
    <x v="2"/>
  </r>
  <r>
    <x v="1372"/>
    <s v="2025-09-05"/>
    <x v="8"/>
    <s v="CUST9634"/>
    <x v="0"/>
    <n v="4"/>
    <n v="26967.24"/>
    <n v="107868.96"/>
    <x v="0"/>
    <x v="1"/>
  </r>
  <r>
    <x v="1373"/>
    <s v="2025-09-05"/>
    <x v="8"/>
    <s v="CUST2141"/>
    <x v="8"/>
    <n v="2"/>
    <n v="45545.279999999999"/>
    <n v="91090.559999999998"/>
    <x v="1"/>
    <x v="3"/>
  </r>
  <r>
    <x v="1374"/>
    <s v="2025-09-05"/>
    <x v="8"/>
    <s v="CUST2051"/>
    <x v="9"/>
    <n v="4"/>
    <n v="3080.12"/>
    <n v="12320.48"/>
    <x v="1"/>
    <x v="2"/>
  </r>
  <r>
    <x v="1375"/>
    <s v="2025-09-05"/>
    <x v="8"/>
    <s v="CUST5366"/>
    <x v="1"/>
    <n v="2"/>
    <n v="42536.3"/>
    <n v="85072.6"/>
    <x v="1"/>
    <x v="0"/>
  </r>
  <r>
    <x v="1376"/>
    <s v="2025-09-06"/>
    <x v="8"/>
    <s v="CUST9752"/>
    <x v="4"/>
    <n v="1"/>
    <n v="14485.41"/>
    <n v="14485.41"/>
    <x v="0"/>
    <x v="2"/>
  </r>
  <r>
    <x v="1377"/>
    <s v="2025-09-06"/>
    <x v="8"/>
    <s v="CUST1499"/>
    <x v="2"/>
    <n v="2"/>
    <n v="3377.38"/>
    <n v="6754.76"/>
    <x v="0"/>
    <x v="1"/>
  </r>
  <r>
    <x v="1378"/>
    <s v="2025-09-06"/>
    <x v="8"/>
    <s v="CUST4400"/>
    <x v="4"/>
    <n v="5"/>
    <n v="8705.4699999999993"/>
    <n v="43527.35"/>
    <x v="1"/>
    <x v="1"/>
  </r>
  <r>
    <x v="1379"/>
    <s v="2025-09-06"/>
    <x v="8"/>
    <s v="CUST8686"/>
    <x v="1"/>
    <n v="2"/>
    <n v="30835.75"/>
    <n v="61671.5"/>
    <x v="0"/>
    <x v="1"/>
  </r>
  <r>
    <x v="1380"/>
    <s v="2025-09-06"/>
    <x v="8"/>
    <s v="CUST5063"/>
    <x v="3"/>
    <n v="5"/>
    <n v="4698.49"/>
    <n v="23492.45"/>
    <x v="3"/>
    <x v="1"/>
  </r>
  <r>
    <x v="1381"/>
    <s v="2025-09-07"/>
    <x v="8"/>
    <s v="CUST9979"/>
    <x v="2"/>
    <n v="1"/>
    <n v="17653.310000000001"/>
    <n v="17653.310000000001"/>
    <x v="3"/>
    <x v="0"/>
  </r>
  <r>
    <x v="1382"/>
    <s v="2025-09-07"/>
    <x v="8"/>
    <s v="CUST6871"/>
    <x v="9"/>
    <n v="1"/>
    <n v="4984.8999999999996"/>
    <n v="4984.8999999999996"/>
    <x v="1"/>
    <x v="0"/>
  </r>
  <r>
    <x v="1383"/>
    <s v="2025-09-07"/>
    <x v="8"/>
    <s v="CUST3195"/>
    <x v="0"/>
    <n v="4"/>
    <n v="11428.11"/>
    <n v="45712.44"/>
    <x v="1"/>
    <x v="0"/>
  </r>
  <r>
    <x v="1384"/>
    <s v="2025-09-07"/>
    <x v="8"/>
    <s v="CUST2103"/>
    <x v="4"/>
    <n v="4"/>
    <n v="38443.46"/>
    <n v="153773.84"/>
    <x v="0"/>
    <x v="1"/>
  </r>
  <r>
    <x v="1385"/>
    <s v="2025-09-07"/>
    <x v="8"/>
    <s v="CUST2387"/>
    <x v="9"/>
    <n v="4"/>
    <n v="6198.63"/>
    <n v="24794.52"/>
    <x v="2"/>
    <x v="2"/>
  </r>
  <r>
    <x v="1386"/>
    <s v="2025-09-08"/>
    <x v="8"/>
    <s v="CUST7907"/>
    <x v="9"/>
    <n v="4"/>
    <n v="35626.050000000003"/>
    <n v="142504.20000000001"/>
    <x v="2"/>
    <x v="0"/>
  </r>
  <r>
    <x v="1387"/>
    <s v="2025-09-08"/>
    <x v="8"/>
    <s v="CUST4921"/>
    <x v="7"/>
    <n v="5"/>
    <n v="49707.98"/>
    <n v="248539.9"/>
    <x v="1"/>
    <x v="0"/>
  </r>
  <r>
    <x v="1388"/>
    <s v="2025-09-08"/>
    <x v="8"/>
    <s v="CUST5167"/>
    <x v="5"/>
    <n v="3"/>
    <n v="20812.900000000001"/>
    <n v="62438.7"/>
    <x v="1"/>
    <x v="1"/>
  </r>
  <r>
    <x v="1389"/>
    <s v="2025-09-09"/>
    <x v="8"/>
    <s v="CUST2866"/>
    <x v="4"/>
    <n v="3"/>
    <n v="47543.3"/>
    <n v="142629.9"/>
    <x v="1"/>
    <x v="0"/>
  </r>
  <r>
    <x v="1390"/>
    <s v="2025-09-09"/>
    <x v="8"/>
    <s v="CUST8742"/>
    <x v="4"/>
    <n v="4"/>
    <n v="16857.98"/>
    <n v="67431.92"/>
    <x v="1"/>
    <x v="3"/>
  </r>
  <r>
    <x v="1391"/>
    <s v="2025-09-09"/>
    <x v="8"/>
    <s v="CUST8448"/>
    <x v="7"/>
    <n v="1"/>
    <n v="43278.35"/>
    <n v="43278.35"/>
    <x v="3"/>
    <x v="1"/>
  </r>
  <r>
    <x v="1392"/>
    <s v="2025-09-09"/>
    <x v="8"/>
    <s v="CUST1990"/>
    <x v="9"/>
    <n v="3"/>
    <n v="16380.32"/>
    <n v="49140.959999999999"/>
    <x v="1"/>
    <x v="3"/>
  </r>
  <r>
    <x v="1393"/>
    <s v="2025-09-09"/>
    <x v="8"/>
    <s v="CUST4062"/>
    <x v="7"/>
    <n v="1"/>
    <n v="32957.629999999997"/>
    <n v="32957.629999999997"/>
    <x v="1"/>
    <x v="2"/>
  </r>
  <r>
    <x v="1394"/>
    <s v="2025-09-09"/>
    <x v="8"/>
    <s v="CUST9306"/>
    <x v="1"/>
    <n v="3"/>
    <n v="23215.91"/>
    <n v="69647.73"/>
    <x v="1"/>
    <x v="1"/>
  </r>
  <r>
    <x v="1395"/>
    <s v="2025-09-10"/>
    <x v="8"/>
    <s v="CUST4573"/>
    <x v="6"/>
    <n v="2"/>
    <n v="9233.9699999999993"/>
    <n v="18467.939999999999"/>
    <x v="2"/>
    <x v="0"/>
  </r>
  <r>
    <x v="1396"/>
    <s v="2025-09-10"/>
    <x v="8"/>
    <s v="CUST4308"/>
    <x v="0"/>
    <n v="1"/>
    <n v="41964.29"/>
    <n v="41964.29"/>
    <x v="0"/>
    <x v="1"/>
  </r>
  <r>
    <x v="1397"/>
    <s v="2025-09-10"/>
    <x v="8"/>
    <s v="CUST5270"/>
    <x v="0"/>
    <n v="3"/>
    <n v="43335.48"/>
    <n v="130006.44"/>
    <x v="1"/>
    <x v="2"/>
  </r>
  <r>
    <x v="1398"/>
    <s v="2025-09-10"/>
    <x v="8"/>
    <s v="CUST4213"/>
    <x v="5"/>
    <n v="2"/>
    <n v="5746.48"/>
    <n v="11492.96"/>
    <x v="2"/>
    <x v="0"/>
  </r>
  <r>
    <x v="1399"/>
    <s v="2025-09-11"/>
    <x v="8"/>
    <s v="CUST3903"/>
    <x v="3"/>
    <n v="5"/>
    <n v="23615"/>
    <n v="118075"/>
    <x v="0"/>
    <x v="1"/>
  </r>
  <r>
    <x v="1400"/>
    <s v="2025-09-11"/>
    <x v="8"/>
    <s v="CUST5897"/>
    <x v="7"/>
    <n v="1"/>
    <n v="1185.94"/>
    <n v="1185.94"/>
    <x v="3"/>
    <x v="0"/>
  </r>
  <r>
    <x v="1401"/>
    <s v="2025-09-11"/>
    <x v="8"/>
    <s v="CUST1695"/>
    <x v="8"/>
    <n v="4"/>
    <n v="46651.45"/>
    <n v="186605.8"/>
    <x v="0"/>
    <x v="2"/>
  </r>
  <r>
    <x v="1402"/>
    <s v="2025-09-11"/>
    <x v="8"/>
    <s v="CUST2616"/>
    <x v="3"/>
    <n v="2"/>
    <n v="26032.13"/>
    <n v="52064.26"/>
    <x v="0"/>
    <x v="1"/>
  </r>
  <r>
    <x v="1403"/>
    <s v="2025-09-11"/>
    <x v="8"/>
    <s v="CUST8214"/>
    <x v="3"/>
    <n v="3"/>
    <n v="23563.52"/>
    <n v="70690.559999999998"/>
    <x v="3"/>
    <x v="1"/>
  </r>
  <r>
    <x v="1404"/>
    <s v="2025-09-11"/>
    <x v="8"/>
    <s v="CUST5785"/>
    <x v="1"/>
    <n v="3"/>
    <n v="7628.48"/>
    <n v="22885.439999999999"/>
    <x v="3"/>
    <x v="2"/>
  </r>
  <r>
    <x v="1405"/>
    <s v="2025-09-11"/>
    <x v="8"/>
    <s v="CUST3456"/>
    <x v="8"/>
    <n v="5"/>
    <n v="23543.05"/>
    <n v="117715.25"/>
    <x v="2"/>
    <x v="3"/>
  </r>
  <r>
    <x v="1406"/>
    <s v="2025-09-12"/>
    <x v="8"/>
    <s v="CUST2085"/>
    <x v="2"/>
    <n v="3"/>
    <n v="5083.41"/>
    <n v="15250.23"/>
    <x v="1"/>
    <x v="1"/>
  </r>
  <r>
    <x v="1407"/>
    <s v="2025-09-12"/>
    <x v="8"/>
    <s v="CUST4555"/>
    <x v="9"/>
    <n v="5"/>
    <n v="29883.55"/>
    <n v="149417.75"/>
    <x v="1"/>
    <x v="1"/>
  </r>
  <r>
    <x v="1408"/>
    <s v="2025-09-12"/>
    <x v="8"/>
    <s v="CUST6302"/>
    <x v="9"/>
    <n v="1"/>
    <n v="22493.46"/>
    <n v="22493.46"/>
    <x v="2"/>
    <x v="0"/>
  </r>
  <r>
    <x v="1409"/>
    <s v="2025-09-12"/>
    <x v="8"/>
    <s v="CUST1849"/>
    <x v="9"/>
    <n v="1"/>
    <n v="36097.910000000003"/>
    <n v="36097.910000000003"/>
    <x v="1"/>
    <x v="3"/>
  </r>
  <r>
    <x v="1410"/>
    <s v="2025-09-12"/>
    <x v="8"/>
    <s v="CUST4088"/>
    <x v="7"/>
    <n v="2"/>
    <n v="9339.92"/>
    <n v="18679.84"/>
    <x v="3"/>
    <x v="0"/>
  </r>
  <r>
    <x v="1411"/>
    <s v="2025-09-13"/>
    <x v="8"/>
    <s v="CUST7225"/>
    <x v="0"/>
    <n v="5"/>
    <n v="13251.42"/>
    <n v="66257.100000000006"/>
    <x v="3"/>
    <x v="2"/>
  </r>
  <r>
    <x v="1412"/>
    <s v="2025-09-13"/>
    <x v="8"/>
    <s v="CUST4100"/>
    <x v="7"/>
    <n v="2"/>
    <n v="38014.269999999997"/>
    <n v="76028.539999999994"/>
    <x v="0"/>
    <x v="2"/>
  </r>
  <r>
    <x v="1413"/>
    <s v="2025-09-13"/>
    <x v="8"/>
    <s v="CUST5151"/>
    <x v="5"/>
    <n v="3"/>
    <n v="21368.5"/>
    <n v="64105.5"/>
    <x v="0"/>
    <x v="2"/>
  </r>
  <r>
    <x v="1414"/>
    <s v="2025-09-14"/>
    <x v="8"/>
    <s v="CUST1202"/>
    <x v="1"/>
    <n v="3"/>
    <n v="4880.6499999999996"/>
    <n v="14641.95"/>
    <x v="1"/>
    <x v="3"/>
  </r>
  <r>
    <x v="1415"/>
    <s v="2025-09-14"/>
    <x v="8"/>
    <s v="CUST5301"/>
    <x v="0"/>
    <n v="1"/>
    <n v="35398.879999999997"/>
    <n v="35398.879999999997"/>
    <x v="0"/>
    <x v="1"/>
  </r>
  <r>
    <x v="1416"/>
    <s v="2025-09-14"/>
    <x v="8"/>
    <s v="CUST6945"/>
    <x v="3"/>
    <n v="1"/>
    <n v="34161.18"/>
    <n v="34161.18"/>
    <x v="1"/>
    <x v="2"/>
  </r>
  <r>
    <x v="1417"/>
    <s v="2025-09-14"/>
    <x v="8"/>
    <s v="CUST4809"/>
    <x v="7"/>
    <n v="4"/>
    <n v="35003.99"/>
    <n v="140015.96"/>
    <x v="2"/>
    <x v="3"/>
  </r>
  <r>
    <x v="1418"/>
    <s v="2025-09-15"/>
    <x v="8"/>
    <s v="CUST2349"/>
    <x v="9"/>
    <n v="3"/>
    <n v="9970.6"/>
    <n v="29911.8"/>
    <x v="2"/>
    <x v="2"/>
  </r>
  <r>
    <x v="1419"/>
    <s v="2025-09-15"/>
    <x v="8"/>
    <s v="CUST4277"/>
    <x v="6"/>
    <n v="5"/>
    <n v="8741.31"/>
    <n v="43706.55"/>
    <x v="1"/>
    <x v="3"/>
  </r>
  <r>
    <x v="1420"/>
    <s v="2025-09-15"/>
    <x v="8"/>
    <s v="CUST7015"/>
    <x v="7"/>
    <n v="2"/>
    <n v="6643.98"/>
    <n v="13287.96"/>
    <x v="0"/>
    <x v="2"/>
  </r>
  <r>
    <x v="1421"/>
    <s v="2025-09-15"/>
    <x v="8"/>
    <s v="CUST8395"/>
    <x v="9"/>
    <n v="2"/>
    <n v="38768.18"/>
    <n v="77536.36"/>
    <x v="2"/>
    <x v="3"/>
  </r>
  <r>
    <x v="1422"/>
    <s v="2025-09-15"/>
    <x v="8"/>
    <s v="CUST4541"/>
    <x v="3"/>
    <n v="4"/>
    <n v="22198.7"/>
    <n v="88794.8"/>
    <x v="0"/>
    <x v="2"/>
  </r>
  <r>
    <x v="1423"/>
    <s v="2025-09-15"/>
    <x v="8"/>
    <s v="CUST2675"/>
    <x v="6"/>
    <n v="2"/>
    <n v="45647.31"/>
    <n v="91294.62"/>
    <x v="2"/>
    <x v="1"/>
  </r>
  <r>
    <x v="1424"/>
    <s v="2025-09-15"/>
    <x v="8"/>
    <s v="CUST1939"/>
    <x v="0"/>
    <n v="3"/>
    <n v="47834.93"/>
    <n v="143504.79"/>
    <x v="2"/>
    <x v="2"/>
  </r>
  <r>
    <x v="1425"/>
    <s v="2025-09-16"/>
    <x v="8"/>
    <s v="CUST9318"/>
    <x v="1"/>
    <n v="3"/>
    <n v="48780.22"/>
    <n v="146340.66"/>
    <x v="1"/>
    <x v="0"/>
  </r>
  <r>
    <x v="1426"/>
    <s v="2025-09-16"/>
    <x v="8"/>
    <s v="CUST8441"/>
    <x v="9"/>
    <n v="3"/>
    <n v="34217.24"/>
    <n v="102651.72"/>
    <x v="3"/>
    <x v="0"/>
  </r>
  <r>
    <x v="1427"/>
    <s v="2025-09-16"/>
    <x v="8"/>
    <s v="CUST4064"/>
    <x v="7"/>
    <n v="3"/>
    <n v="13948.88"/>
    <n v="41846.639999999999"/>
    <x v="2"/>
    <x v="3"/>
  </r>
  <r>
    <x v="1428"/>
    <s v="2025-09-16"/>
    <x v="8"/>
    <s v="CUST2556"/>
    <x v="4"/>
    <n v="5"/>
    <n v="47962.18"/>
    <n v="239810.9"/>
    <x v="0"/>
    <x v="2"/>
  </r>
  <r>
    <x v="1429"/>
    <s v="2025-09-17"/>
    <x v="8"/>
    <s v="CUST8198"/>
    <x v="1"/>
    <n v="3"/>
    <n v="17401.419999999998"/>
    <n v="52204.26"/>
    <x v="2"/>
    <x v="0"/>
  </r>
  <r>
    <x v="1430"/>
    <s v="2025-09-17"/>
    <x v="8"/>
    <s v="CUST8828"/>
    <x v="0"/>
    <n v="1"/>
    <n v="19686.29"/>
    <n v="19686.29"/>
    <x v="2"/>
    <x v="1"/>
  </r>
  <r>
    <x v="1431"/>
    <s v="2025-09-17"/>
    <x v="8"/>
    <s v="CUST2029"/>
    <x v="7"/>
    <n v="4"/>
    <n v="3327.75"/>
    <n v="13311"/>
    <x v="1"/>
    <x v="3"/>
  </r>
  <r>
    <x v="1432"/>
    <s v="2025-09-17"/>
    <x v="8"/>
    <s v="CUST7566"/>
    <x v="6"/>
    <n v="1"/>
    <n v="26847.14"/>
    <n v="26847.14"/>
    <x v="1"/>
    <x v="2"/>
  </r>
  <r>
    <x v="1433"/>
    <s v="2025-09-17"/>
    <x v="8"/>
    <s v="CUST1626"/>
    <x v="3"/>
    <n v="5"/>
    <n v="23794.85"/>
    <n v="118974.25"/>
    <x v="0"/>
    <x v="3"/>
  </r>
  <r>
    <x v="1434"/>
    <s v="2025-09-18"/>
    <x v="8"/>
    <s v="CUST1750"/>
    <x v="1"/>
    <n v="3"/>
    <n v="5155.08"/>
    <n v="15465.24"/>
    <x v="0"/>
    <x v="2"/>
  </r>
  <r>
    <x v="1435"/>
    <s v="2025-09-18"/>
    <x v="8"/>
    <s v="CUST5141"/>
    <x v="7"/>
    <n v="2"/>
    <n v="21159.89"/>
    <n v="42319.78"/>
    <x v="2"/>
    <x v="2"/>
  </r>
  <r>
    <x v="1436"/>
    <s v="2025-09-18"/>
    <x v="8"/>
    <s v="CUST3371"/>
    <x v="7"/>
    <n v="3"/>
    <n v="49439.3"/>
    <n v="148317.9"/>
    <x v="3"/>
    <x v="1"/>
  </r>
  <r>
    <x v="1437"/>
    <s v="2025-09-19"/>
    <x v="8"/>
    <s v="CUST6977"/>
    <x v="8"/>
    <n v="5"/>
    <n v="5532.12"/>
    <n v="27660.6"/>
    <x v="3"/>
    <x v="3"/>
  </r>
  <r>
    <x v="1438"/>
    <s v="2025-09-19"/>
    <x v="8"/>
    <s v="CUST8556"/>
    <x v="4"/>
    <n v="4"/>
    <n v="48448.02"/>
    <n v="193792.08"/>
    <x v="3"/>
    <x v="1"/>
  </r>
  <r>
    <x v="1439"/>
    <s v="2025-09-19"/>
    <x v="8"/>
    <s v="CUST8059"/>
    <x v="0"/>
    <n v="4"/>
    <n v="35569.61"/>
    <n v="142278.44"/>
    <x v="0"/>
    <x v="1"/>
  </r>
  <r>
    <x v="1440"/>
    <s v="2025-09-20"/>
    <x v="8"/>
    <s v="CUST7671"/>
    <x v="9"/>
    <n v="1"/>
    <n v="39027.83"/>
    <n v="39027.83"/>
    <x v="2"/>
    <x v="0"/>
  </r>
  <r>
    <x v="1441"/>
    <s v="2025-09-20"/>
    <x v="8"/>
    <s v="CUST6275"/>
    <x v="4"/>
    <n v="3"/>
    <n v="21603.68"/>
    <n v="64811.040000000001"/>
    <x v="1"/>
    <x v="0"/>
  </r>
  <r>
    <x v="1442"/>
    <s v="2025-09-20"/>
    <x v="8"/>
    <s v="CUST9770"/>
    <x v="4"/>
    <n v="2"/>
    <n v="37385.21"/>
    <n v="74770.42"/>
    <x v="1"/>
    <x v="3"/>
  </r>
  <r>
    <x v="1443"/>
    <s v="2025-09-20"/>
    <x v="8"/>
    <s v="CUST8382"/>
    <x v="0"/>
    <n v="5"/>
    <n v="32013.58"/>
    <n v="160067.9"/>
    <x v="2"/>
    <x v="0"/>
  </r>
  <r>
    <x v="1444"/>
    <s v="2025-09-20"/>
    <x v="8"/>
    <s v="CUST2437"/>
    <x v="8"/>
    <n v="2"/>
    <n v="42014.95"/>
    <n v="84029.9"/>
    <x v="0"/>
    <x v="3"/>
  </r>
  <r>
    <x v="1445"/>
    <s v="2025-09-20"/>
    <x v="8"/>
    <s v="CUST8889"/>
    <x v="5"/>
    <n v="2"/>
    <n v="36255.620000000003"/>
    <n v="72511.240000000005"/>
    <x v="1"/>
    <x v="2"/>
  </r>
  <r>
    <x v="1446"/>
    <s v="2025-09-21"/>
    <x v="8"/>
    <s v="CUST7005"/>
    <x v="1"/>
    <n v="2"/>
    <n v="17766.64"/>
    <n v="35533.279999999999"/>
    <x v="0"/>
    <x v="1"/>
  </r>
  <r>
    <x v="1447"/>
    <s v="2025-09-21"/>
    <x v="8"/>
    <s v="CUST8728"/>
    <x v="9"/>
    <n v="2"/>
    <n v="11390.79"/>
    <n v="22781.58"/>
    <x v="3"/>
    <x v="0"/>
  </r>
  <r>
    <x v="1448"/>
    <s v="2025-09-21"/>
    <x v="8"/>
    <s v="CUST6503"/>
    <x v="9"/>
    <n v="1"/>
    <n v="13103.77"/>
    <n v="13103.77"/>
    <x v="2"/>
    <x v="1"/>
  </r>
  <r>
    <x v="1449"/>
    <s v="2025-09-21"/>
    <x v="8"/>
    <s v="CUST5566"/>
    <x v="1"/>
    <n v="4"/>
    <n v="31709.99"/>
    <n v="126839.96"/>
    <x v="1"/>
    <x v="0"/>
  </r>
  <r>
    <x v="1450"/>
    <s v="2025-09-21"/>
    <x v="8"/>
    <s v="CUST4649"/>
    <x v="4"/>
    <n v="1"/>
    <n v="44810.34"/>
    <n v="44810.34"/>
    <x v="1"/>
    <x v="2"/>
  </r>
  <r>
    <x v="1451"/>
    <s v="2025-09-22"/>
    <x v="8"/>
    <s v="CUST4690"/>
    <x v="4"/>
    <n v="3"/>
    <n v="23632.18"/>
    <n v="70896.539999999994"/>
    <x v="0"/>
    <x v="3"/>
  </r>
  <r>
    <x v="1452"/>
    <s v="2025-09-22"/>
    <x v="8"/>
    <s v="CUST3931"/>
    <x v="1"/>
    <n v="2"/>
    <n v="38153.06"/>
    <n v="76306.12"/>
    <x v="2"/>
    <x v="1"/>
  </r>
  <r>
    <x v="1453"/>
    <s v="2025-09-22"/>
    <x v="8"/>
    <s v="CUST8434"/>
    <x v="0"/>
    <n v="2"/>
    <n v="25233.23"/>
    <n v="50466.46"/>
    <x v="0"/>
    <x v="0"/>
  </r>
  <r>
    <x v="1454"/>
    <s v="2025-09-22"/>
    <x v="8"/>
    <s v="CUST8969"/>
    <x v="9"/>
    <n v="1"/>
    <n v="43852.45"/>
    <n v="43852.45"/>
    <x v="3"/>
    <x v="2"/>
  </r>
  <r>
    <x v="1455"/>
    <s v="2025-09-22"/>
    <x v="8"/>
    <s v="CUST5251"/>
    <x v="2"/>
    <n v="2"/>
    <n v="25302.03"/>
    <n v="50604.06"/>
    <x v="2"/>
    <x v="2"/>
  </r>
  <r>
    <x v="1456"/>
    <s v="2025-09-22"/>
    <x v="8"/>
    <s v="CUST1428"/>
    <x v="4"/>
    <n v="2"/>
    <n v="12576.16"/>
    <n v="25152.32"/>
    <x v="1"/>
    <x v="3"/>
  </r>
  <r>
    <x v="1457"/>
    <s v="2025-09-23"/>
    <x v="8"/>
    <s v="CUST7409"/>
    <x v="8"/>
    <n v="1"/>
    <n v="46138.36"/>
    <n v="46138.36"/>
    <x v="3"/>
    <x v="0"/>
  </r>
  <r>
    <x v="1458"/>
    <s v="2025-09-23"/>
    <x v="8"/>
    <s v="CUST8057"/>
    <x v="2"/>
    <n v="5"/>
    <n v="32004.400000000001"/>
    <n v="160022"/>
    <x v="3"/>
    <x v="1"/>
  </r>
  <r>
    <x v="1459"/>
    <s v="2025-09-23"/>
    <x v="8"/>
    <s v="CUST6649"/>
    <x v="6"/>
    <n v="3"/>
    <n v="12170.1"/>
    <n v="36510.300000000003"/>
    <x v="0"/>
    <x v="1"/>
  </r>
  <r>
    <x v="1460"/>
    <s v="2025-09-23"/>
    <x v="8"/>
    <s v="CUST8286"/>
    <x v="6"/>
    <n v="1"/>
    <n v="32859.769999999997"/>
    <n v="32859.769999999997"/>
    <x v="0"/>
    <x v="3"/>
  </r>
  <r>
    <x v="1461"/>
    <s v="2025-09-23"/>
    <x v="8"/>
    <s v="CUST5971"/>
    <x v="5"/>
    <n v="1"/>
    <n v="4364.79"/>
    <n v="4364.79"/>
    <x v="2"/>
    <x v="1"/>
  </r>
  <r>
    <x v="1462"/>
    <s v="2025-09-23"/>
    <x v="8"/>
    <s v="CUST4009"/>
    <x v="7"/>
    <n v="4"/>
    <n v="8653.16"/>
    <n v="34612.639999999999"/>
    <x v="0"/>
    <x v="3"/>
  </r>
  <r>
    <x v="1463"/>
    <s v="2025-09-23"/>
    <x v="8"/>
    <s v="CUST4375"/>
    <x v="5"/>
    <n v="2"/>
    <n v="10617.64"/>
    <n v="21235.279999999999"/>
    <x v="1"/>
    <x v="1"/>
  </r>
  <r>
    <x v="1464"/>
    <s v="2025-09-24"/>
    <x v="8"/>
    <s v="CUST4101"/>
    <x v="7"/>
    <n v="4"/>
    <n v="47295.62"/>
    <n v="189182.48"/>
    <x v="2"/>
    <x v="1"/>
  </r>
  <r>
    <x v="1465"/>
    <s v="2025-09-24"/>
    <x v="8"/>
    <s v="CUST6199"/>
    <x v="2"/>
    <n v="5"/>
    <n v="3432.44"/>
    <n v="17162.2"/>
    <x v="0"/>
    <x v="2"/>
  </r>
  <r>
    <x v="1466"/>
    <s v="2025-09-24"/>
    <x v="8"/>
    <s v="CUST2772"/>
    <x v="4"/>
    <n v="4"/>
    <n v="35013.269999999997"/>
    <n v="140053.07999999999"/>
    <x v="2"/>
    <x v="1"/>
  </r>
  <r>
    <x v="1467"/>
    <s v="2025-09-25"/>
    <x v="8"/>
    <s v="CUST1381"/>
    <x v="5"/>
    <n v="3"/>
    <n v="25104.06"/>
    <n v="75312.179999999993"/>
    <x v="2"/>
    <x v="1"/>
  </r>
  <r>
    <x v="1468"/>
    <s v="2025-09-25"/>
    <x v="8"/>
    <s v="CUST1603"/>
    <x v="1"/>
    <n v="2"/>
    <n v="5834.62"/>
    <n v="11669.24"/>
    <x v="2"/>
    <x v="2"/>
  </r>
  <r>
    <x v="1469"/>
    <s v="2025-09-25"/>
    <x v="8"/>
    <s v="CUST4632"/>
    <x v="3"/>
    <n v="1"/>
    <n v="32396.61"/>
    <n v="32396.61"/>
    <x v="1"/>
    <x v="0"/>
  </r>
  <r>
    <x v="1470"/>
    <s v="2025-09-25"/>
    <x v="8"/>
    <s v="CUST5923"/>
    <x v="1"/>
    <n v="5"/>
    <n v="6991.47"/>
    <n v="34957.35"/>
    <x v="1"/>
    <x v="0"/>
  </r>
  <r>
    <x v="1471"/>
    <s v="2025-09-25"/>
    <x v="8"/>
    <s v="CUST4478"/>
    <x v="2"/>
    <n v="5"/>
    <n v="31984.54"/>
    <n v="159922.70000000001"/>
    <x v="0"/>
    <x v="1"/>
  </r>
  <r>
    <x v="1472"/>
    <s v="2025-09-25"/>
    <x v="8"/>
    <s v="CUST7760"/>
    <x v="4"/>
    <n v="4"/>
    <n v="28325.64"/>
    <n v="113302.56"/>
    <x v="3"/>
    <x v="2"/>
  </r>
  <r>
    <x v="1473"/>
    <s v="2025-09-26"/>
    <x v="8"/>
    <s v="CUST4195"/>
    <x v="7"/>
    <n v="4"/>
    <n v="14526.83"/>
    <n v="58107.32"/>
    <x v="3"/>
    <x v="1"/>
  </r>
  <r>
    <x v="1474"/>
    <s v="2025-09-26"/>
    <x v="8"/>
    <s v="CUST1666"/>
    <x v="8"/>
    <n v="4"/>
    <n v="36402.019999999997"/>
    <n v="145608.07999999999"/>
    <x v="2"/>
    <x v="2"/>
  </r>
  <r>
    <x v="1475"/>
    <s v="2025-09-26"/>
    <x v="8"/>
    <s v="CUST2150"/>
    <x v="5"/>
    <n v="5"/>
    <n v="5594.8"/>
    <n v="27974"/>
    <x v="3"/>
    <x v="0"/>
  </r>
  <r>
    <x v="1476"/>
    <s v="2025-09-26"/>
    <x v="8"/>
    <s v="CUST4647"/>
    <x v="2"/>
    <n v="1"/>
    <n v="909.93"/>
    <n v="909.93"/>
    <x v="0"/>
    <x v="0"/>
  </r>
  <r>
    <x v="1477"/>
    <s v="2025-09-26"/>
    <x v="8"/>
    <s v="CUST9492"/>
    <x v="7"/>
    <n v="3"/>
    <n v="15689.95"/>
    <n v="47069.85"/>
    <x v="2"/>
    <x v="0"/>
  </r>
  <r>
    <x v="1478"/>
    <s v="2025-09-26"/>
    <x v="8"/>
    <s v="CUST7630"/>
    <x v="1"/>
    <n v="3"/>
    <n v="964.45"/>
    <n v="2893.35"/>
    <x v="1"/>
    <x v="3"/>
  </r>
  <r>
    <x v="1479"/>
    <s v="2025-09-26"/>
    <x v="8"/>
    <s v="CUST7512"/>
    <x v="8"/>
    <n v="1"/>
    <n v="2091.9"/>
    <n v="2091.9"/>
    <x v="0"/>
    <x v="0"/>
  </r>
  <r>
    <x v="1480"/>
    <s v="2025-09-27"/>
    <x v="8"/>
    <s v="CUST7373"/>
    <x v="6"/>
    <n v="2"/>
    <n v="5101.7700000000004"/>
    <n v="10203.540000000001"/>
    <x v="3"/>
    <x v="3"/>
  </r>
  <r>
    <x v="1481"/>
    <s v="2025-09-27"/>
    <x v="8"/>
    <s v="CUST7997"/>
    <x v="4"/>
    <n v="1"/>
    <n v="19204.419999999998"/>
    <n v="19204.419999999998"/>
    <x v="0"/>
    <x v="2"/>
  </r>
  <r>
    <x v="1482"/>
    <s v="2025-09-27"/>
    <x v="8"/>
    <s v="CUST6120"/>
    <x v="1"/>
    <n v="1"/>
    <n v="37450.28"/>
    <n v="37450.28"/>
    <x v="0"/>
    <x v="2"/>
  </r>
  <r>
    <x v="1483"/>
    <s v="2025-09-27"/>
    <x v="8"/>
    <s v="CUST6516"/>
    <x v="3"/>
    <n v="1"/>
    <n v="41885.33"/>
    <n v="41885.33"/>
    <x v="3"/>
    <x v="2"/>
  </r>
  <r>
    <x v="1484"/>
    <s v="2025-09-27"/>
    <x v="8"/>
    <s v="CUST8737"/>
    <x v="7"/>
    <n v="1"/>
    <n v="43130.38"/>
    <n v="43130.38"/>
    <x v="1"/>
    <x v="0"/>
  </r>
  <r>
    <x v="1485"/>
    <s v="2025-09-27"/>
    <x v="8"/>
    <s v="CUST5359"/>
    <x v="2"/>
    <n v="5"/>
    <n v="17468.43"/>
    <n v="87342.15"/>
    <x v="1"/>
    <x v="1"/>
  </r>
  <r>
    <x v="1486"/>
    <s v="2025-09-27"/>
    <x v="8"/>
    <s v="CUST6847"/>
    <x v="4"/>
    <n v="3"/>
    <n v="29263.39"/>
    <n v="87790.17"/>
    <x v="1"/>
    <x v="1"/>
  </r>
  <r>
    <x v="1487"/>
    <s v="2025-09-28"/>
    <x v="8"/>
    <s v="CUST9124"/>
    <x v="3"/>
    <n v="5"/>
    <n v="7836.14"/>
    <n v="39180.699999999997"/>
    <x v="0"/>
    <x v="2"/>
  </r>
  <r>
    <x v="1488"/>
    <s v="2025-09-28"/>
    <x v="8"/>
    <s v="CUST6284"/>
    <x v="6"/>
    <n v="5"/>
    <n v="22470.26"/>
    <n v="112351.3"/>
    <x v="0"/>
    <x v="3"/>
  </r>
  <r>
    <x v="1489"/>
    <s v="2025-09-28"/>
    <x v="8"/>
    <s v="CUST2952"/>
    <x v="4"/>
    <n v="3"/>
    <n v="12400.29"/>
    <n v="37200.870000000003"/>
    <x v="3"/>
    <x v="1"/>
  </r>
  <r>
    <x v="1490"/>
    <s v="2025-09-28"/>
    <x v="8"/>
    <s v="CUST9949"/>
    <x v="3"/>
    <n v="2"/>
    <n v="27733.05"/>
    <n v="55466.1"/>
    <x v="0"/>
    <x v="1"/>
  </r>
  <r>
    <x v="1491"/>
    <s v="2025-09-29"/>
    <x v="8"/>
    <s v="CUST5720"/>
    <x v="0"/>
    <n v="3"/>
    <n v="14790.93"/>
    <n v="44372.79"/>
    <x v="2"/>
    <x v="3"/>
  </r>
  <r>
    <x v="1492"/>
    <s v="2025-09-29"/>
    <x v="8"/>
    <s v="CUST3042"/>
    <x v="0"/>
    <n v="4"/>
    <n v="7851.04"/>
    <n v="31404.16"/>
    <x v="0"/>
    <x v="3"/>
  </r>
  <r>
    <x v="1493"/>
    <s v="2025-09-29"/>
    <x v="8"/>
    <s v="CUST5395"/>
    <x v="0"/>
    <n v="2"/>
    <n v="33963.03"/>
    <n v="67926.06"/>
    <x v="0"/>
    <x v="2"/>
  </r>
  <r>
    <x v="1494"/>
    <s v="2025-09-29"/>
    <x v="8"/>
    <s v="CUST5375"/>
    <x v="5"/>
    <n v="2"/>
    <n v="22928.38"/>
    <n v="45856.76"/>
    <x v="3"/>
    <x v="2"/>
  </r>
  <r>
    <x v="1495"/>
    <s v="2025-09-29"/>
    <x v="8"/>
    <s v="CUST3924"/>
    <x v="8"/>
    <n v="5"/>
    <n v="17604.560000000001"/>
    <n v="88022.8"/>
    <x v="2"/>
    <x v="2"/>
  </r>
  <r>
    <x v="1496"/>
    <s v="2025-09-30"/>
    <x v="8"/>
    <s v="CUST6699"/>
    <x v="4"/>
    <n v="4"/>
    <n v="28287.58"/>
    <n v="113150.32"/>
    <x v="0"/>
    <x v="3"/>
  </r>
  <r>
    <x v="1497"/>
    <s v="2025-09-30"/>
    <x v="8"/>
    <s v="CUST5217"/>
    <x v="1"/>
    <n v="3"/>
    <n v="1401.61"/>
    <n v="4204.83"/>
    <x v="0"/>
    <x v="1"/>
  </r>
  <r>
    <x v="1498"/>
    <s v="2025-09-30"/>
    <x v="8"/>
    <s v="CUST4158"/>
    <x v="5"/>
    <n v="4"/>
    <n v="25970.16"/>
    <n v="103880.64"/>
    <x v="1"/>
    <x v="2"/>
  </r>
  <r>
    <x v="1499"/>
    <s v="2025-10-01"/>
    <x v="9"/>
    <s v="CUST5560"/>
    <x v="9"/>
    <n v="3"/>
    <n v="6894.12"/>
    <n v="20682.36"/>
    <x v="3"/>
    <x v="3"/>
  </r>
  <r>
    <x v="1500"/>
    <s v="2025-10-01"/>
    <x v="9"/>
    <s v="CUST8862"/>
    <x v="0"/>
    <n v="2"/>
    <n v="39293.410000000003"/>
    <n v="78586.820000000007"/>
    <x v="1"/>
    <x v="0"/>
  </r>
  <r>
    <x v="1501"/>
    <s v="2025-10-01"/>
    <x v="9"/>
    <s v="CUST7507"/>
    <x v="5"/>
    <n v="4"/>
    <n v="25158.53"/>
    <n v="100634.12"/>
    <x v="1"/>
    <x v="2"/>
  </r>
  <r>
    <x v="1502"/>
    <s v="2025-10-01"/>
    <x v="9"/>
    <s v="CUST7510"/>
    <x v="4"/>
    <n v="3"/>
    <n v="11429.72"/>
    <n v="34289.160000000003"/>
    <x v="0"/>
    <x v="1"/>
  </r>
  <r>
    <x v="1503"/>
    <s v="2025-10-01"/>
    <x v="9"/>
    <s v="CUST6249"/>
    <x v="1"/>
    <n v="5"/>
    <n v="10060.870000000001"/>
    <n v="50304.35"/>
    <x v="1"/>
    <x v="1"/>
  </r>
  <r>
    <x v="1504"/>
    <s v="2025-10-01"/>
    <x v="9"/>
    <s v="CUST4113"/>
    <x v="5"/>
    <n v="2"/>
    <n v="19478.3"/>
    <n v="38956.6"/>
    <x v="1"/>
    <x v="2"/>
  </r>
  <r>
    <x v="1505"/>
    <s v="2025-10-01"/>
    <x v="9"/>
    <s v="CUST9715"/>
    <x v="3"/>
    <n v="3"/>
    <n v="31792.74"/>
    <n v="95378.22"/>
    <x v="3"/>
    <x v="1"/>
  </r>
  <r>
    <x v="1506"/>
    <s v="2025-10-02"/>
    <x v="9"/>
    <s v="CUST5555"/>
    <x v="5"/>
    <n v="1"/>
    <n v="40887.339999999997"/>
    <n v="40887.339999999997"/>
    <x v="0"/>
    <x v="3"/>
  </r>
  <r>
    <x v="1507"/>
    <s v="2025-10-02"/>
    <x v="9"/>
    <s v="CUST5167"/>
    <x v="8"/>
    <n v="4"/>
    <n v="12222.94"/>
    <n v="48891.76"/>
    <x v="3"/>
    <x v="1"/>
  </r>
  <r>
    <x v="1508"/>
    <s v="2025-10-02"/>
    <x v="9"/>
    <s v="CUST4738"/>
    <x v="9"/>
    <n v="5"/>
    <n v="34143"/>
    <n v="170715"/>
    <x v="0"/>
    <x v="2"/>
  </r>
  <r>
    <x v="1509"/>
    <s v="2025-10-02"/>
    <x v="9"/>
    <s v="CUST4753"/>
    <x v="2"/>
    <n v="2"/>
    <n v="41053.24"/>
    <n v="82106.48"/>
    <x v="0"/>
    <x v="2"/>
  </r>
  <r>
    <x v="1510"/>
    <s v="2025-10-02"/>
    <x v="9"/>
    <s v="CUST9952"/>
    <x v="0"/>
    <n v="3"/>
    <n v="47862.87"/>
    <n v="143588.60999999999"/>
    <x v="0"/>
    <x v="3"/>
  </r>
  <r>
    <x v="1511"/>
    <s v="2025-10-03"/>
    <x v="9"/>
    <s v="CUST6771"/>
    <x v="7"/>
    <n v="1"/>
    <n v="47980.42"/>
    <n v="47980.42"/>
    <x v="2"/>
    <x v="0"/>
  </r>
  <r>
    <x v="1512"/>
    <s v="2025-10-03"/>
    <x v="9"/>
    <s v="CUST9086"/>
    <x v="9"/>
    <n v="5"/>
    <n v="25100.15"/>
    <n v="125500.75"/>
    <x v="1"/>
    <x v="2"/>
  </r>
  <r>
    <x v="1513"/>
    <s v="2025-10-03"/>
    <x v="9"/>
    <s v="CUST1635"/>
    <x v="3"/>
    <n v="1"/>
    <n v="5046.0200000000004"/>
    <n v="5046.0200000000004"/>
    <x v="2"/>
    <x v="1"/>
  </r>
  <r>
    <x v="1514"/>
    <s v="2025-10-03"/>
    <x v="9"/>
    <s v="CUST4776"/>
    <x v="6"/>
    <n v="5"/>
    <n v="9785.36"/>
    <n v="48926.8"/>
    <x v="2"/>
    <x v="0"/>
  </r>
  <r>
    <x v="1515"/>
    <s v="2025-10-03"/>
    <x v="9"/>
    <s v="CUST4094"/>
    <x v="9"/>
    <n v="3"/>
    <n v="18016.04"/>
    <n v="54048.12"/>
    <x v="0"/>
    <x v="0"/>
  </r>
  <r>
    <x v="1516"/>
    <s v="2025-10-03"/>
    <x v="9"/>
    <s v="CUST7900"/>
    <x v="9"/>
    <n v="5"/>
    <n v="18123.189999999999"/>
    <n v="90615.95"/>
    <x v="1"/>
    <x v="2"/>
  </r>
  <r>
    <x v="1517"/>
    <s v="2025-10-03"/>
    <x v="9"/>
    <s v="CUST2586"/>
    <x v="8"/>
    <n v="2"/>
    <n v="20625.27"/>
    <n v="41250.54"/>
    <x v="1"/>
    <x v="0"/>
  </r>
  <r>
    <x v="1518"/>
    <s v="2025-10-04"/>
    <x v="9"/>
    <s v="CUST8858"/>
    <x v="0"/>
    <n v="4"/>
    <n v="16420"/>
    <n v="65680"/>
    <x v="1"/>
    <x v="0"/>
  </r>
  <r>
    <x v="1519"/>
    <s v="2025-10-04"/>
    <x v="9"/>
    <s v="CUST6187"/>
    <x v="5"/>
    <n v="2"/>
    <n v="48963.28"/>
    <n v="97926.56"/>
    <x v="2"/>
    <x v="3"/>
  </r>
  <r>
    <x v="1520"/>
    <s v="2025-10-04"/>
    <x v="9"/>
    <s v="CUST3144"/>
    <x v="8"/>
    <n v="4"/>
    <n v="19838.330000000002"/>
    <n v="79353.320000000007"/>
    <x v="0"/>
    <x v="1"/>
  </r>
  <r>
    <x v="1521"/>
    <s v="2025-10-04"/>
    <x v="9"/>
    <s v="CUST2670"/>
    <x v="7"/>
    <n v="2"/>
    <n v="38721.730000000003"/>
    <n v="77443.460000000006"/>
    <x v="0"/>
    <x v="3"/>
  </r>
  <r>
    <x v="1522"/>
    <s v="2025-10-05"/>
    <x v="9"/>
    <s v="CUST6021"/>
    <x v="0"/>
    <n v="2"/>
    <n v="6342.14"/>
    <n v="12684.28"/>
    <x v="1"/>
    <x v="1"/>
  </r>
  <r>
    <x v="1523"/>
    <s v="2025-10-05"/>
    <x v="9"/>
    <s v="CUST7508"/>
    <x v="8"/>
    <n v="4"/>
    <n v="35364.36"/>
    <n v="141457.44"/>
    <x v="3"/>
    <x v="2"/>
  </r>
  <r>
    <x v="1524"/>
    <s v="2025-10-05"/>
    <x v="9"/>
    <s v="CUST4009"/>
    <x v="3"/>
    <n v="2"/>
    <n v="40452.99"/>
    <n v="80905.98"/>
    <x v="3"/>
    <x v="3"/>
  </r>
  <r>
    <x v="1525"/>
    <s v="2025-10-06"/>
    <x v="9"/>
    <s v="CUST3075"/>
    <x v="4"/>
    <n v="1"/>
    <n v="26342.7"/>
    <n v="26342.7"/>
    <x v="1"/>
    <x v="1"/>
  </r>
  <r>
    <x v="1526"/>
    <s v="2025-10-06"/>
    <x v="9"/>
    <s v="CUST3815"/>
    <x v="6"/>
    <n v="5"/>
    <n v="34118.78"/>
    <n v="170593.9"/>
    <x v="0"/>
    <x v="1"/>
  </r>
  <r>
    <x v="1527"/>
    <s v="2025-10-06"/>
    <x v="9"/>
    <s v="CUST1091"/>
    <x v="6"/>
    <n v="5"/>
    <n v="48270.41"/>
    <n v="241352.05"/>
    <x v="0"/>
    <x v="1"/>
  </r>
  <r>
    <x v="1528"/>
    <s v="2025-10-06"/>
    <x v="9"/>
    <s v="CUST2793"/>
    <x v="4"/>
    <n v="4"/>
    <n v="37342.14"/>
    <n v="149368.56"/>
    <x v="0"/>
    <x v="3"/>
  </r>
  <r>
    <x v="1529"/>
    <s v="2025-10-06"/>
    <x v="9"/>
    <s v="CUST5449"/>
    <x v="6"/>
    <n v="1"/>
    <n v="5185.49"/>
    <n v="5185.49"/>
    <x v="3"/>
    <x v="3"/>
  </r>
  <r>
    <x v="1530"/>
    <s v="2025-10-07"/>
    <x v="9"/>
    <s v="CUST5582"/>
    <x v="2"/>
    <n v="4"/>
    <n v="16261.13"/>
    <n v="65044.52"/>
    <x v="0"/>
    <x v="2"/>
  </r>
  <r>
    <x v="1531"/>
    <s v="2025-10-07"/>
    <x v="9"/>
    <s v="CUST6991"/>
    <x v="5"/>
    <n v="5"/>
    <n v="28511.4"/>
    <n v="142557"/>
    <x v="2"/>
    <x v="3"/>
  </r>
  <r>
    <x v="1532"/>
    <s v="2025-10-07"/>
    <x v="9"/>
    <s v="CUST9071"/>
    <x v="0"/>
    <n v="2"/>
    <n v="17485.509999999998"/>
    <n v="34971.019999999997"/>
    <x v="2"/>
    <x v="0"/>
  </r>
  <r>
    <x v="1533"/>
    <s v="2025-10-07"/>
    <x v="9"/>
    <s v="CUST9626"/>
    <x v="9"/>
    <n v="1"/>
    <n v="29671.63"/>
    <n v="29671.63"/>
    <x v="1"/>
    <x v="0"/>
  </r>
  <r>
    <x v="1534"/>
    <s v="2025-10-07"/>
    <x v="9"/>
    <s v="CUST2953"/>
    <x v="5"/>
    <n v="5"/>
    <n v="38426.629999999997"/>
    <n v="192133.15"/>
    <x v="2"/>
    <x v="2"/>
  </r>
  <r>
    <x v="1535"/>
    <s v="2025-10-07"/>
    <x v="9"/>
    <s v="CUST3127"/>
    <x v="6"/>
    <n v="3"/>
    <n v="22676.47"/>
    <n v="68029.41"/>
    <x v="0"/>
    <x v="2"/>
  </r>
  <r>
    <x v="1536"/>
    <s v="2025-10-07"/>
    <x v="9"/>
    <s v="CUST9289"/>
    <x v="2"/>
    <n v="4"/>
    <n v="9362.7800000000007"/>
    <n v="37451.120000000003"/>
    <x v="1"/>
    <x v="3"/>
  </r>
  <r>
    <x v="1537"/>
    <s v="2025-10-07"/>
    <x v="9"/>
    <s v="CUST7075"/>
    <x v="3"/>
    <n v="3"/>
    <n v="43320.89"/>
    <n v="129962.67"/>
    <x v="0"/>
    <x v="3"/>
  </r>
  <r>
    <x v="1538"/>
    <s v="2025-10-08"/>
    <x v="9"/>
    <s v="CUST9427"/>
    <x v="8"/>
    <n v="1"/>
    <n v="46356.85"/>
    <n v="46356.85"/>
    <x v="3"/>
    <x v="3"/>
  </r>
  <r>
    <x v="1539"/>
    <s v="2025-10-08"/>
    <x v="9"/>
    <s v="CUST4822"/>
    <x v="2"/>
    <n v="1"/>
    <n v="47278.95"/>
    <n v="47278.95"/>
    <x v="1"/>
    <x v="1"/>
  </r>
  <r>
    <x v="1540"/>
    <s v="2025-10-08"/>
    <x v="9"/>
    <s v="CUST7960"/>
    <x v="7"/>
    <n v="4"/>
    <n v="45097.2"/>
    <n v="180388.8"/>
    <x v="1"/>
    <x v="3"/>
  </r>
  <r>
    <x v="1541"/>
    <s v="2025-10-08"/>
    <x v="9"/>
    <s v="CUST5296"/>
    <x v="1"/>
    <n v="1"/>
    <n v="20102.900000000001"/>
    <n v="20102.900000000001"/>
    <x v="3"/>
    <x v="3"/>
  </r>
  <r>
    <x v="1542"/>
    <s v="2025-10-08"/>
    <x v="9"/>
    <s v="CUST9412"/>
    <x v="3"/>
    <n v="1"/>
    <n v="16901.939999999999"/>
    <n v="16901.939999999999"/>
    <x v="0"/>
    <x v="1"/>
  </r>
  <r>
    <x v="1543"/>
    <s v="2025-10-09"/>
    <x v="9"/>
    <s v="CUST8813"/>
    <x v="2"/>
    <n v="3"/>
    <n v="39461.050000000003"/>
    <n v="118383.15"/>
    <x v="2"/>
    <x v="0"/>
  </r>
  <r>
    <x v="1544"/>
    <s v="2025-10-09"/>
    <x v="9"/>
    <s v="CUST8536"/>
    <x v="5"/>
    <n v="2"/>
    <n v="27426.07"/>
    <n v="54852.14"/>
    <x v="0"/>
    <x v="0"/>
  </r>
  <r>
    <x v="1545"/>
    <s v="2025-10-09"/>
    <x v="9"/>
    <s v="CUST9988"/>
    <x v="3"/>
    <n v="5"/>
    <n v="22985.33"/>
    <n v="114926.65"/>
    <x v="3"/>
    <x v="0"/>
  </r>
  <r>
    <x v="1546"/>
    <s v="2025-10-09"/>
    <x v="9"/>
    <s v="CUST5299"/>
    <x v="7"/>
    <n v="3"/>
    <n v="18486.16"/>
    <n v="55458.48"/>
    <x v="2"/>
    <x v="0"/>
  </r>
  <r>
    <x v="1547"/>
    <s v="2025-10-09"/>
    <x v="9"/>
    <s v="CUST6620"/>
    <x v="6"/>
    <n v="2"/>
    <n v="12985.81"/>
    <n v="25971.62"/>
    <x v="3"/>
    <x v="1"/>
  </r>
  <r>
    <x v="1548"/>
    <s v="2025-10-09"/>
    <x v="9"/>
    <s v="CUST3034"/>
    <x v="4"/>
    <n v="3"/>
    <n v="3027.81"/>
    <n v="9083.43"/>
    <x v="2"/>
    <x v="0"/>
  </r>
  <r>
    <x v="1549"/>
    <s v="2025-10-09"/>
    <x v="9"/>
    <s v="CUST2441"/>
    <x v="0"/>
    <n v="4"/>
    <n v="22161.86"/>
    <n v="88647.44"/>
    <x v="0"/>
    <x v="3"/>
  </r>
  <r>
    <x v="1550"/>
    <s v="2025-10-10"/>
    <x v="9"/>
    <s v="CUST8865"/>
    <x v="3"/>
    <n v="5"/>
    <n v="27649.65"/>
    <n v="138248.25"/>
    <x v="3"/>
    <x v="2"/>
  </r>
  <r>
    <x v="1551"/>
    <s v="2025-10-10"/>
    <x v="9"/>
    <s v="CUST6783"/>
    <x v="3"/>
    <n v="2"/>
    <n v="14414.36"/>
    <n v="28828.720000000001"/>
    <x v="0"/>
    <x v="3"/>
  </r>
  <r>
    <x v="1552"/>
    <s v="2025-10-10"/>
    <x v="9"/>
    <s v="CUST1208"/>
    <x v="1"/>
    <n v="5"/>
    <n v="16006.61"/>
    <n v="80033.05"/>
    <x v="3"/>
    <x v="1"/>
  </r>
  <r>
    <x v="1553"/>
    <s v="2025-10-11"/>
    <x v="9"/>
    <s v="CUST5981"/>
    <x v="7"/>
    <n v="2"/>
    <n v="17392.48"/>
    <n v="34784.959999999999"/>
    <x v="1"/>
    <x v="1"/>
  </r>
  <r>
    <x v="1554"/>
    <s v="2025-10-11"/>
    <x v="9"/>
    <s v="CUST5995"/>
    <x v="2"/>
    <n v="3"/>
    <n v="48704"/>
    <n v="146112"/>
    <x v="0"/>
    <x v="0"/>
  </r>
  <r>
    <x v="1555"/>
    <s v="2025-10-11"/>
    <x v="9"/>
    <s v="CUST7450"/>
    <x v="5"/>
    <n v="5"/>
    <n v="48845.67"/>
    <n v="244228.35"/>
    <x v="1"/>
    <x v="0"/>
  </r>
  <r>
    <x v="1556"/>
    <s v="2025-10-11"/>
    <x v="9"/>
    <s v="CUST5586"/>
    <x v="9"/>
    <n v="2"/>
    <n v="16397.47"/>
    <n v="32794.94"/>
    <x v="2"/>
    <x v="2"/>
  </r>
  <r>
    <x v="1557"/>
    <s v="2025-10-12"/>
    <x v="9"/>
    <s v="CUST5301"/>
    <x v="3"/>
    <n v="4"/>
    <n v="7421.24"/>
    <n v="29684.959999999999"/>
    <x v="3"/>
    <x v="3"/>
  </r>
  <r>
    <x v="1558"/>
    <s v="2025-10-12"/>
    <x v="9"/>
    <s v="CUST8532"/>
    <x v="6"/>
    <n v="1"/>
    <n v="31714.03"/>
    <n v="31714.03"/>
    <x v="3"/>
    <x v="2"/>
  </r>
  <r>
    <x v="1559"/>
    <s v="2025-10-12"/>
    <x v="9"/>
    <s v="CUST6519"/>
    <x v="2"/>
    <n v="1"/>
    <n v="33420.92"/>
    <n v="33420.92"/>
    <x v="2"/>
    <x v="0"/>
  </r>
  <r>
    <x v="1560"/>
    <s v="2025-10-13"/>
    <x v="9"/>
    <s v="CUST5455"/>
    <x v="8"/>
    <n v="1"/>
    <n v="2736.97"/>
    <n v="2736.97"/>
    <x v="2"/>
    <x v="3"/>
  </r>
  <r>
    <x v="1561"/>
    <s v="2025-10-13"/>
    <x v="9"/>
    <s v="CUST2388"/>
    <x v="7"/>
    <n v="2"/>
    <n v="30813.82"/>
    <n v="61627.64"/>
    <x v="3"/>
    <x v="2"/>
  </r>
  <r>
    <x v="1562"/>
    <s v="2025-10-13"/>
    <x v="9"/>
    <s v="CUST8716"/>
    <x v="6"/>
    <n v="3"/>
    <n v="34495.54"/>
    <n v="103486.62"/>
    <x v="0"/>
    <x v="2"/>
  </r>
  <r>
    <x v="1563"/>
    <s v="2025-10-13"/>
    <x v="9"/>
    <s v="CUST9335"/>
    <x v="0"/>
    <n v="4"/>
    <n v="24423.26"/>
    <n v="97693.04"/>
    <x v="1"/>
    <x v="0"/>
  </r>
  <r>
    <x v="1564"/>
    <s v="2025-10-13"/>
    <x v="9"/>
    <s v="CUST8000"/>
    <x v="2"/>
    <n v="2"/>
    <n v="3156.25"/>
    <n v="6312.5"/>
    <x v="0"/>
    <x v="3"/>
  </r>
  <r>
    <x v="1565"/>
    <s v="2025-10-13"/>
    <x v="9"/>
    <s v="CUST7697"/>
    <x v="5"/>
    <n v="5"/>
    <n v="24951.24"/>
    <n v="124756.2"/>
    <x v="3"/>
    <x v="3"/>
  </r>
  <r>
    <x v="1566"/>
    <s v="2025-10-14"/>
    <x v="9"/>
    <s v="CUST4749"/>
    <x v="3"/>
    <n v="2"/>
    <n v="26996.99"/>
    <n v="53993.98"/>
    <x v="2"/>
    <x v="3"/>
  </r>
  <r>
    <x v="1567"/>
    <s v="2025-10-14"/>
    <x v="9"/>
    <s v="CUST9821"/>
    <x v="1"/>
    <n v="4"/>
    <n v="37718.370000000003"/>
    <n v="150873.48000000001"/>
    <x v="3"/>
    <x v="1"/>
  </r>
  <r>
    <x v="1568"/>
    <s v="2025-10-14"/>
    <x v="9"/>
    <s v="CUST3611"/>
    <x v="1"/>
    <n v="1"/>
    <n v="46223.79"/>
    <n v="46223.79"/>
    <x v="3"/>
    <x v="3"/>
  </r>
  <r>
    <x v="1569"/>
    <s v="2025-10-14"/>
    <x v="9"/>
    <s v="CUST7738"/>
    <x v="0"/>
    <n v="2"/>
    <n v="5337.83"/>
    <n v="10675.66"/>
    <x v="2"/>
    <x v="3"/>
  </r>
  <r>
    <x v="1570"/>
    <s v="2025-10-14"/>
    <x v="9"/>
    <s v="CUST2629"/>
    <x v="5"/>
    <n v="4"/>
    <n v="41270.589999999997"/>
    <n v="165082.35999999999"/>
    <x v="3"/>
    <x v="0"/>
  </r>
  <r>
    <x v="1571"/>
    <s v="2025-10-14"/>
    <x v="9"/>
    <s v="CUST7761"/>
    <x v="1"/>
    <n v="1"/>
    <n v="23095.67"/>
    <n v="23095.67"/>
    <x v="3"/>
    <x v="1"/>
  </r>
  <r>
    <x v="1572"/>
    <s v="2025-10-14"/>
    <x v="9"/>
    <s v="CUST4555"/>
    <x v="4"/>
    <n v="5"/>
    <n v="8179.88"/>
    <n v="40899.4"/>
    <x v="1"/>
    <x v="0"/>
  </r>
  <r>
    <x v="1573"/>
    <s v="2025-10-15"/>
    <x v="9"/>
    <s v="CUST5778"/>
    <x v="7"/>
    <n v="1"/>
    <n v="1398.42"/>
    <n v="1398.42"/>
    <x v="3"/>
    <x v="1"/>
  </r>
  <r>
    <x v="1574"/>
    <s v="2025-10-15"/>
    <x v="9"/>
    <s v="CUST7078"/>
    <x v="3"/>
    <n v="3"/>
    <n v="17526.23"/>
    <n v="52578.69"/>
    <x v="2"/>
    <x v="3"/>
  </r>
  <r>
    <x v="1575"/>
    <s v="2025-10-15"/>
    <x v="9"/>
    <s v="CUST1595"/>
    <x v="0"/>
    <n v="3"/>
    <n v="29112.09"/>
    <n v="87336.27"/>
    <x v="3"/>
    <x v="0"/>
  </r>
  <r>
    <x v="1576"/>
    <s v="2025-10-15"/>
    <x v="9"/>
    <s v="CUST9599"/>
    <x v="2"/>
    <n v="4"/>
    <n v="5406.54"/>
    <n v="21626.16"/>
    <x v="2"/>
    <x v="1"/>
  </r>
  <r>
    <x v="1577"/>
    <s v="2025-10-16"/>
    <x v="9"/>
    <s v="CUST9579"/>
    <x v="8"/>
    <n v="4"/>
    <n v="37077.050000000003"/>
    <n v="148308.20000000001"/>
    <x v="1"/>
    <x v="3"/>
  </r>
  <r>
    <x v="1578"/>
    <s v="2025-10-16"/>
    <x v="9"/>
    <s v="CUST4170"/>
    <x v="4"/>
    <n v="2"/>
    <n v="34831.99"/>
    <n v="69663.98"/>
    <x v="1"/>
    <x v="2"/>
  </r>
  <r>
    <x v="1579"/>
    <s v="2025-10-16"/>
    <x v="9"/>
    <s v="CUST9531"/>
    <x v="4"/>
    <n v="1"/>
    <n v="21620.53"/>
    <n v="21620.53"/>
    <x v="0"/>
    <x v="1"/>
  </r>
  <r>
    <x v="1580"/>
    <s v="2025-10-16"/>
    <x v="9"/>
    <s v="CUST8369"/>
    <x v="4"/>
    <n v="1"/>
    <n v="30062.25"/>
    <n v="30062.25"/>
    <x v="1"/>
    <x v="0"/>
  </r>
  <r>
    <x v="1581"/>
    <s v="2025-10-16"/>
    <x v="9"/>
    <s v="CUST3956"/>
    <x v="1"/>
    <n v="1"/>
    <n v="12877.43"/>
    <n v="12877.43"/>
    <x v="2"/>
    <x v="2"/>
  </r>
  <r>
    <x v="1582"/>
    <s v="2025-10-17"/>
    <x v="9"/>
    <s v="CUST4495"/>
    <x v="8"/>
    <n v="3"/>
    <n v="14809.31"/>
    <n v="44427.93"/>
    <x v="0"/>
    <x v="0"/>
  </r>
  <r>
    <x v="1583"/>
    <s v="2025-10-17"/>
    <x v="9"/>
    <s v="CUST9118"/>
    <x v="9"/>
    <n v="3"/>
    <n v="11014.68"/>
    <n v="33044.04"/>
    <x v="2"/>
    <x v="2"/>
  </r>
  <r>
    <x v="1584"/>
    <s v="2025-10-17"/>
    <x v="9"/>
    <s v="CUST9957"/>
    <x v="4"/>
    <n v="5"/>
    <n v="7353.17"/>
    <n v="36765.85"/>
    <x v="1"/>
    <x v="1"/>
  </r>
  <r>
    <x v="1585"/>
    <s v="2025-10-18"/>
    <x v="9"/>
    <s v="CUST7115"/>
    <x v="3"/>
    <n v="2"/>
    <n v="46489.58"/>
    <n v="92979.16"/>
    <x v="3"/>
    <x v="0"/>
  </r>
  <r>
    <x v="1586"/>
    <s v="2025-10-18"/>
    <x v="9"/>
    <s v="CUST3427"/>
    <x v="1"/>
    <n v="3"/>
    <n v="33522.19"/>
    <n v="100566.57"/>
    <x v="1"/>
    <x v="2"/>
  </r>
  <r>
    <x v="1587"/>
    <s v="2025-10-18"/>
    <x v="9"/>
    <s v="CUST3228"/>
    <x v="1"/>
    <n v="5"/>
    <n v="17203.189999999999"/>
    <n v="86015.95"/>
    <x v="2"/>
    <x v="2"/>
  </r>
  <r>
    <x v="1588"/>
    <s v="2025-10-19"/>
    <x v="9"/>
    <s v="CUST2719"/>
    <x v="5"/>
    <n v="5"/>
    <n v="18307.490000000002"/>
    <n v="91537.45"/>
    <x v="0"/>
    <x v="3"/>
  </r>
  <r>
    <x v="1589"/>
    <s v="2025-10-19"/>
    <x v="9"/>
    <s v="CUST7673"/>
    <x v="1"/>
    <n v="5"/>
    <n v="46095.91"/>
    <n v="230479.55"/>
    <x v="3"/>
    <x v="1"/>
  </r>
  <r>
    <x v="1590"/>
    <s v="2025-10-19"/>
    <x v="9"/>
    <s v="CUST6433"/>
    <x v="2"/>
    <n v="3"/>
    <n v="39979.129999999997"/>
    <n v="119937.39"/>
    <x v="0"/>
    <x v="0"/>
  </r>
  <r>
    <x v="1591"/>
    <s v="2025-10-19"/>
    <x v="9"/>
    <s v="CUST3990"/>
    <x v="4"/>
    <n v="5"/>
    <n v="2268.21"/>
    <n v="11341.05"/>
    <x v="3"/>
    <x v="1"/>
  </r>
  <r>
    <x v="1592"/>
    <s v="2025-10-19"/>
    <x v="9"/>
    <s v="CUST1564"/>
    <x v="3"/>
    <n v="4"/>
    <n v="39756.160000000003"/>
    <n v="159024.64000000001"/>
    <x v="2"/>
    <x v="0"/>
  </r>
  <r>
    <x v="1593"/>
    <s v="2025-10-19"/>
    <x v="9"/>
    <s v="CUST2946"/>
    <x v="4"/>
    <n v="3"/>
    <n v="29265.52"/>
    <n v="87796.56"/>
    <x v="3"/>
    <x v="0"/>
  </r>
  <r>
    <x v="1594"/>
    <s v="2025-10-19"/>
    <x v="9"/>
    <s v="CUST8041"/>
    <x v="9"/>
    <n v="1"/>
    <n v="22973.040000000001"/>
    <n v="22973.040000000001"/>
    <x v="2"/>
    <x v="2"/>
  </r>
  <r>
    <x v="1595"/>
    <s v="2025-10-19"/>
    <x v="9"/>
    <s v="CUST9270"/>
    <x v="4"/>
    <n v="4"/>
    <n v="23763.13"/>
    <n v="95052.52"/>
    <x v="0"/>
    <x v="2"/>
  </r>
  <r>
    <x v="1596"/>
    <s v="2025-10-20"/>
    <x v="9"/>
    <s v="CUST3772"/>
    <x v="1"/>
    <n v="2"/>
    <n v="42432.52"/>
    <n v="84865.04"/>
    <x v="0"/>
    <x v="1"/>
  </r>
  <r>
    <x v="1597"/>
    <s v="2025-10-20"/>
    <x v="9"/>
    <s v="CUST2963"/>
    <x v="4"/>
    <n v="4"/>
    <n v="4000.84"/>
    <n v="16003.36"/>
    <x v="1"/>
    <x v="0"/>
  </r>
  <r>
    <x v="1598"/>
    <s v="2025-10-20"/>
    <x v="9"/>
    <s v="CUST8679"/>
    <x v="2"/>
    <n v="4"/>
    <n v="16805.63"/>
    <n v="67222.52"/>
    <x v="2"/>
    <x v="1"/>
  </r>
  <r>
    <x v="1599"/>
    <s v="2025-10-20"/>
    <x v="9"/>
    <s v="CUST7742"/>
    <x v="4"/>
    <n v="4"/>
    <n v="33965.75"/>
    <n v="135863"/>
    <x v="2"/>
    <x v="2"/>
  </r>
  <r>
    <x v="1600"/>
    <s v="2025-10-21"/>
    <x v="9"/>
    <s v="CUST8325"/>
    <x v="8"/>
    <n v="4"/>
    <n v="36623.24"/>
    <n v="146492.96"/>
    <x v="1"/>
    <x v="0"/>
  </r>
  <r>
    <x v="1601"/>
    <s v="2025-10-21"/>
    <x v="9"/>
    <s v="CUST6329"/>
    <x v="6"/>
    <n v="2"/>
    <n v="47712.480000000003"/>
    <n v="95424.960000000006"/>
    <x v="0"/>
    <x v="2"/>
  </r>
  <r>
    <x v="1602"/>
    <s v="2025-10-21"/>
    <x v="9"/>
    <s v="CUST6095"/>
    <x v="1"/>
    <n v="4"/>
    <n v="42183.29"/>
    <n v="168733.16"/>
    <x v="3"/>
    <x v="2"/>
  </r>
  <r>
    <x v="1603"/>
    <s v="2025-10-22"/>
    <x v="9"/>
    <s v="CUST4953"/>
    <x v="1"/>
    <n v="2"/>
    <n v="35457.43"/>
    <n v="70914.86"/>
    <x v="3"/>
    <x v="0"/>
  </r>
  <r>
    <x v="1604"/>
    <s v="2025-10-22"/>
    <x v="9"/>
    <s v="CUST8071"/>
    <x v="0"/>
    <n v="5"/>
    <n v="18154.23"/>
    <n v="90771.15"/>
    <x v="2"/>
    <x v="0"/>
  </r>
  <r>
    <x v="1605"/>
    <s v="2025-10-22"/>
    <x v="9"/>
    <s v="CUST6057"/>
    <x v="8"/>
    <n v="3"/>
    <n v="44280.06"/>
    <n v="132840.18"/>
    <x v="2"/>
    <x v="1"/>
  </r>
  <r>
    <x v="1606"/>
    <s v="2025-10-22"/>
    <x v="9"/>
    <s v="CUST7531"/>
    <x v="0"/>
    <n v="1"/>
    <n v="46250.65"/>
    <n v="46250.65"/>
    <x v="0"/>
    <x v="3"/>
  </r>
  <r>
    <x v="1607"/>
    <s v="2025-10-22"/>
    <x v="9"/>
    <s v="CUST6815"/>
    <x v="8"/>
    <n v="1"/>
    <n v="1305.29"/>
    <n v="1305.29"/>
    <x v="2"/>
    <x v="1"/>
  </r>
  <r>
    <x v="1608"/>
    <s v="2025-10-22"/>
    <x v="9"/>
    <s v="CUST8359"/>
    <x v="6"/>
    <n v="5"/>
    <n v="14515.71"/>
    <n v="72578.55"/>
    <x v="1"/>
    <x v="0"/>
  </r>
  <r>
    <x v="1609"/>
    <s v="2025-10-23"/>
    <x v="9"/>
    <s v="CUST5610"/>
    <x v="1"/>
    <n v="4"/>
    <n v="49679.71"/>
    <n v="198718.84"/>
    <x v="3"/>
    <x v="1"/>
  </r>
  <r>
    <x v="1610"/>
    <s v="2025-10-23"/>
    <x v="9"/>
    <s v="CUST6122"/>
    <x v="8"/>
    <n v="2"/>
    <n v="14864.88"/>
    <n v="29729.759999999998"/>
    <x v="0"/>
    <x v="1"/>
  </r>
  <r>
    <x v="1611"/>
    <s v="2025-10-23"/>
    <x v="9"/>
    <s v="CUST1014"/>
    <x v="4"/>
    <n v="1"/>
    <n v="4485.28"/>
    <n v="4485.28"/>
    <x v="0"/>
    <x v="3"/>
  </r>
  <r>
    <x v="1612"/>
    <s v="2025-10-23"/>
    <x v="9"/>
    <s v="CUST9423"/>
    <x v="4"/>
    <n v="5"/>
    <n v="36578.879999999997"/>
    <n v="182894.4"/>
    <x v="2"/>
    <x v="0"/>
  </r>
  <r>
    <x v="1613"/>
    <s v="2025-10-23"/>
    <x v="9"/>
    <s v="CUST5656"/>
    <x v="5"/>
    <n v="1"/>
    <n v="7876.24"/>
    <n v="7876.24"/>
    <x v="3"/>
    <x v="1"/>
  </r>
  <r>
    <x v="1614"/>
    <s v="2025-10-24"/>
    <x v="9"/>
    <s v="CUST7590"/>
    <x v="9"/>
    <n v="4"/>
    <n v="36562.69"/>
    <n v="146250.76"/>
    <x v="1"/>
    <x v="3"/>
  </r>
  <r>
    <x v="1615"/>
    <s v="2025-10-24"/>
    <x v="9"/>
    <s v="CUST6792"/>
    <x v="3"/>
    <n v="2"/>
    <n v="12156.02"/>
    <n v="24312.04"/>
    <x v="2"/>
    <x v="2"/>
  </r>
  <r>
    <x v="1616"/>
    <s v="2025-10-24"/>
    <x v="9"/>
    <s v="CUST2369"/>
    <x v="3"/>
    <n v="5"/>
    <n v="12478.74"/>
    <n v="62393.7"/>
    <x v="2"/>
    <x v="3"/>
  </r>
  <r>
    <x v="1617"/>
    <s v="2025-10-24"/>
    <x v="9"/>
    <s v="CUST7361"/>
    <x v="1"/>
    <n v="3"/>
    <n v="10020.15"/>
    <n v="30060.45"/>
    <x v="2"/>
    <x v="0"/>
  </r>
  <r>
    <x v="1618"/>
    <s v="2025-10-25"/>
    <x v="9"/>
    <s v="CUST3335"/>
    <x v="9"/>
    <n v="4"/>
    <n v="22891.85"/>
    <n v="91567.4"/>
    <x v="0"/>
    <x v="0"/>
  </r>
  <r>
    <x v="1619"/>
    <s v="2025-10-25"/>
    <x v="9"/>
    <s v="CUST5749"/>
    <x v="1"/>
    <n v="5"/>
    <n v="36966.959999999999"/>
    <n v="184834.8"/>
    <x v="0"/>
    <x v="0"/>
  </r>
  <r>
    <x v="1620"/>
    <s v="2025-10-25"/>
    <x v="9"/>
    <s v="CUST1068"/>
    <x v="3"/>
    <n v="1"/>
    <n v="36713.46"/>
    <n v="36713.46"/>
    <x v="1"/>
    <x v="2"/>
  </r>
  <r>
    <x v="1621"/>
    <s v="2025-10-25"/>
    <x v="9"/>
    <s v="CUST5450"/>
    <x v="8"/>
    <n v="2"/>
    <n v="3864.79"/>
    <n v="7729.58"/>
    <x v="1"/>
    <x v="2"/>
  </r>
  <r>
    <x v="1622"/>
    <s v="2025-10-25"/>
    <x v="9"/>
    <s v="CUST7576"/>
    <x v="6"/>
    <n v="1"/>
    <n v="3678.32"/>
    <n v="3678.32"/>
    <x v="1"/>
    <x v="2"/>
  </r>
  <r>
    <x v="1623"/>
    <s v="2025-10-25"/>
    <x v="9"/>
    <s v="CUST2778"/>
    <x v="1"/>
    <n v="2"/>
    <n v="8028.62"/>
    <n v="16057.24"/>
    <x v="3"/>
    <x v="1"/>
  </r>
  <r>
    <x v="1624"/>
    <s v="2025-10-26"/>
    <x v="9"/>
    <s v="CUST7867"/>
    <x v="2"/>
    <n v="1"/>
    <n v="20927.47"/>
    <n v="20927.47"/>
    <x v="0"/>
    <x v="1"/>
  </r>
  <r>
    <x v="1625"/>
    <s v="2025-10-26"/>
    <x v="9"/>
    <s v="CUST6471"/>
    <x v="6"/>
    <n v="1"/>
    <n v="12233.43"/>
    <n v="12233.43"/>
    <x v="2"/>
    <x v="0"/>
  </r>
  <r>
    <x v="1626"/>
    <s v="2025-10-26"/>
    <x v="9"/>
    <s v="CUST5796"/>
    <x v="0"/>
    <n v="3"/>
    <n v="12262.31"/>
    <n v="36786.93"/>
    <x v="0"/>
    <x v="3"/>
  </r>
  <r>
    <x v="1627"/>
    <s v="2025-10-26"/>
    <x v="9"/>
    <s v="CUST3129"/>
    <x v="3"/>
    <n v="5"/>
    <n v="41611.56"/>
    <n v="208057.8"/>
    <x v="3"/>
    <x v="2"/>
  </r>
  <r>
    <x v="1628"/>
    <s v="2025-10-26"/>
    <x v="9"/>
    <s v="CUST7097"/>
    <x v="0"/>
    <n v="1"/>
    <n v="31391.38"/>
    <n v="31391.38"/>
    <x v="1"/>
    <x v="1"/>
  </r>
  <r>
    <x v="1629"/>
    <s v="2025-10-26"/>
    <x v="9"/>
    <s v="CUST9477"/>
    <x v="6"/>
    <n v="3"/>
    <n v="17130.400000000001"/>
    <n v="51391.199999999997"/>
    <x v="0"/>
    <x v="2"/>
  </r>
  <r>
    <x v="1630"/>
    <s v="2025-10-26"/>
    <x v="9"/>
    <s v="CUST8474"/>
    <x v="2"/>
    <n v="1"/>
    <n v="20162.990000000002"/>
    <n v="20162.990000000002"/>
    <x v="0"/>
    <x v="0"/>
  </r>
  <r>
    <x v="1631"/>
    <s v="2025-10-27"/>
    <x v="9"/>
    <s v="CUST1658"/>
    <x v="6"/>
    <n v="5"/>
    <n v="32459"/>
    <n v="162295"/>
    <x v="0"/>
    <x v="0"/>
  </r>
  <r>
    <x v="1632"/>
    <s v="2025-10-27"/>
    <x v="9"/>
    <s v="CUST3946"/>
    <x v="0"/>
    <n v="5"/>
    <n v="42711.519999999997"/>
    <n v="213557.6"/>
    <x v="1"/>
    <x v="3"/>
  </r>
  <r>
    <x v="1633"/>
    <s v="2025-10-27"/>
    <x v="9"/>
    <s v="CUST8560"/>
    <x v="6"/>
    <n v="4"/>
    <n v="18181.47"/>
    <n v="72725.88"/>
    <x v="3"/>
    <x v="2"/>
  </r>
  <r>
    <x v="1634"/>
    <s v="2025-10-27"/>
    <x v="9"/>
    <s v="CUST1045"/>
    <x v="2"/>
    <n v="2"/>
    <n v="19525.060000000001"/>
    <n v="39050.120000000003"/>
    <x v="3"/>
    <x v="2"/>
  </r>
  <r>
    <x v="1635"/>
    <s v="2025-10-27"/>
    <x v="9"/>
    <s v="CUST4921"/>
    <x v="9"/>
    <n v="1"/>
    <n v="42944.01"/>
    <n v="42944.01"/>
    <x v="1"/>
    <x v="0"/>
  </r>
  <r>
    <x v="1636"/>
    <s v="2025-10-27"/>
    <x v="9"/>
    <s v="CUST8769"/>
    <x v="4"/>
    <n v="2"/>
    <n v="10150.719999999999"/>
    <n v="20301.439999999999"/>
    <x v="3"/>
    <x v="2"/>
  </r>
  <r>
    <x v="1637"/>
    <s v="2025-10-28"/>
    <x v="9"/>
    <s v="CUST2710"/>
    <x v="8"/>
    <n v="1"/>
    <n v="9445.7199999999993"/>
    <n v="9445.7199999999993"/>
    <x v="2"/>
    <x v="0"/>
  </r>
  <r>
    <x v="1638"/>
    <s v="2025-10-28"/>
    <x v="9"/>
    <s v="CUST5445"/>
    <x v="7"/>
    <n v="1"/>
    <n v="11659.9"/>
    <n v="11659.9"/>
    <x v="0"/>
    <x v="1"/>
  </r>
  <r>
    <x v="1639"/>
    <s v="2025-10-28"/>
    <x v="9"/>
    <s v="CUST9127"/>
    <x v="7"/>
    <n v="3"/>
    <n v="12971.8"/>
    <n v="38915.4"/>
    <x v="1"/>
    <x v="2"/>
  </r>
  <r>
    <x v="1640"/>
    <s v="2025-10-29"/>
    <x v="9"/>
    <s v="CUST5432"/>
    <x v="5"/>
    <n v="5"/>
    <n v="47173.91"/>
    <n v="235869.55"/>
    <x v="1"/>
    <x v="1"/>
  </r>
  <r>
    <x v="1641"/>
    <s v="2025-10-29"/>
    <x v="9"/>
    <s v="CUST6523"/>
    <x v="9"/>
    <n v="1"/>
    <n v="20824.580000000002"/>
    <n v="20824.580000000002"/>
    <x v="3"/>
    <x v="2"/>
  </r>
  <r>
    <x v="1642"/>
    <s v="2025-10-29"/>
    <x v="9"/>
    <s v="CUST7390"/>
    <x v="0"/>
    <n v="3"/>
    <n v="1412.34"/>
    <n v="4237.0200000000004"/>
    <x v="1"/>
    <x v="0"/>
  </r>
  <r>
    <x v="1643"/>
    <s v="2025-10-29"/>
    <x v="9"/>
    <s v="CUST9399"/>
    <x v="2"/>
    <n v="1"/>
    <n v="24240.91"/>
    <n v="24240.91"/>
    <x v="3"/>
    <x v="0"/>
  </r>
  <r>
    <x v="1644"/>
    <s v="2025-10-29"/>
    <x v="9"/>
    <s v="CUST1241"/>
    <x v="4"/>
    <n v="4"/>
    <n v="42797.2"/>
    <n v="171188.8"/>
    <x v="2"/>
    <x v="3"/>
  </r>
  <r>
    <x v="1645"/>
    <s v="2025-10-29"/>
    <x v="9"/>
    <s v="CUST5170"/>
    <x v="4"/>
    <n v="1"/>
    <n v="35688.33"/>
    <n v="35688.33"/>
    <x v="2"/>
    <x v="3"/>
  </r>
  <r>
    <x v="1646"/>
    <s v="2025-10-29"/>
    <x v="9"/>
    <s v="CUST3955"/>
    <x v="9"/>
    <n v="4"/>
    <n v="32555.52"/>
    <n v="130222.08"/>
    <x v="1"/>
    <x v="0"/>
  </r>
  <r>
    <x v="1647"/>
    <s v="2025-10-29"/>
    <x v="9"/>
    <s v="CUST5264"/>
    <x v="5"/>
    <n v="1"/>
    <n v="39971.08"/>
    <n v="39971.08"/>
    <x v="1"/>
    <x v="0"/>
  </r>
  <r>
    <x v="1648"/>
    <s v="2025-10-30"/>
    <x v="9"/>
    <s v="CUST3320"/>
    <x v="0"/>
    <n v="2"/>
    <n v="33870.050000000003"/>
    <n v="67740.100000000006"/>
    <x v="2"/>
    <x v="1"/>
  </r>
  <r>
    <x v="1649"/>
    <s v="2025-10-30"/>
    <x v="9"/>
    <s v="CUST8762"/>
    <x v="1"/>
    <n v="2"/>
    <n v="38823.68"/>
    <n v="77647.360000000001"/>
    <x v="2"/>
    <x v="1"/>
  </r>
  <r>
    <x v="1650"/>
    <s v="2025-10-30"/>
    <x v="9"/>
    <s v="CUST5041"/>
    <x v="2"/>
    <n v="2"/>
    <n v="14782.19"/>
    <n v="29564.38"/>
    <x v="0"/>
    <x v="2"/>
  </r>
  <r>
    <x v="1651"/>
    <s v="2025-10-30"/>
    <x v="9"/>
    <s v="CUST9016"/>
    <x v="8"/>
    <n v="2"/>
    <n v="38510.959999999999"/>
    <n v="77021.919999999998"/>
    <x v="1"/>
    <x v="2"/>
  </r>
  <r>
    <x v="1652"/>
    <s v="2025-10-30"/>
    <x v="9"/>
    <s v="CUST4802"/>
    <x v="1"/>
    <n v="5"/>
    <n v="14670.16"/>
    <n v="73350.8"/>
    <x v="2"/>
    <x v="1"/>
  </r>
  <r>
    <x v="1653"/>
    <s v="2025-10-30"/>
    <x v="9"/>
    <s v="CUST9171"/>
    <x v="2"/>
    <n v="4"/>
    <n v="32855.449999999997"/>
    <n v="131421.79999999999"/>
    <x v="1"/>
    <x v="2"/>
  </r>
  <r>
    <x v="1654"/>
    <s v="2025-10-31"/>
    <x v="9"/>
    <s v="CUST4981"/>
    <x v="8"/>
    <n v="1"/>
    <n v="33757.4"/>
    <n v="33757.4"/>
    <x v="0"/>
    <x v="2"/>
  </r>
  <r>
    <x v="1655"/>
    <s v="2025-10-31"/>
    <x v="9"/>
    <s v="CUST8134"/>
    <x v="8"/>
    <n v="5"/>
    <n v="49873.98"/>
    <n v="249369.9"/>
    <x v="1"/>
    <x v="1"/>
  </r>
  <r>
    <x v="1656"/>
    <s v="2025-10-31"/>
    <x v="9"/>
    <s v="CUST5882"/>
    <x v="1"/>
    <n v="5"/>
    <n v="42963.85"/>
    <n v="214819.25"/>
    <x v="3"/>
    <x v="3"/>
  </r>
  <r>
    <x v="1657"/>
    <s v="2025-10-31"/>
    <x v="9"/>
    <s v="CUST5425"/>
    <x v="6"/>
    <n v="5"/>
    <n v="34389.49"/>
    <n v="171947.45"/>
    <x v="0"/>
    <x v="2"/>
  </r>
  <r>
    <x v="1658"/>
    <s v="2025-10-31"/>
    <x v="9"/>
    <s v="CUST3692"/>
    <x v="4"/>
    <n v="5"/>
    <n v="27496.46"/>
    <n v="137482.29999999999"/>
    <x v="2"/>
    <x v="1"/>
  </r>
  <r>
    <x v="1659"/>
    <s v="2025-10-31"/>
    <x v="9"/>
    <s v="CUST2790"/>
    <x v="9"/>
    <n v="2"/>
    <n v="48606.83"/>
    <n v="97213.66"/>
    <x v="0"/>
    <x v="3"/>
  </r>
  <r>
    <x v="1660"/>
    <s v="2025-11-01"/>
    <x v="10"/>
    <s v="CUST1969"/>
    <x v="4"/>
    <n v="1"/>
    <n v="37050.620000000003"/>
    <n v="37050.620000000003"/>
    <x v="1"/>
    <x v="3"/>
  </r>
  <r>
    <x v="1661"/>
    <s v="2025-11-01"/>
    <x v="10"/>
    <s v="CUST3091"/>
    <x v="2"/>
    <n v="5"/>
    <n v="35751.769999999997"/>
    <n v="178758.85"/>
    <x v="0"/>
    <x v="2"/>
  </r>
  <r>
    <x v="1662"/>
    <s v="2025-11-01"/>
    <x v="10"/>
    <s v="CUST7709"/>
    <x v="0"/>
    <n v="5"/>
    <n v="23951.32"/>
    <n v="119756.6"/>
    <x v="0"/>
    <x v="0"/>
  </r>
  <r>
    <x v="1663"/>
    <s v="2025-11-01"/>
    <x v="10"/>
    <s v="CUST9071"/>
    <x v="8"/>
    <n v="2"/>
    <n v="14264.68"/>
    <n v="28529.360000000001"/>
    <x v="2"/>
    <x v="3"/>
  </r>
  <r>
    <x v="1664"/>
    <s v="2025-11-01"/>
    <x v="10"/>
    <s v="CUST4934"/>
    <x v="3"/>
    <n v="4"/>
    <n v="23786.19"/>
    <n v="95144.76"/>
    <x v="1"/>
    <x v="2"/>
  </r>
  <r>
    <x v="1665"/>
    <s v="2025-11-02"/>
    <x v="10"/>
    <s v="CUST8494"/>
    <x v="3"/>
    <n v="4"/>
    <n v="42463.16"/>
    <n v="169852.64"/>
    <x v="1"/>
    <x v="0"/>
  </r>
  <r>
    <x v="1666"/>
    <s v="2025-11-02"/>
    <x v="10"/>
    <s v="CUST8266"/>
    <x v="8"/>
    <n v="1"/>
    <n v="38992.300000000003"/>
    <n v="38992.300000000003"/>
    <x v="1"/>
    <x v="1"/>
  </r>
  <r>
    <x v="1667"/>
    <s v="2025-11-02"/>
    <x v="10"/>
    <s v="CUST4113"/>
    <x v="1"/>
    <n v="5"/>
    <n v="26242.89"/>
    <n v="131214.45000000001"/>
    <x v="2"/>
    <x v="1"/>
  </r>
  <r>
    <x v="1668"/>
    <s v="2025-11-02"/>
    <x v="10"/>
    <s v="CUST7283"/>
    <x v="5"/>
    <n v="2"/>
    <n v="29256.29"/>
    <n v="58512.58"/>
    <x v="0"/>
    <x v="1"/>
  </r>
  <r>
    <x v="1669"/>
    <s v="2025-11-02"/>
    <x v="10"/>
    <s v="CUST3038"/>
    <x v="4"/>
    <n v="2"/>
    <n v="44552.34"/>
    <n v="89104.68"/>
    <x v="2"/>
    <x v="3"/>
  </r>
  <r>
    <x v="1670"/>
    <s v="2025-11-03"/>
    <x v="10"/>
    <s v="CUST7326"/>
    <x v="0"/>
    <n v="1"/>
    <n v="18042.810000000001"/>
    <n v="18042.810000000001"/>
    <x v="3"/>
    <x v="3"/>
  </r>
  <r>
    <x v="1671"/>
    <s v="2025-11-03"/>
    <x v="10"/>
    <s v="CUST5947"/>
    <x v="3"/>
    <n v="3"/>
    <n v="19038.79"/>
    <n v="57116.37"/>
    <x v="2"/>
    <x v="2"/>
  </r>
  <r>
    <x v="1672"/>
    <s v="2025-11-03"/>
    <x v="10"/>
    <s v="CUST8533"/>
    <x v="0"/>
    <n v="3"/>
    <n v="41368.339999999997"/>
    <n v="124105.02"/>
    <x v="1"/>
    <x v="2"/>
  </r>
  <r>
    <x v="1673"/>
    <s v="2025-11-04"/>
    <x v="10"/>
    <s v="CUST8093"/>
    <x v="8"/>
    <n v="1"/>
    <n v="36670.620000000003"/>
    <n v="36670.620000000003"/>
    <x v="3"/>
    <x v="3"/>
  </r>
  <r>
    <x v="1674"/>
    <s v="2025-11-04"/>
    <x v="10"/>
    <s v="CUST9281"/>
    <x v="3"/>
    <n v="5"/>
    <n v="31382.69"/>
    <n v="156913.45000000001"/>
    <x v="3"/>
    <x v="2"/>
  </r>
  <r>
    <x v="1675"/>
    <s v="2025-11-04"/>
    <x v="10"/>
    <s v="CUST2836"/>
    <x v="1"/>
    <n v="1"/>
    <n v="15069.58"/>
    <n v="15069.58"/>
    <x v="1"/>
    <x v="1"/>
  </r>
  <r>
    <x v="1676"/>
    <s v="2025-11-04"/>
    <x v="10"/>
    <s v="CUST8051"/>
    <x v="7"/>
    <n v="3"/>
    <n v="23175.13"/>
    <n v="69525.39"/>
    <x v="3"/>
    <x v="3"/>
  </r>
  <r>
    <x v="1677"/>
    <s v="2025-11-04"/>
    <x v="10"/>
    <s v="CUST3806"/>
    <x v="7"/>
    <n v="4"/>
    <n v="48540.22"/>
    <n v="194160.88"/>
    <x v="3"/>
    <x v="1"/>
  </r>
  <r>
    <x v="1678"/>
    <s v="2025-11-04"/>
    <x v="10"/>
    <s v="CUST9103"/>
    <x v="2"/>
    <n v="3"/>
    <n v="21288.48"/>
    <n v="63865.440000000002"/>
    <x v="0"/>
    <x v="3"/>
  </r>
  <r>
    <x v="1679"/>
    <s v="2025-11-05"/>
    <x v="10"/>
    <s v="CUST9277"/>
    <x v="9"/>
    <n v="2"/>
    <n v="45084.34"/>
    <n v="90168.68"/>
    <x v="1"/>
    <x v="1"/>
  </r>
  <r>
    <x v="1680"/>
    <s v="2025-11-05"/>
    <x v="10"/>
    <s v="CUST8913"/>
    <x v="7"/>
    <n v="1"/>
    <n v="5107.13"/>
    <n v="5107.13"/>
    <x v="3"/>
    <x v="1"/>
  </r>
  <r>
    <x v="1681"/>
    <s v="2025-11-05"/>
    <x v="10"/>
    <s v="CUST6494"/>
    <x v="3"/>
    <n v="1"/>
    <n v="22527.91"/>
    <n v="22527.91"/>
    <x v="3"/>
    <x v="1"/>
  </r>
  <r>
    <x v="1682"/>
    <s v="2025-11-05"/>
    <x v="10"/>
    <s v="CUST7899"/>
    <x v="9"/>
    <n v="5"/>
    <n v="21395.01"/>
    <n v="106975.05"/>
    <x v="2"/>
    <x v="1"/>
  </r>
  <r>
    <x v="1683"/>
    <s v="2025-11-05"/>
    <x v="10"/>
    <s v="CUST3449"/>
    <x v="5"/>
    <n v="4"/>
    <n v="28178.2"/>
    <n v="112712.8"/>
    <x v="1"/>
    <x v="2"/>
  </r>
  <r>
    <x v="1684"/>
    <s v="2025-11-05"/>
    <x v="10"/>
    <s v="CUST7260"/>
    <x v="6"/>
    <n v="2"/>
    <n v="47668.61"/>
    <n v="95337.22"/>
    <x v="0"/>
    <x v="2"/>
  </r>
  <r>
    <x v="1685"/>
    <s v="2025-11-06"/>
    <x v="10"/>
    <s v="CUST2470"/>
    <x v="6"/>
    <n v="1"/>
    <n v="44512.12"/>
    <n v="44512.12"/>
    <x v="3"/>
    <x v="0"/>
  </r>
  <r>
    <x v="1686"/>
    <s v="2025-11-06"/>
    <x v="10"/>
    <s v="CUST7398"/>
    <x v="9"/>
    <n v="2"/>
    <n v="40157.629999999997"/>
    <n v="80315.259999999995"/>
    <x v="0"/>
    <x v="0"/>
  </r>
  <r>
    <x v="1687"/>
    <s v="2025-11-06"/>
    <x v="10"/>
    <s v="CUST2923"/>
    <x v="3"/>
    <n v="2"/>
    <n v="40347.57"/>
    <n v="80695.14"/>
    <x v="0"/>
    <x v="3"/>
  </r>
  <r>
    <x v="1688"/>
    <s v="2025-11-07"/>
    <x v="10"/>
    <s v="CUST6960"/>
    <x v="6"/>
    <n v="2"/>
    <n v="26896.78"/>
    <n v="53793.56"/>
    <x v="0"/>
    <x v="1"/>
  </r>
  <r>
    <x v="1689"/>
    <s v="2025-11-07"/>
    <x v="10"/>
    <s v="CUST7765"/>
    <x v="0"/>
    <n v="5"/>
    <n v="24556.84"/>
    <n v="122784.2"/>
    <x v="1"/>
    <x v="0"/>
  </r>
  <r>
    <x v="1690"/>
    <s v="2025-11-07"/>
    <x v="10"/>
    <s v="CUST5719"/>
    <x v="9"/>
    <n v="4"/>
    <n v="4761.67"/>
    <n v="19046.68"/>
    <x v="1"/>
    <x v="1"/>
  </r>
  <r>
    <x v="1691"/>
    <s v="2025-11-07"/>
    <x v="10"/>
    <s v="CUST1215"/>
    <x v="6"/>
    <n v="4"/>
    <n v="33596.35"/>
    <n v="134385.4"/>
    <x v="0"/>
    <x v="3"/>
  </r>
  <r>
    <x v="1692"/>
    <s v="2025-11-07"/>
    <x v="10"/>
    <s v="CUST1684"/>
    <x v="7"/>
    <n v="5"/>
    <n v="42621.03"/>
    <n v="213105.15"/>
    <x v="3"/>
    <x v="3"/>
  </r>
  <r>
    <x v="1693"/>
    <s v="2025-11-08"/>
    <x v="10"/>
    <s v="CUST8783"/>
    <x v="6"/>
    <n v="1"/>
    <n v="8148.33"/>
    <n v="8148.33"/>
    <x v="1"/>
    <x v="1"/>
  </r>
  <r>
    <x v="1694"/>
    <s v="2025-11-08"/>
    <x v="10"/>
    <s v="CUST2484"/>
    <x v="5"/>
    <n v="1"/>
    <n v="5205.22"/>
    <n v="5205.22"/>
    <x v="2"/>
    <x v="0"/>
  </r>
  <r>
    <x v="1695"/>
    <s v="2025-11-08"/>
    <x v="10"/>
    <s v="CUST5456"/>
    <x v="2"/>
    <n v="5"/>
    <n v="27204.98"/>
    <n v="136024.9"/>
    <x v="2"/>
    <x v="3"/>
  </r>
  <r>
    <x v="1696"/>
    <s v="2025-11-08"/>
    <x v="10"/>
    <s v="CUST3983"/>
    <x v="8"/>
    <n v="5"/>
    <n v="9841.36"/>
    <n v="49206.8"/>
    <x v="3"/>
    <x v="0"/>
  </r>
  <r>
    <x v="1697"/>
    <s v="2025-11-08"/>
    <x v="10"/>
    <s v="CUST6705"/>
    <x v="9"/>
    <n v="4"/>
    <n v="49039.56"/>
    <n v="196158.24"/>
    <x v="3"/>
    <x v="2"/>
  </r>
  <r>
    <x v="1698"/>
    <s v="2025-11-09"/>
    <x v="10"/>
    <s v="CUST1346"/>
    <x v="2"/>
    <n v="1"/>
    <n v="18363.12"/>
    <n v="18363.12"/>
    <x v="1"/>
    <x v="1"/>
  </r>
  <r>
    <x v="1699"/>
    <s v="2025-11-09"/>
    <x v="10"/>
    <s v="CUST2923"/>
    <x v="3"/>
    <n v="4"/>
    <n v="7968.1"/>
    <n v="31872.400000000001"/>
    <x v="2"/>
    <x v="0"/>
  </r>
  <r>
    <x v="1700"/>
    <s v="2025-11-09"/>
    <x v="10"/>
    <s v="CUST5094"/>
    <x v="5"/>
    <n v="4"/>
    <n v="44309.919999999998"/>
    <n v="177239.67999999999"/>
    <x v="2"/>
    <x v="0"/>
  </r>
  <r>
    <x v="1701"/>
    <s v="2025-11-09"/>
    <x v="10"/>
    <s v="CUST7080"/>
    <x v="4"/>
    <n v="1"/>
    <n v="42816.73"/>
    <n v="42816.73"/>
    <x v="1"/>
    <x v="2"/>
  </r>
  <r>
    <x v="1702"/>
    <s v="2025-11-09"/>
    <x v="10"/>
    <s v="CUST2274"/>
    <x v="6"/>
    <n v="2"/>
    <n v="4886.7299999999996"/>
    <n v="9773.4599999999991"/>
    <x v="0"/>
    <x v="0"/>
  </r>
  <r>
    <x v="1703"/>
    <s v="2025-11-10"/>
    <x v="10"/>
    <s v="CUST3837"/>
    <x v="7"/>
    <n v="2"/>
    <n v="33775.74"/>
    <n v="67551.48"/>
    <x v="3"/>
    <x v="1"/>
  </r>
  <r>
    <x v="1704"/>
    <s v="2025-11-10"/>
    <x v="10"/>
    <s v="CUST2700"/>
    <x v="3"/>
    <n v="2"/>
    <n v="43058.91"/>
    <n v="86117.82"/>
    <x v="2"/>
    <x v="3"/>
  </r>
  <r>
    <x v="1705"/>
    <s v="2025-11-10"/>
    <x v="10"/>
    <s v="CUST6582"/>
    <x v="4"/>
    <n v="1"/>
    <n v="38177.26"/>
    <n v="38177.26"/>
    <x v="1"/>
    <x v="3"/>
  </r>
  <r>
    <x v="1706"/>
    <s v="2025-11-10"/>
    <x v="10"/>
    <s v="CUST6759"/>
    <x v="7"/>
    <n v="3"/>
    <n v="38217.54"/>
    <n v="114652.62"/>
    <x v="3"/>
    <x v="1"/>
  </r>
  <r>
    <x v="1707"/>
    <s v="2025-11-10"/>
    <x v="10"/>
    <s v="CUST3323"/>
    <x v="0"/>
    <n v="5"/>
    <n v="30509.15"/>
    <n v="152545.75"/>
    <x v="0"/>
    <x v="2"/>
  </r>
  <r>
    <x v="1708"/>
    <s v="2025-11-10"/>
    <x v="10"/>
    <s v="CUST5912"/>
    <x v="3"/>
    <n v="4"/>
    <n v="10420.35"/>
    <n v="41681.4"/>
    <x v="3"/>
    <x v="0"/>
  </r>
  <r>
    <x v="1709"/>
    <s v="2025-11-10"/>
    <x v="10"/>
    <s v="CUST4480"/>
    <x v="7"/>
    <n v="3"/>
    <n v="6545.29"/>
    <n v="19635.87"/>
    <x v="2"/>
    <x v="1"/>
  </r>
  <r>
    <x v="1710"/>
    <s v="2025-11-11"/>
    <x v="10"/>
    <s v="CUST1509"/>
    <x v="7"/>
    <n v="4"/>
    <n v="2494.7199999999998"/>
    <n v="9978.8799999999992"/>
    <x v="1"/>
    <x v="2"/>
  </r>
  <r>
    <x v="1711"/>
    <s v="2025-11-11"/>
    <x v="10"/>
    <s v="CUST5680"/>
    <x v="0"/>
    <n v="3"/>
    <n v="23306.94"/>
    <n v="69920.820000000007"/>
    <x v="3"/>
    <x v="0"/>
  </r>
  <r>
    <x v="1712"/>
    <s v="2025-11-11"/>
    <x v="10"/>
    <s v="CUST8287"/>
    <x v="2"/>
    <n v="5"/>
    <n v="865.93"/>
    <n v="4329.6499999999996"/>
    <x v="1"/>
    <x v="2"/>
  </r>
  <r>
    <x v="1713"/>
    <s v="2025-11-11"/>
    <x v="10"/>
    <s v="CUST5493"/>
    <x v="4"/>
    <n v="5"/>
    <n v="4370.84"/>
    <n v="21854.2"/>
    <x v="0"/>
    <x v="0"/>
  </r>
  <r>
    <x v="1714"/>
    <s v="2025-11-11"/>
    <x v="10"/>
    <s v="CUST5881"/>
    <x v="1"/>
    <n v="4"/>
    <n v="12015.16"/>
    <n v="48060.639999999999"/>
    <x v="3"/>
    <x v="1"/>
  </r>
  <r>
    <x v="1715"/>
    <s v="2025-11-11"/>
    <x v="10"/>
    <s v="CUST4097"/>
    <x v="7"/>
    <n v="5"/>
    <n v="10592.05"/>
    <n v="52960.25"/>
    <x v="1"/>
    <x v="3"/>
  </r>
  <r>
    <x v="1716"/>
    <s v="2025-11-12"/>
    <x v="10"/>
    <s v="CUST8379"/>
    <x v="0"/>
    <n v="1"/>
    <n v="16823.400000000001"/>
    <n v="16823.400000000001"/>
    <x v="2"/>
    <x v="0"/>
  </r>
  <r>
    <x v="1717"/>
    <s v="2025-11-12"/>
    <x v="10"/>
    <s v="CUST1873"/>
    <x v="2"/>
    <n v="4"/>
    <n v="41365.980000000003"/>
    <n v="165463.92000000001"/>
    <x v="2"/>
    <x v="1"/>
  </r>
  <r>
    <x v="1718"/>
    <s v="2025-11-12"/>
    <x v="10"/>
    <s v="CUST7526"/>
    <x v="3"/>
    <n v="3"/>
    <n v="2015.33"/>
    <n v="6045.99"/>
    <x v="0"/>
    <x v="1"/>
  </r>
  <r>
    <x v="1719"/>
    <s v="2025-11-12"/>
    <x v="10"/>
    <s v="CUST3421"/>
    <x v="3"/>
    <n v="5"/>
    <n v="44098.239999999998"/>
    <n v="220491.2"/>
    <x v="1"/>
    <x v="1"/>
  </r>
  <r>
    <x v="1720"/>
    <s v="2025-11-12"/>
    <x v="10"/>
    <s v="CUST7520"/>
    <x v="9"/>
    <n v="3"/>
    <n v="1224.6600000000001"/>
    <n v="3673.98"/>
    <x v="0"/>
    <x v="0"/>
  </r>
  <r>
    <x v="1721"/>
    <s v="2025-11-12"/>
    <x v="10"/>
    <s v="CUST6900"/>
    <x v="3"/>
    <n v="2"/>
    <n v="47975.53"/>
    <n v="95951.06"/>
    <x v="3"/>
    <x v="2"/>
  </r>
  <r>
    <x v="1722"/>
    <s v="2025-11-13"/>
    <x v="10"/>
    <s v="CUST2870"/>
    <x v="4"/>
    <n v="2"/>
    <n v="5025.2700000000004"/>
    <n v="10050.540000000001"/>
    <x v="0"/>
    <x v="1"/>
  </r>
  <r>
    <x v="1723"/>
    <s v="2025-11-13"/>
    <x v="10"/>
    <s v="CUST3771"/>
    <x v="1"/>
    <n v="5"/>
    <n v="27787.58"/>
    <n v="138937.9"/>
    <x v="3"/>
    <x v="2"/>
  </r>
  <r>
    <x v="1724"/>
    <s v="2025-11-13"/>
    <x v="10"/>
    <s v="CUST1869"/>
    <x v="1"/>
    <n v="2"/>
    <n v="1379.6"/>
    <n v="2759.2"/>
    <x v="1"/>
    <x v="0"/>
  </r>
  <r>
    <x v="1725"/>
    <s v="2025-11-13"/>
    <x v="10"/>
    <s v="CUST6908"/>
    <x v="4"/>
    <n v="2"/>
    <n v="31738.57"/>
    <n v="63477.14"/>
    <x v="1"/>
    <x v="0"/>
  </r>
  <r>
    <x v="1726"/>
    <s v="2025-11-14"/>
    <x v="10"/>
    <s v="CUST1279"/>
    <x v="7"/>
    <n v="4"/>
    <n v="3757.56"/>
    <n v="15030.24"/>
    <x v="2"/>
    <x v="1"/>
  </r>
  <r>
    <x v="1727"/>
    <s v="2025-11-14"/>
    <x v="10"/>
    <s v="CUST4244"/>
    <x v="3"/>
    <n v="3"/>
    <n v="38345.879999999997"/>
    <n v="115037.64"/>
    <x v="1"/>
    <x v="1"/>
  </r>
  <r>
    <x v="1728"/>
    <s v="2025-11-14"/>
    <x v="10"/>
    <s v="CUST7431"/>
    <x v="7"/>
    <n v="1"/>
    <n v="15877.73"/>
    <n v="15877.73"/>
    <x v="1"/>
    <x v="1"/>
  </r>
  <r>
    <x v="1729"/>
    <s v="2025-11-14"/>
    <x v="10"/>
    <s v="CUST7718"/>
    <x v="5"/>
    <n v="3"/>
    <n v="31015.75"/>
    <n v="93047.25"/>
    <x v="3"/>
    <x v="0"/>
  </r>
  <r>
    <x v="1730"/>
    <s v="2025-11-14"/>
    <x v="10"/>
    <s v="CUST6145"/>
    <x v="3"/>
    <n v="3"/>
    <n v="44305.11"/>
    <n v="132915.32999999999"/>
    <x v="3"/>
    <x v="1"/>
  </r>
  <r>
    <x v="1731"/>
    <s v="2025-11-15"/>
    <x v="10"/>
    <s v="CUST4700"/>
    <x v="5"/>
    <n v="2"/>
    <n v="33892.06"/>
    <n v="67784.12"/>
    <x v="3"/>
    <x v="3"/>
  </r>
  <r>
    <x v="1732"/>
    <s v="2025-11-15"/>
    <x v="10"/>
    <s v="CUST7787"/>
    <x v="6"/>
    <n v="3"/>
    <n v="12098.6"/>
    <n v="36295.800000000003"/>
    <x v="3"/>
    <x v="0"/>
  </r>
  <r>
    <x v="1733"/>
    <s v="2025-11-15"/>
    <x v="10"/>
    <s v="CUST1717"/>
    <x v="1"/>
    <n v="4"/>
    <n v="1381.56"/>
    <n v="5526.24"/>
    <x v="3"/>
    <x v="3"/>
  </r>
  <r>
    <x v="1734"/>
    <s v="2025-11-15"/>
    <x v="10"/>
    <s v="CUST7025"/>
    <x v="6"/>
    <n v="4"/>
    <n v="15292.21"/>
    <n v="61168.84"/>
    <x v="2"/>
    <x v="2"/>
  </r>
  <r>
    <x v="1735"/>
    <s v="2025-11-16"/>
    <x v="10"/>
    <s v="CUST4199"/>
    <x v="6"/>
    <n v="5"/>
    <n v="39192.51"/>
    <n v="195962.55"/>
    <x v="0"/>
    <x v="0"/>
  </r>
  <r>
    <x v="1736"/>
    <s v="2025-11-16"/>
    <x v="10"/>
    <s v="CUST9835"/>
    <x v="7"/>
    <n v="4"/>
    <n v="5143.3"/>
    <n v="20573.2"/>
    <x v="2"/>
    <x v="1"/>
  </r>
  <r>
    <x v="1737"/>
    <s v="2025-11-16"/>
    <x v="10"/>
    <s v="CUST5027"/>
    <x v="3"/>
    <n v="5"/>
    <n v="32094.58"/>
    <n v="160472.9"/>
    <x v="0"/>
    <x v="0"/>
  </r>
  <r>
    <x v="1738"/>
    <s v="2025-11-16"/>
    <x v="10"/>
    <s v="CUST7229"/>
    <x v="2"/>
    <n v="5"/>
    <n v="39464.65"/>
    <n v="197323.25"/>
    <x v="0"/>
    <x v="2"/>
  </r>
  <r>
    <x v="1739"/>
    <s v="2025-11-16"/>
    <x v="10"/>
    <s v="CUST5320"/>
    <x v="5"/>
    <n v="4"/>
    <n v="47346.22"/>
    <n v="189384.88"/>
    <x v="0"/>
    <x v="3"/>
  </r>
  <r>
    <x v="1740"/>
    <s v="2025-11-17"/>
    <x v="10"/>
    <s v="CUST1592"/>
    <x v="3"/>
    <n v="5"/>
    <n v="5741.55"/>
    <n v="28707.75"/>
    <x v="1"/>
    <x v="2"/>
  </r>
  <r>
    <x v="1741"/>
    <s v="2025-11-17"/>
    <x v="10"/>
    <s v="CUST5798"/>
    <x v="3"/>
    <n v="1"/>
    <n v="37814.480000000003"/>
    <n v="37814.480000000003"/>
    <x v="1"/>
    <x v="0"/>
  </r>
  <r>
    <x v="1742"/>
    <s v="2025-11-17"/>
    <x v="10"/>
    <s v="CUST8556"/>
    <x v="4"/>
    <n v="5"/>
    <n v="18506.810000000001"/>
    <n v="92534.05"/>
    <x v="2"/>
    <x v="0"/>
  </r>
  <r>
    <x v="1743"/>
    <s v="2025-11-17"/>
    <x v="10"/>
    <s v="CUST3656"/>
    <x v="8"/>
    <n v="4"/>
    <n v="2339.59"/>
    <n v="9358.36"/>
    <x v="2"/>
    <x v="1"/>
  </r>
  <r>
    <x v="1744"/>
    <s v="2025-11-17"/>
    <x v="10"/>
    <s v="CUST3527"/>
    <x v="6"/>
    <n v="4"/>
    <n v="12424.2"/>
    <n v="49696.800000000003"/>
    <x v="0"/>
    <x v="3"/>
  </r>
  <r>
    <x v="1745"/>
    <s v="2025-11-17"/>
    <x v="10"/>
    <s v="CUST9308"/>
    <x v="0"/>
    <n v="5"/>
    <n v="46461.9"/>
    <n v="232309.5"/>
    <x v="0"/>
    <x v="1"/>
  </r>
  <r>
    <x v="1746"/>
    <s v="2025-11-17"/>
    <x v="10"/>
    <s v="CUST9236"/>
    <x v="9"/>
    <n v="3"/>
    <n v="16166.64"/>
    <n v="48499.92"/>
    <x v="3"/>
    <x v="3"/>
  </r>
  <r>
    <x v="1747"/>
    <s v="2025-11-18"/>
    <x v="10"/>
    <s v="CUST8959"/>
    <x v="3"/>
    <n v="5"/>
    <n v="24117.42"/>
    <n v="120587.1"/>
    <x v="3"/>
    <x v="1"/>
  </r>
  <r>
    <x v="1748"/>
    <s v="2025-11-18"/>
    <x v="10"/>
    <s v="CUST6778"/>
    <x v="2"/>
    <n v="3"/>
    <n v="645.23"/>
    <n v="1935.69"/>
    <x v="2"/>
    <x v="0"/>
  </r>
  <r>
    <x v="1749"/>
    <s v="2025-11-18"/>
    <x v="10"/>
    <s v="CUST9937"/>
    <x v="8"/>
    <n v="5"/>
    <n v="35670.160000000003"/>
    <n v="178350.8"/>
    <x v="3"/>
    <x v="0"/>
  </r>
  <r>
    <x v="1750"/>
    <s v="2025-11-18"/>
    <x v="10"/>
    <s v="CUST7584"/>
    <x v="5"/>
    <n v="1"/>
    <n v="22975.34"/>
    <n v="22975.34"/>
    <x v="1"/>
    <x v="3"/>
  </r>
  <r>
    <x v="1751"/>
    <s v="2025-11-18"/>
    <x v="10"/>
    <s v="CUST9046"/>
    <x v="5"/>
    <n v="1"/>
    <n v="4707.63"/>
    <n v="4707.63"/>
    <x v="0"/>
    <x v="3"/>
  </r>
  <r>
    <x v="1752"/>
    <s v="2025-11-18"/>
    <x v="10"/>
    <s v="CUST8379"/>
    <x v="0"/>
    <n v="2"/>
    <n v="1871.55"/>
    <n v="3743.1"/>
    <x v="2"/>
    <x v="3"/>
  </r>
  <r>
    <x v="1753"/>
    <s v="2025-11-18"/>
    <x v="10"/>
    <s v="CUST2576"/>
    <x v="8"/>
    <n v="5"/>
    <n v="12626.79"/>
    <n v="63133.95"/>
    <x v="1"/>
    <x v="3"/>
  </r>
  <r>
    <x v="1754"/>
    <s v="2025-11-18"/>
    <x v="10"/>
    <s v="CUST9620"/>
    <x v="4"/>
    <n v="3"/>
    <n v="33421.17"/>
    <n v="100263.51"/>
    <x v="1"/>
    <x v="1"/>
  </r>
  <r>
    <x v="1755"/>
    <s v="2025-11-19"/>
    <x v="10"/>
    <s v="CUST4192"/>
    <x v="0"/>
    <n v="5"/>
    <n v="35983.300000000003"/>
    <n v="179916.5"/>
    <x v="1"/>
    <x v="2"/>
  </r>
  <r>
    <x v="1756"/>
    <s v="2025-11-19"/>
    <x v="10"/>
    <s v="CUST9259"/>
    <x v="6"/>
    <n v="2"/>
    <n v="10698.4"/>
    <n v="21396.799999999999"/>
    <x v="0"/>
    <x v="1"/>
  </r>
  <r>
    <x v="1757"/>
    <s v="2025-11-19"/>
    <x v="10"/>
    <s v="CUST3553"/>
    <x v="1"/>
    <n v="2"/>
    <n v="38772.199999999997"/>
    <n v="77544.399999999994"/>
    <x v="3"/>
    <x v="2"/>
  </r>
  <r>
    <x v="1758"/>
    <s v="2025-11-19"/>
    <x v="10"/>
    <s v="CUST5099"/>
    <x v="7"/>
    <n v="5"/>
    <n v="29020.25"/>
    <n v="145101.25"/>
    <x v="1"/>
    <x v="0"/>
  </r>
  <r>
    <x v="1759"/>
    <s v="2025-11-20"/>
    <x v="10"/>
    <s v="CUST2150"/>
    <x v="4"/>
    <n v="3"/>
    <n v="1577.63"/>
    <n v="4732.8900000000003"/>
    <x v="2"/>
    <x v="1"/>
  </r>
  <r>
    <x v="1760"/>
    <s v="2025-11-20"/>
    <x v="10"/>
    <s v="CUST6550"/>
    <x v="5"/>
    <n v="1"/>
    <n v="4443.04"/>
    <n v="4443.04"/>
    <x v="2"/>
    <x v="3"/>
  </r>
  <r>
    <x v="1761"/>
    <s v="2025-11-20"/>
    <x v="10"/>
    <s v="CUST7169"/>
    <x v="5"/>
    <n v="3"/>
    <n v="37006.550000000003"/>
    <n v="111019.65"/>
    <x v="1"/>
    <x v="2"/>
  </r>
  <r>
    <x v="1762"/>
    <s v="2025-11-20"/>
    <x v="10"/>
    <s v="CUST1130"/>
    <x v="0"/>
    <n v="2"/>
    <n v="40021.69"/>
    <n v="80043.38"/>
    <x v="0"/>
    <x v="2"/>
  </r>
  <r>
    <x v="1763"/>
    <s v="2025-11-20"/>
    <x v="10"/>
    <s v="CUST9904"/>
    <x v="6"/>
    <n v="2"/>
    <n v="6747.9"/>
    <n v="13495.8"/>
    <x v="2"/>
    <x v="0"/>
  </r>
  <r>
    <x v="1764"/>
    <s v="2025-11-20"/>
    <x v="10"/>
    <s v="CUST3307"/>
    <x v="6"/>
    <n v="5"/>
    <n v="43402.37"/>
    <n v="217011.85"/>
    <x v="2"/>
    <x v="3"/>
  </r>
  <r>
    <x v="1765"/>
    <s v="2025-11-20"/>
    <x v="10"/>
    <s v="CUST9084"/>
    <x v="5"/>
    <n v="3"/>
    <n v="47286.66"/>
    <n v="141859.98000000001"/>
    <x v="2"/>
    <x v="0"/>
  </r>
  <r>
    <x v="1766"/>
    <s v="2025-11-21"/>
    <x v="10"/>
    <s v="CUST9681"/>
    <x v="0"/>
    <n v="3"/>
    <n v="9410.7800000000007"/>
    <n v="28232.34"/>
    <x v="2"/>
    <x v="2"/>
  </r>
  <r>
    <x v="1767"/>
    <s v="2025-11-21"/>
    <x v="10"/>
    <s v="CUST3704"/>
    <x v="9"/>
    <n v="2"/>
    <n v="25359.919999999998"/>
    <n v="50719.839999999997"/>
    <x v="0"/>
    <x v="2"/>
  </r>
  <r>
    <x v="1768"/>
    <s v="2025-11-21"/>
    <x v="10"/>
    <s v="CUST2114"/>
    <x v="3"/>
    <n v="5"/>
    <n v="24883.14"/>
    <n v="124415.7"/>
    <x v="3"/>
    <x v="3"/>
  </r>
  <r>
    <x v="1769"/>
    <s v="2025-11-21"/>
    <x v="10"/>
    <s v="CUST2322"/>
    <x v="2"/>
    <n v="4"/>
    <n v="23922.55"/>
    <n v="95690.2"/>
    <x v="2"/>
    <x v="2"/>
  </r>
  <r>
    <x v="1770"/>
    <s v="2025-11-21"/>
    <x v="10"/>
    <s v="CUST3845"/>
    <x v="1"/>
    <n v="1"/>
    <n v="18185.86"/>
    <n v="18185.86"/>
    <x v="0"/>
    <x v="0"/>
  </r>
  <r>
    <x v="1771"/>
    <s v="2025-11-21"/>
    <x v="10"/>
    <s v="CUST9748"/>
    <x v="1"/>
    <n v="1"/>
    <n v="33189"/>
    <n v="33189"/>
    <x v="0"/>
    <x v="0"/>
  </r>
  <r>
    <x v="1772"/>
    <s v="2025-11-22"/>
    <x v="10"/>
    <s v="CUST5124"/>
    <x v="6"/>
    <n v="4"/>
    <n v="39445.61"/>
    <n v="157782.44"/>
    <x v="2"/>
    <x v="0"/>
  </r>
  <r>
    <x v="1773"/>
    <s v="2025-11-22"/>
    <x v="10"/>
    <s v="CUST4777"/>
    <x v="8"/>
    <n v="2"/>
    <n v="43945.96"/>
    <n v="87891.92"/>
    <x v="0"/>
    <x v="0"/>
  </r>
  <r>
    <x v="1774"/>
    <s v="2025-11-22"/>
    <x v="10"/>
    <s v="CUST5392"/>
    <x v="6"/>
    <n v="1"/>
    <n v="27668.95"/>
    <n v="27668.95"/>
    <x v="3"/>
    <x v="3"/>
  </r>
  <r>
    <x v="1775"/>
    <s v="2025-11-22"/>
    <x v="10"/>
    <s v="CUST9265"/>
    <x v="9"/>
    <n v="1"/>
    <n v="24574.77"/>
    <n v="24574.77"/>
    <x v="3"/>
    <x v="1"/>
  </r>
  <r>
    <x v="1776"/>
    <s v="2025-11-22"/>
    <x v="10"/>
    <s v="CUST2838"/>
    <x v="7"/>
    <n v="3"/>
    <n v="39799.17"/>
    <n v="119397.51"/>
    <x v="1"/>
    <x v="3"/>
  </r>
  <r>
    <x v="1777"/>
    <s v="2025-11-22"/>
    <x v="10"/>
    <s v="CUST9465"/>
    <x v="8"/>
    <n v="1"/>
    <n v="6213.57"/>
    <n v="6213.57"/>
    <x v="1"/>
    <x v="2"/>
  </r>
  <r>
    <x v="1778"/>
    <s v="2025-11-22"/>
    <x v="10"/>
    <s v="CUST5447"/>
    <x v="3"/>
    <n v="5"/>
    <n v="33456.68"/>
    <n v="167283.4"/>
    <x v="2"/>
    <x v="1"/>
  </r>
  <r>
    <x v="1779"/>
    <s v="2025-11-23"/>
    <x v="10"/>
    <s v="CUST6522"/>
    <x v="4"/>
    <n v="5"/>
    <n v="39620.22"/>
    <n v="198101.1"/>
    <x v="3"/>
    <x v="2"/>
  </r>
  <r>
    <x v="1780"/>
    <s v="2025-11-23"/>
    <x v="10"/>
    <s v="CUST3253"/>
    <x v="5"/>
    <n v="4"/>
    <n v="21952.35"/>
    <n v="87809.4"/>
    <x v="0"/>
    <x v="3"/>
  </r>
  <r>
    <x v="1781"/>
    <s v="2025-11-23"/>
    <x v="10"/>
    <s v="CUST4510"/>
    <x v="5"/>
    <n v="1"/>
    <n v="30542.14"/>
    <n v="30542.14"/>
    <x v="2"/>
    <x v="2"/>
  </r>
  <r>
    <x v="1782"/>
    <s v="2025-11-24"/>
    <x v="10"/>
    <s v="CUST1541"/>
    <x v="0"/>
    <n v="1"/>
    <n v="42709.23"/>
    <n v="42709.23"/>
    <x v="2"/>
    <x v="3"/>
  </r>
  <r>
    <x v="1783"/>
    <s v="2025-11-24"/>
    <x v="10"/>
    <s v="CUST5366"/>
    <x v="1"/>
    <n v="4"/>
    <n v="20552.77"/>
    <n v="82211.08"/>
    <x v="0"/>
    <x v="3"/>
  </r>
  <r>
    <x v="1784"/>
    <s v="2025-11-24"/>
    <x v="10"/>
    <s v="CUST9004"/>
    <x v="1"/>
    <n v="5"/>
    <n v="42477.09"/>
    <n v="212385.45"/>
    <x v="3"/>
    <x v="1"/>
  </r>
  <r>
    <x v="1785"/>
    <s v="2025-11-25"/>
    <x v="10"/>
    <s v="CUST7438"/>
    <x v="7"/>
    <n v="1"/>
    <n v="15719.34"/>
    <n v="15719.34"/>
    <x v="1"/>
    <x v="0"/>
  </r>
  <r>
    <x v="1786"/>
    <s v="2025-11-25"/>
    <x v="10"/>
    <s v="CUST6110"/>
    <x v="0"/>
    <n v="1"/>
    <n v="23520.06"/>
    <n v="23520.06"/>
    <x v="0"/>
    <x v="1"/>
  </r>
  <r>
    <x v="1787"/>
    <s v="2025-11-25"/>
    <x v="10"/>
    <s v="CUST9303"/>
    <x v="1"/>
    <n v="5"/>
    <n v="32623.31"/>
    <n v="163116.54999999999"/>
    <x v="1"/>
    <x v="1"/>
  </r>
  <r>
    <x v="1788"/>
    <s v="2025-11-25"/>
    <x v="10"/>
    <s v="CUST6877"/>
    <x v="0"/>
    <n v="4"/>
    <n v="31188.83"/>
    <n v="124755.32"/>
    <x v="2"/>
    <x v="1"/>
  </r>
  <r>
    <x v="1789"/>
    <s v="2025-11-25"/>
    <x v="10"/>
    <s v="CUST1560"/>
    <x v="8"/>
    <n v="5"/>
    <n v="31184.76"/>
    <n v="155923.79999999999"/>
    <x v="1"/>
    <x v="2"/>
  </r>
  <r>
    <x v="1790"/>
    <s v="2025-11-25"/>
    <x v="10"/>
    <s v="CUST5999"/>
    <x v="8"/>
    <n v="3"/>
    <n v="48220.06"/>
    <n v="144660.18"/>
    <x v="3"/>
    <x v="0"/>
  </r>
  <r>
    <x v="1791"/>
    <s v="2025-11-25"/>
    <x v="10"/>
    <s v="CUST5939"/>
    <x v="5"/>
    <n v="1"/>
    <n v="46622.74"/>
    <n v="46622.74"/>
    <x v="2"/>
    <x v="3"/>
  </r>
  <r>
    <x v="1792"/>
    <s v="2025-11-26"/>
    <x v="10"/>
    <s v="CUST4077"/>
    <x v="3"/>
    <n v="4"/>
    <n v="35281.379999999997"/>
    <n v="141125.51999999999"/>
    <x v="0"/>
    <x v="0"/>
  </r>
  <r>
    <x v="1793"/>
    <s v="2025-11-26"/>
    <x v="10"/>
    <s v="CUST1692"/>
    <x v="1"/>
    <n v="5"/>
    <n v="41025.67"/>
    <n v="205128.35"/>
    <x v="3"/>
    <x v="2"/>
  </r>
  <r>
    <x v="1794"/>
    <s v="2025-11-26"/>
    <x v="10"/>
    <s v="CUST5954"/>
    <x v="6"/>
    <n v="1"/>
    <n v="7777.35"/>
    <n v="7777.35"/>
    <x v="1"/>
    <x v="2"/>
  </r>
  <r>
    <x v="1795"/>
    <s v="2025-11-26"/>
    <x v="10"/>
    <s v="CUST1815"/>
    <x v="3"/>
    <n v="3"/>
    <n v="10259.83"/>
    <n v="30779.49"/>
    <x v="2"/>
    <x v="1"/>
  </r>
  <r>
    <x v="1796"/>
    <s v="2025-11-26"/>
    <x v="10"/>
    <s v="CUST5349"/>
    <x v="5"/>
    <n v="2"/>
    <n v="3066.08"/>
    <n v="6132.16"/>
    <x v="1"/>
    <x v="2"/>
  </r>
  <r>
    <x v="1797"/>
    <s v="2025-11-26"/>
    <x v="10"/>
    <s v="CUST8721"/>
    <x v="0"/>
    <n v="5"/>
    <n v="10056.209999999999"/>
    <n v="50281.05"/>
    <x v="1"/>
    <x v="3"/>
  </r>
  <r>
    <x v="1798"/>
    <s v="2025-11-26"/>
    <x v="10"/>
    <s v="CUST9178"/>
    <x v="3"/>
    <n v="5"/>
    <n v="6499.41"/>
    <n v="32497.05"/>
    <x v="0"/>
    <x v="0"/>
  </r>
  <r>
    <x v="1799"/>
    <s v="2025-11-26"/>
    <x v="10"/>
    <s v="CUST1321"/>
    <x v="8"/>
    <n v="1"/>
    <n v="38806.769999999997"/>
    <n v="38806.769999999997"/>
    <x v="2"/>
    <x v="1"/>
  </r>
  <r>
    <x v="1800"/>
    <s v="2025-11-27"/>
    <x v="10"/>
    <s v="CUST8093"/>
    <x v="0"/>
    <n v="3"/>
    <n v="42683.6"/>
    <n v="128050.8"/>
    <x v="3"/>
    <x v="3"/>
  </r>
  <r>
    <x v="1801"/>
    <s v="2025-11-27"/>
    <x v="10"/>
    <s v="CUST4379"/>
    <x v="7"/>
    <n v="5"/>
    <n v="40990.75"/>
    <n v="204953.75"/>
    <x v="2"/>
    <x v="0"/>
  </r>
  <r>
    <x v="1802"/>
    <s v="2025-11-27"/>
    <x v="10"/>
    <s v="CUST8881"/>
    <x v="1"/>
    <n v="5"/>
    <n v="6578.7"/>
    <n v="32893.5"/>
    <x v="0"/>
    <x v="2"/>
  </r>
  <r>
    <x v="1803"/>
    <s v="2025-11-27"/>
    <x v="10"/>
    <s v="CUST6575"/>
    <x v="8"/>
    <n v="3"/>
    <n v="18972.03"/>
    <n v="56916.09"/>
    <x v="2"/>
    <x v="0"/>
  </r>
  <r>
    <x v="1804"/>
    <s v="2025-11-27"/>
    <x v="10"/>
    <s v="CUST8674"/>
    <x v="0"/>
    <n v="2"/>
    <n v="36604.04"/>
    <n v="73208.08"/>
    <x v="2"/>
    <x v="2"/>
  </r>
  <r>
    <x v="1805"/>
    <s v="2025-11-27"/>
    <x v="10"/>
    <s v="CUST9359"/>
    <x v="4"/>
    <n v="2"/>
    <n v="6758.25"/>
    <n v="13516.5"/>
    <x v="3"/>
    <x v="3"/>
  </r>
  <r>
    <x v="1806"/>
    <s v="2025-11-28"/>
    <x v="10"/>
    <s v="CUST8056"/>
    <x v="4"/>
    <n v="5"/>
    <n v="31047.73"/>
    <n v="155238.65"/>
    <x v="3"/>
    <x v="1"/>
  </r>
  <r>
    <x v="1807"/>
    <s v="2025-11-28"/>
    <x v="10"/>
    <s v="CUST3632"/>
    <x v="9"/>
    <n v="3"/>
    <n v="3818.51"/>
    <n v="11455.53"/>
    <x v="2"/>
    <x v="0"/>
  </r>
  <r>
    <x v="1808"/>
    <s v="2025-11-28"/>
    <x v="10"/>
    <s v="CUST8968"/>
    <x v="2"/>
    <n v="1"/>
    <n v="7339.7"/>
    <n v="7339.7"/>
    <x v="3"/>
    <x v="0"/>
  </r>
  <r>
    <x v="1809"/>
    <s v="2025-11-28"/>
    <x v="10"/>
    <s v="CUST2609"/>
    <x v="6"/>
    <n v="3"/>
    <n v="49120.15"/>
    <n v="147360.45000000001"/>
    <x v="3"/>
    <x v="3"/>
  </r>
  <r>
    <x v="1810"/>
    <s v="2025-11-28"/>
    <x v="10"/>
    <s v="CUST4143"/>
    <x v="3"/>
    <n v="5"/>
    <n v="4036.57"/>
    <n v="20182.849999999999"/>
    <x v="0"/>
    <x v="1"/>
  </r>
  <r>
    <x v="1811"/>
    <s v="2025-11-28"/>
    <x v="10"/>
    <s v="CUST5428"/>
    <x v="8"/>
    <n v="3"/>
    <n v="10491.41"/>
    <n v="31474.23"/>
    <x v="1"/>
    <x v="2"/>
  </r>
  <r>
    <x v="1812"/>
    <s v="2025-11-28"/>
    <x v="10"/>
    <s v="CUST8953"/>
    <x v="2"/>
    <n v="1"/>
    <n v="48716"/>
    <n v="48716"/>
    <x v="2"/>
    <x v="3"/>
  </r>
  <r>
    <x v="1813"/>
    <s v="2025-11-28"/>
    <x v="10"/>
    <s v="CUST6004"/>
    <x v="0"/>
    <n v="5"/>
    <n v="21007.56"/>
    <n v="105037.8"/>
    <x v="2"/>
    <x v="0"/>
  </r>
  <r>
    <x v="1814"/>
    <s v="2025-11-29"/>
    <x v="10"/>
    <s v="CUST3113"/>
    <x v="3"/>
    <n v="3"/>
    <n v="39352.1"/>
    <n v="118056.3"/>
    <x v="0"/>
    <x v="3"/>
  </r>
  <r>
    <x v="1815"/>
    <s v="2025-11-29"/>
    <x v="10"/>
    <s v="CUST6854"/>
    <x v="6"/>
    <n v="4"/>
    <n v="28824.69"/>
    <n v="115298.76"/>
    <x v="3"/>
    <x v="3"/>
  </r>
  <r>
    <x v="1816"/>
    <s v="2025-11-29"/>
    <x v="10"/>
    <s v="CUST4987"/>
    <x v="8"/>
    <n v="2"/>
    <n v="17387.77"/>
    <n v="34775.54"/>
    <x v="0"/>
    <x v="3"/>
  </r>
  <r>
    <x v="1817"/>
    <s v="2025-11-29"/>
    <x v="10"/>
    <s v="CUST5340"/>
    <x v="9"/>
    <n v="5"/>
    <n v="44762.559999999998"/>
    <n v="223812.8"/>
    <x v="0"/>
    <x v="2"/>
  </r>
  <r>
    <x v="1818"/>
    <s v="2025-11-29"/>
    <x v="10"/>
    <s v="CUST9749"/>
    <x v="3"/>
    <n v="1"/>
    <n v="10785.39"/>
    <n v="10785.39"/>
    <x v="1"/>
    <x v="2"/>
  </r>
  <r>
    <x v="1819"/>
    <s v="2025-11-30"/>
    <x v="10"/>
    <s v="CUST2258"/>
    <x v="1"/>
    <n v="3"/>
    <n v="43792.47"/>
    <n v="131377.41"/>
    <x v="0"/>
    <x v="0"/>
  </r>
  <r>
    <x v="1820"/>
    <s v="2025-11-30"/>
    <x v="10"/>
    <s v="CUST7156"/>
    <x v="0"/>
    <n v="5"/>
    <n v="2140.6799999999998"/>
    <n v="10703.4"/>
    <x v="0"/>
    <x v="2"/>
  </r>
  <r>
    <x v="1821"/>
    <s v="2025-11-30"/>
    <x v="10"/>
    <s v="CUST3882"/>
    <x v="9"/>
    <n v="1"/>
    <n v="43379.72"/>
    <n v="43379.72"/>
    <x v="3"/>
    <x v="0"/>
  </r>
  <r>
    <x v="1822"/>
    <s v="2025-11-30"/>
    <x v="10"/>
    <s v="CUST5318"/>
    <x v="6"/>
    <n v="2"/>
    <n v="49102.86"/>
    <n v="98205.72"/>
    <x v="0"/>
    <x v="2"/>
  </r>
  <r>
    <x v="1823"/>
    <s v="2025-11-30"/>
    <x v="10"/>
    <s v="CUST6051"/>
    <x v="6"/>
    <n v="5"/>
    <n v="27956.69"/>
    <n v="139783.45000000001"/>
    <x v="2"/>
    <x v="3"/>
  </r>
  <r>
    <x v="1824"/>
    <s v="2025-11-30"/>
    <x v="10"/>
    <s v="CUST5127"/>
    <x v="5"/>
    <n v="5"/>
    <n v="35043.06"/>
    <n v="175215.3"/>
    <x v="3"/>
    <x v="1"/>
  </r>
  <r>
    <x v="1825"/>
    <s v="2025-11-30"/>
    <x v="10"/>
    <s v="CUST6258"/>
    <x v="5"/>
    <n v="3"/>
    <n v="13135.6"/>
    <n v="39406.800000000003"/>
    <x v="3"/>
    <x v="2"/>
  </r>
  <r>
    <x v="1826"/>
    <s v="2025-11-30"/>
    <x v="10"/>
    <s v="CUST5507"/>
    <x v="2"/>
    <n v="2"/>
    <n v="13599.96"/>
    <n v="27199.919999999998"/>
    <x v="1"/>
    <x v="0"/>
  </r>
  <r>
    <x v="1827"/>
    <s v="2025-12-01"/>
    <x v="11"/>
    <s v="CUST3384"/>
    <x v="5"/>
    <n v="4"/>
    <n v="30842.799999999999"/>
    <n v="123371.2"/>
    <x v="2"/>
    <x v="2"/>
  </r>
  <r>
    <x v="1828"/>
    <s v="2025-12-01"/>
    <x v="11"/>
    <s v="CUST7614"/>
    <x v="2"/>
    <n v="1"/>
    <n v="32077.040000000001"/>
    <n v="32077.040000000001"/>
    <x v="2"/>
    <x v="2"/>
  </r>
  <r>
    <x v="1829"/>
    <s v="2025-12-01"/>
    <x v="11"/>
    <s v="CUST3984"/>
    <x v="2"/>
    <n v="4"/>
    <n v="44311.62"/>
    <n v="177246.48"/>
    <x v="2"/>
    <x v="2"/>
  </r>
  <r>
    <x v="1830"/>
    <s v="2025-12-01"/>
    <x v="11"/>
    <s v="CUST8615"/>
    <x v="8"/>
    <n v="2"/>
    <n v="35487.230000000003"/>
    <n v="70974.460000000006"/>
    <x v="2"/>
    <x v="3"/>
  </r>
  <r>
    <x v="1831"/>
    <s v="2025-12-01"/>
    <x v="11"/>
    <s v="CUST6396"/>
    <x v="0"/>
    <n v="1"/>
    <n v="41988.63"/>
    <n v="41988.63"/>
    <x v="0"/>
    <x v="0"/>
  </r>
  <r>
    <x v="1832"/>
    <s v="2025-12-01"/>
    <x v="11"/>
    <s v="CUST3009"/>
    <x v="7"/>
    <n v="2"/>
    <n v="49088.88"/>
    <n v="98177.76"/>
    <x v="1"/>
    <x v="1"/>
  </r>
  <r>
    <x v="1833"/>
    <s v="2025-12-01"/>
    <x v="11"/>
    <s v="CUST2821"/>
    <x v="0"/>
    <n v="3"/>
    <n v="24923.19"/>
    <n v="74769.570000000007"/>
    <x v="2"/>
    <x v="0"/>
  </r>
  <r>
    <x v="1834"/>
    <s v="2025-12-02"/>
    <x v="11"/>
    <s v="CUST1592"/>
    <x v="0"/>
    <n v="4"/>
    <n v="3367.32"/>
    <n v="13469.28"/>
    <x v="0"/>
    <x v="1"/>
  </r>
  <r>
    <x v="1835"/>
    <s v="2025-12-02"/>
    <x v="11"/>
    <s v="CUST4120"/>
    <x v="6"/>
    <n v="5"/>
    <n v="19256.990000000002"/>
    <n v="96284.95"/>
    <x v="0"/>
    <x v="1"/>
  </r>
  <r>
    <x v="1836"/>
    <s v="2025-12-02"/>
    <x v="11"/>
    <s v="CUST7369"/>
    <x v="2"/>
    <n v="4"/>
    <n v="20743.490000000002"/>
    <n v="82973.960000000006"/>
    <x v="2"/>
    <x v="1"/>
  </r>
  <r>
    <x v="1837"/>
    <s v="2025-12-02"/>
    <x v="11"/>
    <s v="CUST3748"/>
    <x v="4"/>
    <n v="5"/>
    <n v="13691.05"/>
    <n v="68455.25"/>
    <x v="2"/>
    <x v="2"/>
  </r>
  <r>
    <x v="1838"/>
    <s v="2025-12-02"/>
    <x v="11"/>
    <s v="CUST8590"/>
    <x v="7"/>
    <n v="1"/>
    <n v="29386.06"/>
    <n v="29386.06"/>
    <x v="3"/>
    <x v="3"/>
  </r>
  <r>
    <x v="1839"/>
    <s v="2025-12-02"/>
    <x v="11"/>
    <s v="CUST3664"/>
    <x v="6"/>
    <n v="4"/>
    <n v="33611.42"/>
    <n v="134445.68"/>
    <x v="2"/>
    <x v="1"/>
  </r>
  <r>
    <x v="1840"/>
    <s v="2025-12-03"/>
    <x v="11"/>
    <s v="CUST1603"/>
    <x v="4"/>
    <n v="1"/>
    <n v="1558.43"/>
    <n v="1558.43"/>
    <x v="3"/>
    <x v="2"/>
  </r>
  <r>
    <x v="1841"/>
    <s v="2025-12-03"/>
    <x v="11"/>
    <s v="CUST6122"/>
    <x v="4"/>
    <n v="1"/>
    <n v="40226.36"/>
    <n v="40226.36"/>
    <x v="2"/>
    <x v="1"/>
  </r>
  <r>
    <x v="1842"/>
    <s v="2025-12-03"/>
    <x v="11"/>
    <s v="CUST6285"/>
    <x v="6"/>
    <n v="5"/>
    <n v="49385.3"/>
    <n v="246926.5"/>
    <x v="0"/>
    <x v="0"/>
  </r>
  <r>
    <x v="1843"/>
    <s v="2025-12-03"/>
    <x v="11"/>
    <s v="CUST7633"/>
    <x v="1"/>
    <n v="2"/>
    <n v="24170.66"/>
    <n v="48341.32"/>
    <x v="3"/>
    <x v="0"/>
  </r>
  <r>
    <x v="1844"/>
    <s v="2025-12-03"/>
    <x v="11"/>
    <s v="CUST7174"/>
    <x v="3"/>
    <n v="1"/>
    <n v="49338.65"/>
    <n v="49338.65"/>
    <x v="2"/>
    <x v="1"/>
  </r>
  <r>
    <x v="1845"/>
    <s v="2025-12-03"/>
    <x v="11"/>
    <s v="CUST5072"/>
    <x v="9"/>
    <n v="2"/>
    <n v="8400.85"/>
    <n v="16801.7"/>
    <x v="3"/>
    <x v="0"/>
  </r>
  <r>
    <x v="1846"/>
    <s v="2025-12-03"/>
    <x v="11"/>
    <s v="CUST2918"/>
    <x v="5"/>
    <n v="4"/>
    <n v="20376.169999999998"/>
    <n v="81504.679999999993"/>
    <x v="3"/>
    <x v="1"/>
  </r>
  <r>
    <x v="1847"/>
    <s v="2025-12-04"/>
    <x v="11"/>
    <s v="CUST1776"/>
    <x v="1"/>
    <n v="1"/>
    <n v="10090.02"/>
    <n v="10090.02"/>
    <x v="0"/>
    <x v="0"/>
  </r>
  <r>
    <x v="1848"/>
    <s v="2025-12-04"/>
    <x v="11"/>
    <s v="CUST2226"/>
    <x v="6"/>
    <n v="3"/>
    <n v="24324.55"/>
    <n v="72973.649999999994"/>
    <x v="0"/>
    <x v="3"/>
  </r>
  <r>
    <x v="1849"/>
    <s v="2025-12-04"/>
    <x v="11"/>
    <s v="CUST4122"/>
    <x v="6"/>
    <n v="1"/>
    <n v="26097.54"/>
    <n v="26097.54"/>
    <x v="1"/>
    <x v="2"/>
  </r>
  <r>
    <x v="1850"/>
    <s v="2025-12-04"/>
    <x v="11"/>
    <s v="CUST8952"/>
    <x v="2"/>
    <n v="1"/>
    <n v="17768.18"/>
    <n v="17768.18"/>
    <x v="3"/>
    <x v="0"/>
  </r>
  <r>
    <x v="1851"/>
    <s v="2025-12-05"/>
    <x v="11"/>
    <s v="CUST2158"/>
    <x v="9"/>
    <n v="4"/>
    <n v="11231.86"/>
    <n v="44927.44"/>
    <x v="1"/>
    <x v="1"/>
  </r>
  <r>
    <x v="1852"/>
    <s v="2025-12-05"/>
    <x v="11"/>
    <s v="CUST3288"/>
    <x v="0"/>
    <n v="4"/>
    <n v="8451.4699999999993"/>
    <n v="33805.879999999997"/>
    <x v="0"/>
    <x v="0"/>
  </r>
  <r>
    <x v="1853"/>
    <s v="2025-12-05"/>
    <x v="11"/>
    <s v="CUST9877"/>
    <x v="7"/>
    <n v="5"/>
    <n v="21444.07"/>
    <n v="107220.35"/>
    <x v="0"/>
    <x v="1"/>
  </r>
  <r>
    <x v="1854"/>
    <s v="2025-12-05"/>
    <x v="11"/>
    <s v="CUST2805"/>
    <x v="1"/>
    <n v="3"/>
    <n v="3346.76"/>
    <n v="10040.280000000001"/>
    <x v="0"/>
    <x v="2"/>
  </r>
  <r>
    <x v="1855"/>
    <s v="2025-12-06"/>
    <x v="11"/>
    <s v="CUST2256"/>
    <x v="2"/>
    <n v="4"/>
    <n v="25669.37"/>
    <n v="102677.48"/>
    <x v="2"/>
    <x v="1"/>
  </r>
  <r>
    <x v="1856"/>
    <s v="2025-12-06"/>
    <x v="11"/>
    <s v="CUST7085"/>
    <x v="2"/>
    <n v="5"/>
    <n v="27884.04"/>
    <n v="139420.20000000001"/>
    <x v="2"/>
    <x v="3"/>
  </r>
  <r>
    <x v="1857"/>
    <s v="2025-12-06"/>
    <x v="11"/>
    <s v="CUST5663"/>
    <x v="3"/>
    <n v="3"/>
    <n v="33500.46"/>
    <n v="100501.38"/>
    <x v="2"/>
    <x v="1"/>
  </r>
  <r>
    <x v="1858"/>
    <s v="2025-12-06"/>
    <x v="11"/>
    <s v="CUST5345"/>
    <x v="9"/>
    <n v="4"/>
    <n v="8130.58"/>
    <n v="32522.32"/>
    <x v="2"/>
    <x v="2"/>
  </r>
  <r>
    <x v="1859"/>
    <s v="2025-12-06"/>
    <x v="11"/>
    <s v="CUST1113"/>
    <x v="0"/>
    <n v="4"/>
    <n v="2611.4699999999998"/>
    <n v="10445.879999999999"/>
    <x v="1"/>
    <x v="3"/>
  </r>
  <r>
    <x v="1860"/>
    <s v="2025-12-06"/>
    <x v="11"/>
    <s v="CUST4274"/>
    <x v="9"/>
    <n v="5"/>
    <n v="15378.54"/>
    <n v="76892.7"/>
    <x v="3"/>
    <x v="2"/>
  </r>
  <r>
    <x v="1861"/>
    <s v="2025-12-06"/>
    <x v="11"/>
    <s v="CUST5804"/>
    <x v="7"/>
    <n v="2"/>
    <n v="1385.17"/>
    <n v="2770.34"/>
    <x v="3"/>
    <x v="0"/>
  </r>
  <r>
    <x v="1862"/>
    <s v="2025-12-06"/>
    <x v="11"/>
    <s v="CUST5138"/>
    <x v="4"/>
    <n v="1"/>
    <n v="37738.07"/>
    <n v="37738.07"/>
    <x v="1"/>
    <x v="3"/>
  </r>
  <r>
    <x v="1863"/>
    <s v="2025-12-07"/>
    <x v="11"/>
    <s v="CUST8937"/>
    <x v="3"/>
    <n v="1"/>
    <n v="20602.830000000002"/>
    <n v="20602.830000000002"/>
    <x v="1"/>
    <x v="0"/>
  </r>
  <r>
    <x v="1864"/>
    <s v="2025-12-07"/>
    <x v="11"/>
    <s v="CUST2564"/>
    <x v="5"/>
    <n v="2"/>
    <n v="47936.7"/>
    <n v="95873.4"/>
    <x v="0"/>
    <x v="3"/>
  </r>
  <r>
    <x v="1865"/>
    <s v="2025-12-07"/>
    <x v="11"/>
    <s v="CUST2331"/>
    <x v="4"/>
    <n v="1"/>
    <n v="21229.27"/>
    <n v="21229.27"/>
    <x v="1"/>
    <x v="0"/>
  </r>
  <r>
    <x v="1866"/>
    <s v="2025-12-07"/>
    <x v="11"/>
    <s v="CUST1175"/>
    <x v="7"/>
    <n v="3"/>
    <n v="17148.5"/>
    <n v="51445.5"/>
    <x v="3"/>
    <x v="1"/>
  </r>
  <r>
    <x v="1867"/>
    <s v="2025-12-07"/>
    <x v="11"/>
    <s v="CUST1294"/>
    <x v="7"/>
    <n v="5"/>
    <n v="40731.78"/>
    <n v="203658.9"/>
    <x v="1"/>
    <x v="0"/>
  </r>
  <r>
    <x v="1868"/>
    <s v="2025-12-07"/>
    <x v="11"/>
    <s v="CUST1587"/>
    <x v="2"/>
    <n v="4"/>
    <n v="19140.259999999998"/>
    <n v="76561.039999999994"/>
    <x v="2"/>
    <x v="3"/>
  </r>
  <r>
    <x v="1869"/>
    <s v="2025-12-08"/>
    <x v="11"/>
    <s v="CUST3775"/>
    <x v="4"/>
    <n v="4"/>
    <n v="41536.769999999997"/>
    <n v="166147.07999999999"/>
    <x v="1"/>
    <x v="2"/>
  </r>
  <r>
    <x v="1870"/>
    <s v="2025-12-08"/>
    <x v="11"/>
    <s v="CUST4644"/>
    <x v="8"/>
    <n v="4"/>
    <n v="48744.34"/>
    <n v="194977.36"/>
    <x v="2"/>
    <x v="0"/>
  </r>
  <r>
    <x v="1871"/>
    <s v="2025-12-08"/>
    <x v="11"/>
    <s v="CUST8270"/>
    <x v="5"/>
    <n v="4"/>
    <n v="8336.58"/>
    <n v="33346.32"/>
    <x v="3"/>
    <x v="1"/>
  </r>
  <r>
    <x v="1872"/>
    <s v="2025-12-08"/>
    <x v="11"/>
    <s v="CUST8376"/>
    <x v="3"/>
    <n v="3"/>
    <n v="47781"/>
    <n v="143343"/>
    <x v="3"/>
    <x v="2"/>
  </r>
  <r>
    <x v="1873"/>
    <s v="2025-12-08"/>
    <x v="11"/>
    <s v="CUST3217"/>
    <x v="7"/>
    <n v="3"/>
    <n v="47804.77"/>
    <n v="143414.31"/>
    <x v="1"/>
    <x v="2"/>
  </r>
  <r>
    <x v="1874"/>
    <s v="2025-12-09"/>
    <x v="11"/>
    <s v="CUST6691"/>
    <x v="9"/>
    <n v="2"/>
    <n v="17126.13"/>
    <n v="34252.26"/>
    <x v="0"/>
    <x v="0"/>
  </r>
  <r>
    <x v="1875"/>
    <s v="2025-12-09"/>
    <x v="11"/>
    <s v="CUST4981"/>
    <x v="2"/>
    <n v="4"/>
    <n v="26422.97"/>
    <n v="105691.88"/>
    <x v="1"/>
    <x v="1"/>
  </r>
  <r>
    <x v="1876"/>
    <s v="2025-12-09"/>
    <x v="11"/>
    <s v="CUST1865"/>
    <x v="1"/>
    <n v="2"/>
    <n v="29329.86"/>
    <n v="58659.72"/>
    <x v="3"/>
    <x v="1"/>
  </r>
  <r>
    <x v="1877"/>
    <s v="2025-12-09"/>
    <x v="11"/>
    <s v="CUST7470"/>
    <x v="1"/>
    <n v="3"/>
    <n v="49937.01"/>
    <n v="149811.03"/>
    <x v="0"/>
    <x v="0"/>
  </r>
  <r>
    <x v="1878"/>
    <s v="2025-12-09"/>
    <x v="11"/>
    <s v="CUST2340"/>
    <x v="0"/>
    <n v="5"/>
    <n v="31117.599999999999"/>
    <n v="155588"/>
    <x v="3"/>
    <x v="0"/>
  </r>
  <r>
    <x v="1879"/>
    <s v="2025-12-10"/>
    <x v="11"/>
    <s v="CUST4412"/>
    <x v="3"/>
    <n v="1"/>
    <n v="15101.83"/>
    <n v="15101.83"/>
    <x v="2"/>
    <x v="0"/>
  </r>
  <r>
    <x v="1880"/>
    <s v="2025-12-10"/>
    <x v="11"/>
    <s v="CUST8275"/>
    <x v="4"/>
    <n v="4"/>
    <n v="38594.1"/>
    <n v="154376.4"/>
    <x v="0"/>
    <x v="1"/>
  </r>
  <r>
    <x v="1881"/>
    <s v="2025-12-10"/>
    <x v="11"/>
    <s v="CUST3994"/>
    <x v="6"/>
    <n v="2"/>
    <n v="29961.98"/>
    <n v="59923.96"/>
    <x v="3"/>
    <x v="2"/>
  </r>
  <r>
    <x v="1882"/>
    <s v="2025-12-10"/>
    <x v="11"/>
    <s v="CUST2795"/>
    <x v="7"/>
    <n v="2"/>
    <n v="3743.39"/>
    <n v="7486.78"/>
    <x v="1"/>
    <x v="0"/>
  </r>
  <r>
    <x v="1883"/>
    <s v="2025-12-10"/>
    <x v="11"/>
    <s v="CUST5089"/>
    <x v="6"/>
    <n v="5"/>
    <n v="27952.560000000001"/>
    <n v="139762.79999999999"/>
    <x v="2"/>
    <x v="0"/>
  </r>
  <r>
    <x v="1884"/>
    <s v="2025-12-11"/>
    <x v="11"/>
    <s v="CUST6680"/>
    <x v="8"/>
    <n v="5"/>
    <n v="16482.97"/>
    <n v="82414.850000000006"/>
    <x v="0"/>
    <x v="2"/>
  </r>
  <r>
    <x v="1885"/>
    <s v="2025-12-11"/>
    <x v="11"/>
    <s v="CUST3132"/>
    <x v="2"/>
    <n v="3"/>
    <n v="38352.21"/>
    <n v="115056.63"/>
    <x v="0"/>
    <x v="3"/>
  </r>
  <r>
    <x v="1886"/>
    <s v="2025-12-11"/>
    <x v="11"/>
    <s v="CUST6943"/>
    <x v="2"/>
    <n v="2"/>
    <n v="46828.45"/>
    <n v="93656.9"/>
    <x v="0"/>
    <x v="2"/>
  </r>
  <r>
    <x v="1887"/>
    <s v="2025-12-11"/>
    <x v="11"/>
    <s v="CUST5797"/>
    <x v="6"/>
    <n v="4"/>
    <n v="18510.43"/>
    <n v="74041.72"/>
    <x v="2"/>
    <x v="0"/>
  </r>
  <r>
    <x v="1888"/>
    <s v="2025-12-12"/>
    <x v="11"/>
    <s v="CUST2243"/>
    <x v="0"/>
    <n v="2"/>
    <n v="29037.51"/>
    <n v="58075.02"/>
    <x v="2"/>
    <x v="1"/>
  </r>
  <r>
    <x v="1889"/>
    <s v="2025-12-12"/>
    <x v="11"/>
    <s v="CUST2298"/>
    <x v="4"/>
    <n v="4"/>
    <n v="1030.3599999999999"/>
    <n v="4121.4399999999996"/>
    <x v="1"/>
    <x v="2"/>
  </r>
  <r>
    <x v="1890"/>
    <s v="2025-12-12"/>
    <x v="11"/>
    <s v="CUST6033"/>
    <x v="4"/>
    <n v="1"/>
    <n v="14067.36"/>
    <n v="14067.36"/>
    <x v="2"/>
    <x v="2"/>
  </r>
  <r>
    <x v="1891"/>
    <s v="2025-12-12"/>
    <x v="11"/>
    <s v="CUST1883"/>
    <x v="8"/>
    <n v="2"/>
    <n v="15184.89"/>
    <n v="30369.78"/>
    <x v="0"/>
    <x v="3"/>
  </r>
  <r>
    <x v="1892"/>
    <s v="2025-12-12"/>
    <x v="11"/>
    <s v="CUST8001"/>
    <x v="5"/>
    <n v="2"/>
    <n v="26397.67"/>
    <n v="52795.34"/>
    <x v="2"/>
    <x v="2"/>
  </r>
  <r>
    <x v="1893"/>
    <s v="2025-12-12"/>
    <x v="11"/>
    <s v="CUST6642"/>
    <x v="7"/>
    <n v="1"/>
    <n v="23190.02"/>
    <n v="23190.02"/>
    <x v="0"/>
    <x v="0"/>
  </r>
  <r>
    <x v="1894"/>
    <s v="2025-12-12"/>
    <x v="11"/>
    <s v="CUST4272"/>
    <x v="9"/>
    <n v="3"/>
    <n v="4024.78"/>
    <n v="12074.34"/>
    <x v="1"/>
    <x v="3"/>
  </r>
  <r>
    <x v="1895"/>
    <s v="2025-12-13"/>
    <x v="11"/>
    <s v="CUST8840"/>
    <x v="7"/>
    <n v="1"/>
    <n v="3323.57"/>
    <n v="3323.57"/>
    <x v="3"/>
    <x v="0"/>
  </r>
  <r>
    <x v="1896"/>
    <s v="2025-12-13"/>
    <x v="11"/>
    <s v="CUST7115"/>
    <x v="8"/>
    <n v="4"/>
    <n v="34777.21"/>
    <n v="139108.84"/>
    <x v="3"/>
    <x v="2"/>
  </r>
  <r>
    <x v="1897"/>
    <s v="2025-12-13"/>
    <x v="11"/>
    <s v="CUST4715"/>
    <x v="3"/>
    <n v="3"/>
    <n v="4588.1099999999997"/>
    <n v="13764.33"/>
    <x v="3"/>
    <x v="0"/>
  </r>
  <r>
    <x v="1898"/>
    <s v="2025-12-13"/>
    <x v="11"/>
    <s v="CUST8104"/>
    <x v="5"/>
    <n v="1"/>
    <n v="29386.18"/>
    <n v="29386.18"/>
    <x v="2"/>
    <x v="3"/>
  </r>
  <r>
    <x v="1899"/>
    <s v="2025-12-13"/>
    <x v="11"/>
    <s v="CUST5441"/>
    <x v="8"/>
    <n v="5"/>
    <n v="42882.6"/>
    <n v="214413"/>
    <x v="1"/>
    <x v="3"/>
  </r>
  <r>
    <x v="1900"/>
    <s v="2025-12-13"/>
    <x v="11"/>
    <s v="CUST9025"/>
    <x v="9"/>
    <n v="3"/>
    <n v="35771.089999999997"/>
    <n v="107313.27"/>
    <x v="1"/>
    <x v="0"/>
  </r>
  <r>
    <x v="1901"/>
    <s v="2025-12-14"/>
    <x v="11"/>
    <s v="CUST1599"/>
    <x v="5"/>
    <n v="3"/>
    <n v="37002.870000000003"/>
    <n v="111008.61"/>
    <x v="3"/>
    <x v="2"/>
  </r>
  <r>
    <x v="1902"/>
    <s v="2025-12-14"/>
    <x v="11"/>
    <s v="CUST6216"/>
    <x v="9"/>
    <n v="4"/>
    <n v="24442.25"/>
    <n v="97769"/>
    <x v="3"/>
    <x v="2"/>
  </r>
  <r>
    <x v="1903"/>
    <s v="2025-12-14"/>
    <x v="11"/>
    <s v="CUST9956"/>
    <x v="7"/>
    <n v="5"/>
    <n v="45503.16"/>
    <n v="227515.8"/>
    <x v="3"/>
    <x v="3"/>
  </r>
  <r>
    <x v="1904"/>
    <s v="2025-12-14"/>
    <x v="11"/>
    <s v="CUST2373"/>
    <x v="4"/>
    <n v="2"/>
    <n v="17290.86"/>
    <n v="34581.72"/>
    <x v="0"/>
    <x v="3"/>
  </r>
  <r>
    <x v="1905"/>
    <s v="2025-12-14"/>
    <x v="11"/>
    <s v="CUST4596"/>
    <x v="2"/>
    <n v="4"/>
    <n v="8853.48"/>
    <n v="35413.919999999998"/>
    <x v="2"/>
    <x v="2"/>
  </r>
  <r>
    <x v="1906"/>
    <s v="2025-12-14"/>
    <x v="11"/>
    <s v="CUST2932"/>
    <x v="7"/>
    <n v="2"/>
    <n v="26815.18"/>
    <n v="53630.36"/>
    <x v="0"/>
    <x v="3"/>
  </r>
  <r>
    <x v="1907"/>
    <s v="2025-12-14"/>
    <x v="11"/>
    <s v="CUST8162"/>
    <x v="8"/>
    <n v="5"/>
    <n v="38570.58"/>
    <n v="192852.9"/>
    <x v="3"/>
    <x v="0"/>
  </r>
  <r>
    <x v="1908"/>
    <s v="2025-12-15"/>
    <x v="11"/>
    <s v="CUST4069"/>
    <x v="7"/>
    <n v="5"/>
    <n v="41898.19"/>
    <n v="209490.95"/>
    <x v="0"/>
    <x v="0"/>
  </r>
  <r>
    <x v="1909"/>
    <s v="2025-12-15"/>
    <x v="11"/>
    <s v="CUST6857"/>
    <x v="1"/>
    <n v="5"/>
    <n v="14695.53"/>
    <n v="73477.649999999994"/>
    <x v="3"/>
    <x v="2"/>
  </r>
  <r>
    <x v="1910"/>
    <s v="2025-12-15"/>
    <x v="11"/>
    <s v="CUST4443"/>
    <x v="1"/>
    <n v="1"/>
    <n v="25387.94"/>
    <n v="25387.94"/>
    <x v="0"/>
    <x v="1"/>
  </r>
  <r>
    <x v="1911"/>
    <s v="2025-12-15"/>
    <x v="11"/>
    <s v="CUST5167"/>
    <x v="6"/>
    <n v="3"/>
    <n v="29147.99"/>
    <n v="87443.97"/>
    <x v="1"/>
    <x v="3"/>
  </r>
  <r>
    <x v="1912"/>
    <s v="2025-12-15"/>
    <x v="11"/>
    <s v="CUST7526"/>
    <x v="1"/>
    <n v="1"/>
    <n v="39324.93"/>
    <n v="39324.93"/>
    <x v="1"/>
    <x v="0"/>
  </r>
  <r>
    <x v="1913"/>
    <s v="2025-12-16"/>
    <x v="11"/>
    <s v="CUST3282"/>
    <x v="6"/>
    <n v="3"/>
    <n v="7824.73"/>
    <n v="23474.19"/>
    <x v="0"/>
    <x v="0"/>
  </r>
  <r>
    <x v="1914"/>
    <s v="2025-12-16"/>
    <x v="11"/>
    <s v="CUST4713"/>
    <x v="3"/>
    <n v="1"/>
    <n v="41850.32"/>
    <n v="41850.32"/>
    <x v="2"/>
    <x v="3"/>
  </r>
  <r>
    <x v="1915"/>
    <s v="2025-12-16"/>
    <x v="11"/>
    <s v="CUST9204"/>
    <x v="6"/>
    <n v="2"/>
    <n v="9840.2900000000009"/>
    <n v="19680.580000000002"/>
    <x v="3"/>
    <x v="2"/>
  </r>
  <r>
    <x v="1916"/>
    <s v="2025-12-16"/>
    <x v="11"/>
    <s v="CUST7144"/>
    <x v="0"/>
    <n v="4"/>
    <n v="39463.24"/>
    <n v="157852.96"/>
    <x v="2"/>
    <x v="3"/>
  </r>
  <r>
    <x v="1917"/>
    <s v="2025-12-16"/>
    <x v="11"/>
    <s v="CUST3254"/>
    <x v="0"/>
    <n v="3"/>
    <n v="26695.73"/>
    <n v="80087.19"/>
    <x v="3"/>
    <x v="1"/>
  </r>
  <r>
    <x v="1918"/>
    <s v="2025-12-16"/>
    <x v="11"/>
    <s v="CUST4536"/>
    <x v="5"/>
    <n v="3"/>
    <n v="27230.79"/>
    <n v="81692.37"/>
    <x v="0"/>
    <x v="3"/>
  </r>
  <r>
    <x v="1919"/>
    <s v="2025-12-16"/>
    <x v="11"/>
    <s v="CUST9388"/>
    <x v="1"/>
    <n v="5"/>
    <n v="1120.52"/>
    <n v="5602.6"/>
    <x v="1"/>
    <x v="3"/>
  </r>
  <r>
    <x v="1920"/>
    <s v="2025-12-17"/>
    <x v="11"/>
    <s v="CUST5165"/>
    <x v="0"/>
    <n v="4"/>
    <n v="49541.39"/>
    <n v="198165.56"/>
    <x v="2"/>
    <x v="3"/>
  </r>
  <r>
    <x v="1921"/>
    <s v="2025-12-17"/>
    <x v="11"/>
    <s v="CUST3103"/>
    <x v="5"/>
    <n v="3"/>
    <n v="27658.31"/>
    <n v="82974.929999999993"/>
    <x v="0"/>
    <x v="1"/>
  </r>
  <r>
    <x v="1922"/>
    <s v="2025-12-17"/>
    <x v="11"/>
    <s v="CUST1028"/>
    <x v="5"/>
    <n v="1"/>
    <n v="19783.28"/>
    <n v="19783.28"/>
    <x v="1"/>
    <x v="1"/>
  </r>
  <r>
    <x v="1923"/>
    <s v="2025-12-17"/>
    <x v="11"/>
    <s v="CUST1407"/>
    <x v="3"/>
    <n v="1"/>
    <n v="49919.14"/>
    <n v="49919.14"/>
    <x v="1"/>
    <x v="2"/>
  </r>
  <r>
    <x v="1924"/>
    <s v="2025-12-17"/>
    <x v="11"/>
    <s v="CUST8359"/>
    <x v="5"/>
    <n v="5"/>
    <n v="12247.89"/>
    <n v="61239.45"/>
    <x v="0"/>
    <x v="1"/>
  </r>
  <r>
    <x v="1925"/>
    <s v="2025-12-18"/>
    <x v="11"/>
    <s v="CUST6775"/>
    <x v="0"/>
    <n v="2"/>
    <n v="38781.269999999997"/>
    <n v="77562.539999999994"/>
    <x v="2"/>
    <x v="0"/>
  </r>
  <r>
    <x v="1926"/>
    <s v="2025-12-18"/>
    <x v="11"/>
    <s v="CUST4683"/>
    <x v="3"/>
    <n v="4"/>
    <n v="8666.7900000000009"/>
    <n v="34667.160000000003"/>
    <x v="0"/>
    <x v="0"/>
  </r>
  <r>
    <x v="1927"/>
    <s v="2025-12-18"/>
    <x v="11"/>
    <s v="CUST1640"/>
    <x v="4"/>
    <n v="4"/>
    <n v="10556.33"/>
    <n v="42225.32"/>
    <x v="1"/>
    <x v="2"/>
  </r>
  <r>
    <x v="1928"/>
    <s v="2025-12-18"/>
    <x v="11"/>
    <s v="CUST3150"/>
    <x v="9"/>
    <n v="2"/>
    <n v="7834.45"/>
    <n v="15668.9"/>
    <x v="1"/>
    <x v="3"/>
  </r>
  <r>
    <x v="1929"/>
    <s v="2025-12-18"/>
    <x v="11"/>
    <s v="CUST8709"/>
    <x v="7"/>
    <n v="5"/>
    <n v="33273.68"/>
    <n v="166368.4"/>
    <x v="1"/>
    <x v="1"/>
  </r>
  <r>
    <x v="1930"/>
    <s v="2025-12-18"/>
    <x v="11"/>
    <s v="CUST7768"/>
    <x v="1"/>
    <n v="4"/>
    <n v="12412.07"/>
    <n v="49648.28"/>
    <x v="2"/>
    <x v="2"/>
  </r>
  <r>
    <x v="1931"/>
    <s v="2025-12-18"/>
    <x v="11"/>
    <s v="CUST6198"/>
    <x v="3"/>
    <n v="5"/>
    <n v="31849.56"/>
    <n v="159247.79999999999"/>
    <x v="0"/>
    <x v="1"/>
  </r>
  <r>
    <x v="1932"/>
    <s v="2025-12-19"/>
    <x v="11"/>
    <s v="CUST3177"/>
    <x v="8"/>
    <n v="1"/>
    <n v="32025.24"/>
    <n v="32025.24"/>
    <x v="3"/>
    <x v="2"/>
  </r>
  <r>
    <x v="1933"/>
    <s v="2025-12-19"/>
    <x v="11"/>
    <s v="CUST6527"/>
    <x v="0"/>
    <n v="2"/>
    <n v="17043.11"/>
    <n v="34086.22"/>
    <x v="2"/>
    <x v="2"/>
  </r>
  <r>
    <x v="1934"/>
    <s v="2025-12-19"/>
    <x v="11"/>
    <s v="CUST2532"/>
    <x v="4"/>
    <n v="3"/>
    <n v="1679.4"/>
    <n v="5038.2"/>
    <x v="0"/>
    <x v="1"/>
  </r>
  <r>
    <x v="1935"/>
    <s v="2025-12-19"/>
    <x v="11"/>
    <s v="CUST9510"/>
    <x v="9"/>
    <n v="1"/>
    <n v="32322.1"/>
    <n v="32322.1"/>
    <x v="0"/>
    <x v="2"/>
  </r>
  <r>
    <x v="1936"/>
    <s v="2025-12-19"/>
    <x v="11"/>
    <s v="CUST6264"/>
    <x v="7"/>
    <n v="1"/>
    <n v="22123.8"/>
    <n v="22123.8"/>
    <x v="1"/>
    <x v="3"/>
  </r>
  <r>
    <x v="1937"/>
    <s v="2025-12-19"/>
    <x v="11"/>
    <s v="CUST7969"/>
    <x v="4"/>
    <n v="5"/>
    <n v="26617.040000000001"/>
    <n v="133085.20000000001"/>
    <x v="0"/>
    <x v="2"/>
  </r>
  <r>
    <x v="1938"/>
    <s v="2025-12-19"/>
    <x v="11"/>
    <s v="CUST5977"/>
    <x v="3"/>
    <n v="1"/>
    <n v="7816.95"/>
    <n v="7816.95"/>
    <x v="3"/>
    <x v="1"/>
  </r>
  <r>
    <x v="1939"/>
    <s v="2025-12-20"/>
    <x v="11"/>
    <s v="CUST5575"/>
    <x v="4"/>
    <n v="3"/>
    <n v="23182.87"/>
    <n v="69548.61"/>
    <x v="3"/>
    <x v="0"/>
  </r>
  <r>
    <x v="1940"/>
    <s v="2025-12-20"/>
    <x v="11"/>
    <s v="CUST3451"/>
    <x v="5"/>
    <n v="2"/>
    <n v="4205.74"/>
    <n v="8411.48"/>
    <x v="0"/>
    <x v="3"/>
  </r>
  <r>
    <x v="1941"/>
    <s v="2025-12-20"/>
    <x v="11"/>
    <s v="CUST1290"/>
    <x v="3"/>
    <n v="3"/>
    <n v="32914.01"/>
    <n v="98742.03"/>
    <x v="2"/>
    <x v="2"/>
  </r>
  <r>
    <x v="1942"/>
    <s v="2025-12-20"/>
    <x v="11"/>
    <s v="CUST2245"/>
    <x v="9"/>
    <n v="1"/>
    <n v="2927.64"/>
    <n v="2927.64"/>
    <x v="3"/>
    <x v="3"/>
  </r>
  <r>
    <x v="1943"/>
    <s v="2025-12-20"/>
    <x v="11"/>
    <s v="CUST2107"/>
    <x v="8"/>
    <n v="5"/>
    <n v="49691.49"/>
    <n v="248457.45"/>
    <x v="1"/>
    <x v="1"/>
  </r>
  <r>
    <x v="1944"/>
    <s v="2025-12-20"/>
    <x v="11"/>
    <s v="CUST4581"/>
    <x v="6"/>
    <n v="5"/>
    <n v="23814.38"/>
    <n v="119071.9"/>
    <x v="3"/>
    <x v="1"/>
  </r>
  <r>
    <x v="1945"/>
    <s v="2025-12-20"/>
    <x v="11"/>
    <s v="CUST1949"/>
    <x v="3"/>
    <n v="5"/>
    <n v="44958.1"/>
    <n v="224790.5"/>
    <x v="2"/>
    <x v="1"/>
  </r>
  <r>
    <x v="1946"/>
    <s v="2025-12-20"/>
    <x v="11"/>
    <s v="CUST6456"/>
    <x v="3"/>
    <n v="2"/>
    <n v="13880.48"/>
    <n v="27760.959999999999"/>
    <x v="1"/>
    <x v="2"/>
  </r>
  <r>
    <x v="1947"/>
    <s v="2025-12-21"/>
    <x v="11"/>
    <s v="CUST6245"/>
    <x v="1"/>
    <n v="2"/>
    <n v="49771.62"/>
    <n v="99543.24"/>
    <x v="2"/>
    <x v="0"/>
  </r>
  <r>
    <x v="1948"/>
    <s v="2025-12-21"/>
    <x v="11"/>
    <s v="CUST1594"/>
    <x v="3"/>
    <n v="4"/>
    <n v="7123.82"/>
    <n v="28495.279999999999"/>
    <x v="1"/>
    <x v="2"/>
  </r>
  <r>
    <x v="1949"/>
    <s v="2025-12-21"/>
    <x v="11"/>
    <s v="CUST3230"/>
    <x v="2"/>
    <n v="3"/>
    <n v="23184.73"/>
    <n v="69554.19"/>
    <x v="3"/>
    <x v="0"/>
  </r>
  <r>
    <x v="1950"/>
    <s v="2025-12-21"/>
    <x v="11"/>
    <s v="CUST7163"/>
    <x v="3"/>
    <n v="5"/>
    <n v="21342.43"/>
    <n v="106712.15"/>
    <x v="1"/>
    <x v="0"/>
  </r>
  <r>
    <x v="1951"/>
    <s v="2025-12-22"/>
    <x v="11"/>
    <s v="CUST8390"/>
    <x v="6"/>
    <n v="1"/>
    <n v="696.35"/>
    <n v="696.35"/>
    <x v="1"/>
    <x v="1"/>
  </r>
  <r>
    <x v="1952"/>
    <s v="2025-12-22"/>
    <x v="11"/>
    <s v="CUST3244"/>
    <x v="1"/>
    <n v="4"/>
    <n v="21152.21"/>
    <n v="84608.84"/>
    <x v="2"/>
    <x v="3"/>
  </r>
  <r>
    <x v="1953"/>
    <s v="2025-12-22"/>
    <x v="11"/>
    <s v="CUST9860"/>
    <x v="6"/>
    <n v="4"/>
    <n v="12141.42"/>
    <n v="48565.68"/>
    <x v="3"/>
    <x v="1"/>
  </r>
  <r>
    <x v="1954"/>
    <s v="2025-12-22"/>
    <x v="11"/>
    <s v="CUST3717"/>
    <x v="0"/>
    <n v="4"/>
    <n v="8420.4699999999993"/>
    <n v="33681.879999999997"/>
    <x v="2"/>
    <x v="3"/>
  </r>
  <r>
    <x v="1955"/>
    <s v="2025-12-23"/>
    <x v="11"/>
    <s v="CUST5575"/>
    <x v="6"/>
    <n v="2"/>
    <n v="13883.44"/>
    <n v="27766.880000000001"/>
    <x v="1"/>
    <x v="0"/>
  </r>
  <r>
    <x v="1956"/>
    <s v="2025-12-23"/>
    <x v="11"/>
    <s v="CUST8054"/>
    <x v="6"/>
    <n v="5"/>
    <n v="46999.42"/>
    <n v="234997.1"/>
    <x v="1"/>
    <x v="0"/>
  </r>
  <r>
    <x v="1957"/>
    <s v="2025-12-23"/>
    <x v="11"/>
    <s v="CUST5695"/>
    <x v="5"/>
    <n v="5"/>
    <n v="11679.83"/>
    <n v="58399.15"/>
    <x v="2"/>
    <x v="0"/>
  </r>
  <r>
    <x v="1958"/>
    <s v="2025-12-23"/>
    <x v="11"/>
    <s v="CUST6965"/>
    <x v="0"/>
    <n v="5"/>
    <n v="1391.9"/>
    <n v="6959.5"/>
    <x v="2"/>
    <x v="3"/>
  </r>
  <r>
    <x v="1959"/>
    <s v="2025-12-23"/>
    <x v="11"/>
    <s v="CUST4258"/>
    <x v="3"/>
    <n v="4"/>
    <n v="29856.93"/>
    <n v="119427.72"/>
    <x v="2"/>
    <x v="1"/>
  </r>
  <r>
    <x v="1960"/>
    <s v="2025-12-23"/>
    <x v="11"/>
    <s v="CUST8199"/>
    <x v="4"/>
    <n v="1"/>
    <n v="1203.95"/>
    <n v="1203.95"/>
    <x v="3"/>
    <x v="2"/>
  </r>
  <r>
    <x v="1961"/>
    <s v="2025-12-24"/>
    <x v="11"/>
    <s v="CUST1606"/>
    <x v="3"/>
    <n v="5"/>
    <n v="30741.69"/>
    <n v="153708.45000000001"/>
    <x v="2"/>
    <x v="1"/>
  </r>
  <r>
    <x v="1962"/>
    <s v="2025-12-24"/>
    <x v="11"/>
    <s v="CUST3936"/>
    <x v="7"/>
    <n v="5"/>
    <n v="25376.54"/>
    <n v="126882.7"/>
    <x v="1"/>
    <x v="0"/>
  </r>
  <r>
    <x v="1963"/>
    <s v="2025-12-24"/>
    <x v="11"/>
    <s v="CUST2804"/>
    <x v="3"/>
    <n v="2"/>
    <n v="27285.22"/>
    <n v="54570.44"/>
    <x v="2"/>
    <x v="0"/>
  </r>
  <r>
    <x v="1964"/>
    <s v="2025-12-24"/>
    <x v="11"/>
    <s v="CUST1402"/>
    <x v="1"/>
    <n v="4"/>
    <n v="19016.84"/>
    <n v="76067.360000000001"/>
    <x v="1"/>
    <x v="0"/>
  </r>
  <r>
    <x v="1965"/>
    <s v="2025-12-24"/>
    <x v="11"/>
    <s v="CUST3814"/>
    <x v="4"/>
    <n v="3"/>
    <n v="3194.57"/>
    <n v="9583.7099999999991"/>
    <x v="3"/>
    <x v="0"/>
  </r>
  <r>
    <x v="1966"/>
    <s v="2025-12-24"/>
    <x v="11"/>
    <s v="CUST7716"/>
    <x v="7"/>
    <n v="5"/>
    <n v="13732.66"/>
    <n v="68663.3"/>
    <x v="3"/>
    <x v="2"/>
  </r>
  <r>
    <x v="1967"/>
    <s v="2025-12-25"/>
    <x v="11"/>
    <s v="CUST2044"/>
    <x v="9"/>
    <n v="3"/>
    <n v="46444.9"/>
    <n v="139334.70000000001"/>
    <x v="3"/>
    <x v="1"/>
  </r>
  <r>
    <x v="1968"/>
    <s v="2025-12-25"/>
    <x v="11"/>
    <s v="CUST3342"/>
    <x v="6"/>
    <n v="2"/>
    <n v="26146.87"/>
    <n v="52293.74"/>
    <x v="1"/>
    <x v="0"/>
  </r>
  <r>
    <x v="1969"/>
    <s v="2025-12-25"/>
    <x v="11"/>
    <s v="CUST7197"/>
    <x v="4"/>
    <n v="4"/>
    <n v="29347.25"/>
    <n v="117389"/>
    <x v="3"/>
    <x v="1"/>
  </r>
  <r>
    <x v="1970"/>
    <s v="2025-12-26"/>
    <x v="11"/>
    <s v="CUST2164"/>
    <x v="9"/>
    <n v="3"/>
    <n v="36410.36"/>
    <n v="109231.08"/>
    <x v="3"/>
    <x v="1"/>
  </r>
  <r>
    <x v="1971"/>
    <s v="2025-12-26"/>
    <x v="11"/>
    <s v="CUST9131"/>
    <x v="6"/>
    <n v="5"/>
    <n v="30385.13"/>
    <n v="151925.65"/>
    <x v="2"/>
    <x v="1"/>
  </r>
  <r>
    <x v="1972"/>
    <s v="2025-12-26"/>
    <x v="11"/>
    <s v="CUST5899"/>
    <x v="1"/>
    <n v="1"/>
    <n v="10283.01"/>
    <n v="10283.01"/>
    <x v="0"/>
    <x v="0"/>
  </r>
  <r>
    <x v="1973"/>
    <s v="2025-12-26"/>
    <x v="11"/>
    <s v="CUST9395"/>
    <x v="6"/>
    <n v="4"/>
    <n v="26202.94"/>
    <n v="104811.76"/>
    <x v="2"/>
    <x v="0"/>
  </r>
  <r>
    <x v="1974"/>
    <s v="2025-12-26"/>
    <x v="11"/>
    <s v="CUST9760"/>
    <x v="6"/>
    <n v="1"/>
    <n v="7384.8"/>
    <n v="7384.8"/>
    <x v="1"/>
    <x v="2"/>
  </r>
  <r>
    <x v="1975"/>
    <s v="2025-12-26"/>
    <x v="11"/>
    <s v="CUST2716"/>
    <x v="0"/>
    <n v="4"/>
    <n v="9621.75"/>
    <n v="38487"/>
    <x v="2"/>
    <x v="0"/>
  </r>
  <r>
    <x v="1976"/>
    <s v="2025-12-26"/>
    <x v="11"/>
    <s v="CUST3162"/>
    <x v="1"/>
    <n v="3"/>
    <n v="13468.92"/>
    <n v="40406.76"/>
    <x v="0"/>
    <x v="2"/>
  </r>
  <r>
    <x v="1977"/>
    <s v="2025-12-26"/>
    <x v="11"/>
    <s v="CUST5747"/>
    <x v="2"/>
    <n v="4"/>
    <n v="15555.72"/>
    <n v="62222.879999999997"/>
    <x v="3"/>
    <x v="0"/>
  </r>
  <r>
    <x v="1978"/>
    <s v="2025-12-27"/>
    <x v="11"/>
    <s v="CUST4174"/>
    <x v="8"/>
    <n v="5"/>
    <n v="27519.8"/>
    <n v="137599"/>
    <x v="2"/>
    <x v="3"/>
  </r>
  <r>
    <x v="1979"/>
    <s v="2025-12-27"/>
    <x v="11"/>
    <s v="CUST5562"/>
    <x v="9"/>
    <n v="4"/>
    <n v="13228.2"/>
    <n v="52912.800000000003"/>
    <x v="3"/>
    <x v="2"/>
  </r>
  <r>
    <x v="1980"/>
    <s v="2025-12-27"/>
    <x v="11"/>
    <s v="CUST6919"/>
    <x v="3"/>
    <n v="5"/>
    <n v="14090.85"/>
    <n v="70454.25"/>
    <x v="1"/>
    <x v="0"/>
  </r>
  <r>
    <x v="1981"/>
    <s v="2025-12-27"/>
    <x v="11"/>
    <s v="CUST4403"/>
    <x v="5"/>
    <n v="2"/>
    <n v="8508.6"/>
    <n v="17017.2"/>
    <x v="2"/>
    <x v="0"/>
  </r>
  <r>
    <x v="1982"/>
    <s v="2025-12-27"/>
    <x v="11"/>
    <s v="CUST6037"/>
    <x v="8"/>
    <n v="3"/>
    <n v="23247.75"/>
    <n v="69743.25"/>
    <x v="2"/>
    <x v="1"/>
  </r>
  <r>
    <x v="1983"/>
    <s v="2025-12-27"/>
    <x v="11"/>
    <s v="CUST8609"/>
    <x v="9"/>
    <n v="5"/>
    <n v="28537.88"/>
    <n v="142689.4"/>
    <x v="3"/>
    <x v="1"/>
  </r>
  <r>
    <x v="1984"/>
    <s v="2025-12-28"/>
    <x v="11"/>
    <s v="CUST3111"/>
    <x v="4"/>
    <n v="1"/>
    <n v="8316.2099999999991"/>
    <n v="8316.2099999999991"/>
    <x v="1"/>
    <x v="2"/>
  </r>
  <r>
    <x v="1985"/>
    <s v="2025-12-28"/>
    <x v="11"/>
    <s v="CUST3648"/>
    <x v="8"/>
    <n v="1"/>
    <n v="40477.35"/>
    <n v="40477.35"/>
    <x v="1"/>
    <x v="0"/>
  </r>
  <r>
    <x v="1986"/>
    <s v="2025-12-28"/>
    <x v="11"/>
    <s v="CUST4663"/>
    <x v="7"/>
    <n v="1"/>
    <n v="2793.27"/>
    <n v="2793.27"/>
    <x v="1"/>
    <x v="2"/>
  </r>
  <r>
    <x v="1987"/>
    <s v="2025-12-28"/>
    <x v="11"/>
    <s v="CUST7353"/>
    <x v="5"/>
    <n v="3"/>
    <n v="48453.94"/>
    <n v="145361.82"/>
    <x v="1"/>
    <x v="2"/>
  </r>
  <r>
    <x v="1988"/>
    <s v="2025-12-28"/>
    <x v="11"/>
    <s v="CUST7958"/>
    <x v="4"/>
    <n v="4"/>
    <n v="17324.72"/>
    <n v="69298.880000000005"/>
    <x v="2"/>
    <x v="1"/>
  </r>
  <r>
    <x v="1989"/>
    <s v="2025-12-29"/>
    <x v="11"/>
    <s v="CUST2568"/>
    <x v="1"/>
    <n v="5"/>
    <n v="46386.33"/>
    <n v="231931.65"/>
    <x v="3"/>
    <x v="2"/>
  </r>
  <r>
    <x v="1990"/>
    <s v="2025-12-29"/>
    <x v="11"/>
    <s v="CUST8009"/>
    <x v="5"/>
    <n v="3"/>
    <n v="49374.92"/>
    <n v="148124.76"/>
    <x v="1"/>
    <x v="1"/>
  </r>
  <r>
    <x v="1991"/>
    <s v="2025-12-29"/>
    <x v="11"/>
    <s v="CUST9774"/>
    <x v="6"/>
    <n v="4"/>
    <n v="909.34"/>
    <n v="3637.36"/>
    <x v="3"/>
    <x v="2"/>
  </r>
  <r>
    <x v="1992"/>
    <s v="2025-12-29"/>
    <x v="11"/>
    <s v="CUST5140"/>
    <x v="1"/>
    <n v="3"/>
    <n v="20055.939999999999"/>
    <n v="60167.82"/>
    <x v="2"/>
    <x v="0"/>
  </r>
  <r>
    <x v="1993"/>
    <s v="2025-12-29"/>
    <x v="11"/>
    <s v="CUST6257"/>
    <x v="2"/>
    <n v="1"/>
    <n v="36471.57"/>
    <n v="36471.57"/>
    <x v="3"/>
    <x v="1"/>
  </r>
  <r>
    <x v="1994"/>
    <s v="2025-12-30"/>
    <x v="11"/>
    <s v="CUST7543"/>
    <x v="1"/>
    <n v="3"/>
    <n v="9802.36"/>
    <n v="29407.08"/>
    <x v="1"/>
    <x v="2"/>
  </r>
  <r>
    <x v="1995"/>
    <s v="2025-12-30"/>
    <x v="11"/>
    <s v="CUST9740"/>
    <x v="7"/>
    <n v="3"/>
    <n v="42814.14"/>
    <n v="128442.42"/>
    <x v="3"/>
    <x v="2"/>
  </r>
  <r>
    <x v="1996"/>
    <s v="2025-12-30"/>
    <x v="11"/>
    <s v="CUST6239"/>
    <x v="1"/>
    <n v="4"/>
    <n v="49006.239999999998"/>
    <n v="196024.95999999999"/>
    <x v="2"/>
    <x v="3"/>
  </r>
  <r>
    <x v="1997"/>
    <s v="2025-12-31"/>
    <x v="11"/>
    <s v="CUST2493"/>
    <x v="3"/>
    <n v="1"/>
    <n v="46328.05"/>
    <n v="46328.05"/>
    <x v="2"/>
    <x v="3"/>
  </r>
  <r>
    <x v="1998"/>
    <s v="2025-12-31"/>
    <x v="11"/>
    <s v="CUST6288"/>
    <x v="7"/>
    <n v="3"/>
    <n v="16284.5"/>
    <n v="48853.5"/>
    <x v="2"/>
    <x v="3"/>
  </r>
  <r>
    <x v="1999"/>
    <s v="2025-12-31"/>
    <x v="11"/>
    <s v="CUST8071"/>
    <x v="6"/>
    <n v="5"/>
    <n v="4321.88"/>
    <n v="21609.4"/>
    <x v="0"/>
    <x v="1"/>
  </r>
  <r>
    <x v="2000"/>
    <s v="2025-12-31"/>
    <x v="11"/>
    <s v="CUST3281"/>
    <x v="3"/>
    <n v="1"/>
    <n v="14803.92"/>
    <n v="14803.92"/>
    <x v="0"/>
    <x v="0"/>
  </r>
  <r>
    <x v="2001"/>
    <s v="2025-12-31"/>
    <x v="11"/>
    <s v="CUST2643"/>
    <x v="8"/>
    <n v="4"/>
    <n v="6324.69"/>
    <n v="25298.76"/>
    <x v="1"/>
    <x v="2"/>
  </r>
  <r>
    <x v="2002"/>
    <s v="2025-12-31"/>
    <x v="11"/>
    <s v="CUST5125"/>
    <x v="3"/>
    <n v="3"/>
    <n v="25796.67"/>
    <n v="77390.009999999995"/>
    <x v="0"/>
    <x v="1"/>
  </r>
  <r>
    <x v="2003"/>
    <s v="2025-12-31"/>
    <x v="11"/>
    <s v="CUST8912"/>
    <x v="6"/>
    <n v="1"/>
    <n v="33770.629999999997"/>
    <n v="33770.629999999997"/>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45E290C-6E9C-4011-A080-75E9BC880E33}"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16" firstHeaderRow="1" firstDataRow="1" firstDataCol="1"/>
  <pivotFields count="10">
    <pivotField showAll="0"/>
    <pivotField showAll="0"/>
    <pivotField axis="axisRow" showAll="0">
      <items count="13">
        <item x="0"/>
        <item x="1"/>
        <item x="2"/>
        <item x="3"/>
        <item x="4"/>
        <item x="5"/>
        <item x="6"/>
        <item x="7"/>
        <item x="8"/>
        <item x="9"/>
        <item x="10"/>
        <item x="11"/>
        <item t="default"/>
      </items>
    </pivotField>
    <pivotField showAll="0"/>
    <pivotField showAll="0"/>
    <pivotField dataField="1" showAll="0"/>
    <pivotField showAll="0"/>
    <pivotField showAll="0"/>
    <pivotField showAll="0"/>
    <pivotField showAll="0"/>
  </pivotFields>
  <rowFields count="1">
    <field x="2"/>
  </rowFields>
  <rowItems count="13">
    <i>
      <x/>
    </i>
    <i>
      <x v="1"/>
    </i>
    <i>
      <x v="2"/>
    </i>
    <i>
      <x v="3"/>
    </i>
    <i>
      <x v="4"/>
    </i>
    <i>
      <x v="5"/>
    </i>
    <i>
      <x v="6"/>
    </i>
    <i>
      <x v="7"/>
    </i>
    <i>
      <x v="8"/>
    </i>
    <i>
      <x v="9"/>
    </i>
    <i>
      <x v="10"/>
    </i>
    <i>
      <x v="11"/>
    </i>
    <i t="grand">
      <x/>
    </i>
  </rowItems>
  <colItems count="1">
    <i/>
  </colItems>
  <dataFields count="1">
    <dataField name="Sum of Units_Sold" fld="5" baseField="0" baseItem="0"/>
  </dataFields>
  <chartFormats count="1">
    <chartFormat chart="1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D2F77B8-D462-40AD-9989-AF502411A135}"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B3:D14" firstHeaderRow="0" firstDataRow="1" firstDataCol="1"/>
  <pivotFields count="10">
    <pivotField showAll="0"/>
    <pivotField showAll="0"/>
    <pivotField showAll="0"/>
    <pivotField showAll="0"/>
    <pivotField axis="axisRow" showAll="0" sortType="ascending">
      <items count="11">
        <item sd="0" x="4"/>
        <item sd="0" x="1"/>
        <item sd="0" x="7"/>
        <item sd="0" x="8"/>
        <item sd="0" x="0"/>
        <item sd="0" x="6"/>
        <item sd="0" x="5"/>
        <item sd="0" x="2"/>
        <item sd="0" x="9"/>
        <item sd="0" x="3"/>
        <item t="default" sd="0"/>
      </items>
      <autoSortScope>
        <pivotArea dataOnly="0" outline="0" fieldPosition="0">
          <references count="1">
            <reference field="4294967294" count="1" selected="0">
              <x v="0"/>
            </reference>
          </references>
        </pivotArea>
      </autoSortScope>
    </pivotField>
    <pivotField dataField="1" showAll="0"/>
    <pivotField showAll="0"/>
    <pivotField dataField="1" showAll="0"/>
    <pivotField axis="axisRow" showAll="0">
      <items count="5">
        <item h="1" x="3"/>
        <item h="1" x="0"/>
        <item x="1"/>
        <item h="1" x="2"/>
        <item t="default"/>
      </items>
    </pivotField>
    <pivotField showAll="0">
      <items count="5">
        <item x="3"/>
        <item x="0"/>
        <item x="2"/>
        <item x="1"/>
        <item t="default"/>
      </items>
    </pivotField>
  </pivotFields>
  <rowFields count="2">
    <field x="4"/>
    <field x="8"/>
  </rowFields>
  <rowItems count="11">
    <i>
      <x v="5"/>
    </i>
    <i>
      <x v="4"/>
    </i>
    <i>
      <x v="3"/>
    </i>
    <i>
      <x v="8"/>
    </i>
    <i>
      <x v="7"/>
    </i>
    <i>
      <x v="9"/>
    </i>
    <i>
      <x v="1"/>
    </i>
    <i>
      <x v="6"/>
    </i>
    <i>
      <x v="2"/>
    </i>
    <i>
      <x/>
    </i>
    <i t="grand">
      <x/>
    </i>
  </rowItems>
  <colFields count="1">
    <field x="-2"/>
  </colFields>
  <colItems count="2">
    <i>
      <x/>
    </i>
    <i i="1">
      <x v="1"/>
    </i>
  </colItems>
  <dataFields count="2">
    <dataField name="Sum of Units_Sold" fld="5" baseField="0" baseItem="0"/>
    <dataField name="Sum of Total_Revenue" fld="7"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5C87B0B-BA43-4F3C-9565-5CAD3E0078E9}" name="PivotTable2" cacheId="9"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B3:C20" firstHeaderRow="1" firstDataRow="1" firstDataCol="1"/>
  <pivotFields count="10">
    <pivotField showAll="0"/>
    <pivotField showAll="0"/>
    <pivotField showAll="0"/>
    <pivotField showAll="0"/>
    <pivotField axis="axisRow" showAll="0">
      <items count="11">
        <item h="1" x="4"/>
        <item h="1" x="1"/>
        <item h="1" x="7"/>
        <item h="1" x="8"/>
        <item h="1" x="0"/>
        <item x="6"/>
        <item x="5"/>
        <item x="2"/>
        <item x="9"/>
        <item x="3"/>
        <item t="default"/>
      </items>
    </pivotField>
    <pivotField dataField="1" showAll="0"/>
    <pivotField showAll="0"/>
    <pivotField dataField="1" multipleItemSelectionAllowed="1" showAll="0"/>
    <pivotField showAll="0"/>
    <pivotField showAll="0"/>
  </pivotFields>
  <rowFields count="2">
    <field x="4"/>
    <field x="-2"/>
  </rowFields>
  <rowItems count="17">
    <i>
      <x v="5"/>
    </i>
    <i r="1">
      <x/>
    </i>
    <i r="1" i="1">
      <x v="1"/>
    </i>
    <i>
      <x v="6"/>
    </i>
    <i r="1">
      <x/>
    </i>
    <i r="1" i="1">
      <x v="1"/>
    </i>
    <i>
      <x v="7"/>
    </i>
    <i r="1">
      <x/>
    </i>
    <i r="1" i="1">
      <x v="1"/>
    </i>
    <i>
      <x v="8"/>
    </i>
    <i r="1">
      <x/>
    </i>
    <i r="1" i="1">
      <x v="1"/>
    </i>
    <i>
      <x v="9"/>
    </i>
    <i r="1">
      <x/>
    </i>
    <i r="1" i="1">
      <x v="1"/>
    </i>
    <i t="grand">
      <x/>
    </i>
    <i t="grand" i="1">
      <x/>
    </i>
  </rowItems>
  <colItems count="1">
    <i/>
  </colItems>
  <dataFields count="2">
    <dataField name="Sum of Units_Sold" fld="5" baseField="0" baseItem="0"/>
    <dataField name="Sum of Total_Revenue" fld="7" baseField="0" baseItem="0"/>
  </dataFields>
  <chartFormats count="12">
    <chartFormat chart="13" format="0" series="1">
      <pivotArea type="data" outline="0" fieldPosition="0">
        <references count="1">
          <reference field="4294967294" count="1" selected="0">
            <x v="0"/>
          </reference>
        </references>
      </pivotArea>
    </chartFormat>
    <chartFormat chart="22" format="12" series="1">
      <pivotArea type="data" outline="0" fieldPosition="0">
        <references count="1">
          <reference field="4294967294" count="1" selected="0">
            <x v="0"/>
          </reference>
        </references>
      </pivotArea>
    </chartFormat>
    <chartFormat chart="22" format="13">
      <pivotArea type="data" outline="0" fieldPosition="0">
        <references count="2">
          <reference field="4294967294" count="1" selected="0">
            <x v="0"/>
          </reference>
          <reference field="4" count="1" selected="0">
            <x v="0"/>
          </reference>
        </references>
      </pivotArea>
    </chartFormat>
    <chartFormat chart="22" format="14">
      <pivotArea type="data" outline="0" fieldPosition="0">
        <references count="2">
          <reference field="4294967294" count="1" selected="0">
            <x v="1"/>
          </reference>
          <reference field="4" count="1" selected="0">
            <x v="0"/>
          </reference>
        </references>
      </pivotArea>
    </chartFormat>
    <chartFormat chart="22" format="15">
      <pivotArea type="data" outline="0" fieldPosition="0">
        <references count="2">
          <reference field="4294967294" count="1" selected="0">
            <x v="0"/>
          </reference>
          <reference field="4" count="1" selected="0">
            <x v="1"/>
          </reference>
        </references>
      </pivotArea>
    </chartFormat>
    <chartFormat chart="22" format="16">
      <pivotArea type="data" outline="0" fieldPosition="0">
        <references count="2">
          <reference field="4294967294" count="1" selected="0">
            <x v="1"/>
          </reference>
          <reference field="4" count="1" selected="0">
            <x v="1"/>
          </reference>
        </references>
      </pivotArea>
    </chartFormat>
    <chartFormat chart="22" format="17">
      <pivotArea type="data" outline="0" fieldPosition="0">
        <references count="2">
          <reference field="4294967294" count="1" selected="0">
            <x v="0"/>
          </reference>
          <reference field="4" count="1" selected="0">
            <x v="6"/>
          </reference>
        </references>
      </pivotArea>
    </chartFormat>
    <chartFormat chart="22" format="18">
      <pivotArea type="data" outline="0" fieldPosition="0">
        <references count="2">
          <reference field="4294967294" count="1" selected="0">
            <x v="1"/>
          </reference>
          <reference field="4" count="1" selected="0">
            <x v="6"/>
          </reference>
        </references>
      </pivotArea>
    </chartFormat>
    <chartFormat chart="22" format="19">
      <pivotArea type="data" outline="0" fieldPosition="0">
        <references count="2">
          <reference field="4294967294" count="1" selected="0">
            <x v="0"/>
          </reference>
          <reference field="4" count="1" selected="0">
            <x v="8"/>
          </reference>
        </references>
      </pivotArea>
    </chartFormat>
    <chartFormat chart="22" format="20">
      <pivotArea type="data" outline="0" fieldPosition="0">
        <references count="2">
          <reference field="4294967294" count="1" selected="0">
            <x v="1"/>
          </reference>
          <reference field="4" count="1" selected="0">
            <x v="8"/>
          </reference>
        </references>
      </pivotArea>
    </chartFormat>
    <chartFormat chart="22" format="21">
      <pivotArea type="data" outline="0" fieldPosition="0">
        <references count="2">
          <reference field="4294967294" count="1" selected="0">
            <x v="0"/>
          </reference>
          <reference field="4" count="1" selected="0">
            <x v="9"/>
          </reference>
        </references>
      </pivotArea>
    </chartFormat>
    <chartFormat chart="22" format="22">
      <pivotArea type="data" outline="0" fieldPosition="0">
        <references count="2">
          <reference field="4294967294" count="1" selected="0">
            <x v="1"/>
          </reference>
          <reference field="4"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88E1722-4397-44E8-9431-B43FC95B68D5}"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4:D15" firstHeaderRow="0" firstDataRow="1" firstDataCol="1" rowPageCount="1" colPageCount="1"/>
  <pivotFields count="10">
    <pivotField axis="axisPage" showAll="0">
      <items count="2005">
        <item x="212"/>
        <item x="1770"/>
        <item x="268"/>
        <item x="1374"/>
        <item x="879"/>
        <item x="68"/>
        <item x="1366"/>
        <item x="644"/>
        <item x="11"/>
        <item x="229"/>
        <item x="1668"/>
        <item x="1571"/>
        <item x="902"/>
        <item x="558"/>
        <item x="155"/>
        <item x="1422"/>
        <item x="823"/>
        <item x="192"/>
        <item x="261"/>
        <item x="153"/>
        <item x="1470"/>
        <item x="1243"/>
        <item x="1889"/>
        <item x="1430"/>
        <item x="336"/>
        <item x="1059"/>
        <item x="495"/>
        <item x="1820"/>
        <item x="1959"/>
        <item x="1164"/>
        <item x="472"/>
        <item x="941"/>
        <item x="700"/>
        <item x="1761"/>
        <item x="930"/>
        <item x="576"/>
        <item x="24"/>
        <item x="832"/>
        <item x="1315"/>
        <item x="853"/>
        <item x="1577"/>
        <item x="1801"/>
        <item x="1304"/>
        <item x="510"/>
        <item x="190"/>
        <item x="770"/>
        <item x="1390"/>
        <item x="1036"/>
        <item x="769"/>
        <item x="278"/>
        <item x="320"/>
        <item x="1117"/>
        <item x="1013"/>
        <item x="1188"/>
        <item x="3"/>
        <item x="1105"/>
        <item x="1862"/>
        <item x="1935"/>
        <item x="221"/>
        <item x="1130"/>
        <item x="1569"/>
        <item x="1051"/>
        <item x="32"/>
        <item x="750"/>
        <item x="549"/>
        <item x="1751"/>
        <item x="129"/>
        <item x="1378"/>
        <item x="891"/>
        <item x="25"/>
        <item x="1882"/>
        <item x="1044"/>
        <item x="1362"/>
        <item x="1491"/>
        <item x="179"/>
        <item x="65"/>
        <item x="387"/>
        <item x="1417"/>
        <item x="1454"/>
        <item x="97"/>
        <item x="1206"/>
        <item x="427"/>
        <item x="870"/>
        <item x="350"/>
        <item x="1654"/>
        <item x="37"/>
        <item x="894"/>
        <item x="1738"/>
        <item x="416"/>
        <item x="304"/>
        <item x="593"/>
        <item x="624"/>
        <item x="1388"/>
        <item x="1246"/>
        <item x="1232"/>
        <item x="1444"/>
        <item x="1791"/>
        <item x="1786"/>
        <item x="752"/>
        <item x="1988"/>
        <item x="1626"/>
        <item x="310"/>
        <item x="715"/>
        <item x="1344"/>
        <item x="419"/>
        <item x="1273"/>
        <item x="1769"/>
        <item x="1453"/>
        <item x="1102"/>
        <item x="1165"/>
        <item x="282"/>
        <item x="1067"/>
        <item x="1270"/>
        <item x="663"/>
        <item x="691"/>
        <item x="108"/>
        <item x="1324"/>
        <item x="406"/>
        <item x="909"/>
        <item x="1251"/>
        <item x="872"/>
        <item x="1296"/>
        <item x="587"/>
        <item x="975"/>
        <item x="1515"/>
        <item x="634"/>
        <item x="1208"/>
        <item x="1150"/>
        <item x="1278"/>
        <item x="825"/>
        <item x="1100"/>
        <item x="1694"/>
        <item x="762"/>
        <item x="1713"/>
        <item x="722"/>
        <item x="176"/>
        <item x="30"/>
        <item x="131"/>
        <item x="396"/>
        <item x="1865"/>
        <item x="841"/>
        <item x="1490"/>
        <item x="761"/>
        <item x="1245"/>
        <item x="197"/>
        <item x="516"/>
        <item x="597"/>
        <item x="854"/>
        <item x="33"/>
        <item x="1658"/>
        <item x="983"/>
        <item x="91"/>
        <item x="1901"/>
        <item x="1482"/>
        <item x="73"/>
        <item x="1042"/>
        <item x="1548"/>
        <item x="1458"/>
        <item x="1166"/>
        <item x="627"/>
        <item x="1517"/>
        <item x="921"/>
        <item x="1239"/>
        <item x="970"/>
        <item x="173"/>
        <item x="1411"/>
        <item x="981"/>
        <item x="815"/>
        <item x="1284"/>
        <item x="1642"/>
        <item x="7"/>
        <item x="1551"/>
        <item x="1056"/>
        <item x="1637"/>
        <item x="1677"/>
        <item x="245"/>
        <item x="1926"/>
        <item x="1627"/>
        <item x="1375"/>
        <item x="1933"/>
        <item x="1793"/>
        <item x="1836"/>
        <item x="113"/>
        <item x="1335"/>
        <item x="736"/>
        <item x="890"/>
        <item x="1557"/>
        <item x="651"/>
        <item x="859"/>
        <item x="1030"/>
        <item x="1426"/>
        <item x="1283"/>
        <item x="623"/>
        <item x="665"/>
        <item x="93"/>
        <item x="1631"/>
        <item x="143"/>
        <item x="1558"/>
        <item x="1384"/>
        <item x="883"/>
        <item x="1525"/>
        <item x="932"/>
        <item x="1907"/>
        <item x="721"/>
        <item x="72"/>
        <item x="494"/>
        <item x="914"/>
        <item x="271"/>
        <item x="373"/>
        <item x="1371"/>
        <item x="509"/>
        <item x="1599"/>
        <item x="1460"/>
        <item x="1602"/>
        <item x="792"/>
        <item x="1211"/>
        <item x="109"/>
        <item x="582"/>
        <item x="1559"/>
        <item x="1533"/>
        <item x="862"/>
        <item x="1795"/>
        <item x="897"/>
        <item x="465"/>
        <item x="1580"/>
        <item x="945"/>
        <item x="1672"/>
        <item x="1934"/>
        <item x="1357"/>
        <item x="98"/>
        <item x="1237"/>
        <item x="766"/>
        <item x="756"/>
        <item x="35"/>
        <item x="216"/>
        <item x="1072"/>
        <item x="337"/>
        <item x="1989"/>
        <item x="1192"/>
        <item x="1722"/>
        <item x="1831"/>
        <item x="1469"/>
        <item x="664"/>
        <item x="555"/>
        <item x="614"/>
        <item x="1666"/>
        <item x="546"/>
        <item x="706"/>
        <item x="1629"/>
        <item x="1119"/>
        <item x="389"/>
        <item x="1308"/>
        <item x="1955"/>
        <item x="1864"/>
        <item x="90"/>
        <item x="709"/>
        <item x="713"/>
        <item x="409"/>
        <item x="1163"/>
        <item x="237"/>
        <item x="1420"/>
        <item x="1977"/>
        <item x="931"/>
        <item x="223"/>
        <item x="1176"/>
        <item x="557"/>
        <item x="1587"/>
        <item x="830"/>
        <item x="950"/>
        <item x="1997"/>
        <item x="127"/>
        <item x="695"/>
        <item x="428"/>
        <item x="1611"/>
        <item x="786"/>
        <item x="219"/>
        <item x="1947"/>
        <item x="39"/>
        <item x="1951"/>
        <item x="1808"/>
        <item x="1341"/>
        <item x="429"/>
        <item x="441"/>
        <item x="325"/>
        <item x="942"/>
        <item x="720"/>
        <item x="1361"/>
        <item x="743"/>
        <item x="5"/>
        <item x="191"/>
        <item x="948"/>
        <item x="1276"/>
        <item x="398"/>
        <item x="1842"/>
        <item x="1394"/>
        <item x="276"/>
        <item x="1106"/>
        <item x="1325"/>
        <item x="683"/>
        <item x="1712"/>
        <item x="1968"/>
        <item x="1182"/>
        <item x="8"/>
        <item x="0"/>
        <item x="340"/>
        <item x="929"/>
        <item x="301"/>
        <item x="1560"/>
        <item x="526"/>
        <item x="1511"/>
        <item x="1236"/>
        <item x="1386"/>
        <item x="1363"/>
        <item x="1936"/>
        <item x="1090"/>
        <item x="178"/>
        <item x="50"/>
        <item x="1138"/>
        <item x="1798"/>
        <item x="1506"/>
        <item x="1228"/>
        <item x="996"/>
        <item x="1385"/>
        <item x="433"/>
        <item x="936"/>
        <item x="149"/>
        <item x="1076"/>
        <item x="490"/>
        <item x="1797"/>
        <item x="466"/>
        <item x="1134"/>
        <item x="1888"/>
        <item x="1129"/>
        <item x="1392"/>
        <item x="563"/>
        <item x="1171"/>
        <item x="804"/>
        <item x="1618"/>
        <item x="596"/>
        <item x="346"/>
        <item x="657"/>
        <item x="707"/>
        <item x="1674"/>
        <item x="1948"/>
        <item x="285"/>
        <item x="257"/>
        <item x="650"/>
        <item x="20"/>
        <item x="899"/>
        <item x="150"/>
        <item x="1398"/>
        <item x="1701"/>
        <item x="442"/>
        <item x="809"/>
        <item x="866"/>
        <item x="1845"/>
        <item x="204"/>
        <item x="100"/>
        <item x="1784"/>
        <item x="592"/>
        <item x="875"/>
        <item x="280"/>
        <item x="251"/>
        <item x="880"/>
        <item x="1980"/>
        <item x="21"/>
        <item x="660"/>
        <item x="1887"/>
        <item x="165"/>
        <item x="247"/>
        <item x="1260"/>
        <item x="1213"/>
        <item x="1058"/>
        <item x="604"/>
        <item x="710"/>
        <item x="234"/>
        <item x="399"/>
        <item x="249"/>
        <item x="1281"/>
        <item x="1782"/>
        <item x="1582"/>
        <item x="1274"/>
        <item x="979"/>
        <item x="571"/>
        <item x="1923"/>
        <item x="256"/>
        <item x="1161"/>
        <item x="816"/>
        <item x="1064"/>
        <item x="993"/>
        <item x="1659"/>
        <item x="566"/>
        <item x="1157"/>
        <item x="372"/>
        <item x="61"/>
        <item x="639"/>
        <item x="974"/>
        <item x="873"/>
        <item x="238"/>
        <item x="1974"/>
        <item x="1468"/>
        <item x="1494"/>
        <item x="445"/>
        <item x="1118"/>
        <item x="1682"/>
        <item x="1477"/>
        <item x="1643"/>
        <item x="1707"/>
        <item x="1741"/>
        <item x="1181"/>
        <item x="1502"/>
        <item x="1890"/>
        <item x="1858"/>
        <item x="1167"/>
        <item x="701"/>
        <item x="1473"/>
        <item x="6"/>
        <item x="1405"/>
        <item x="943"/>
        <item x="927"/>
        <item x="446"/>
        <item x="493"/>
        <item x="1439"/>
        <item x="1877"/>
        <item x="1940"/>
        <item x="1451"/>
        <item x="1826"/>
        <item x="296"/>
        <item x="1052"/>
        <item x="1673"/>
        <item x="734"/>
        <item x="1971"/>
        <item x="220"/>
        <item x="200"/>
        <item x="1104"/>
        <item x="361"/>
        <item x="1758"/>
        <item x="1752"/>
        <item x="1016"/>
        <item x="133"/>
        <item x="335"/>
        <item x="1505"/>
        <item x="1780"/>
        <item x="583"/>
        <item x="77"/>
        <item x="172"/>
        <item x="112"/>
        <item x="184"/>
        <item x="727"/>
        <item x="1710"/>
        <item x="671"/>
        <item x="31"/>
        <item x="1008"/>
        <item x="316"/>
        <item x="15"/>
        <item x="145"/>
        <item x="1962"/>
        <item x="41"/>
        <item x="1891"/>
        <item x="617"/>
        <item x="1220"/>
        <item x="1472"/>
        <item x="730"/>
        <item x="1214"/>
        <item x="214"/>
        <item x="517"/>
        <item x="631"/>
        <item x="1619"/>
        <item x="1418"/>
        <item x="1189"/>
        <item x="1976"/>
        <item x="1719"/>
        <item x="1080"/>
        <item x="685"/>
        <item x="843"/>
        <item x="838"/>
        <item x="1583"/>
        <item x="1000"/>
        <item x="1588"/>
        <item x="479"/>
        <item x="1488"/>
        <item x="1003"/>
        <item x="2002"/>
        <item x="610"/>
        <item x="1679"/>
        <item x="977"/>
        <item x="1412"/>
        <item x="1965"/>
        <item x="1054"/>
        <item x="835"/>
        <item x="144"/>
        <item x="1022"/>
        <item x="1818"/>
        <item x="849"/>
        <item x="411"/>
        <item x="410"/>
        <item x="1765"/>
        <item x="1876"/>
        <item x="744"/>
        <item x="1170"/>
        <item x="920"/>
        <item x="360"/>
        <item x="1121"/>
        <item x="253"/>
        <item x="543"/>
        <item x="215"/>
        <item x="847"/>
        <item x="863"/>
        <item x="1254"/>
        <item x="1471"/>
        <item x="202"/>
        <item x="146"/>
        <item x="1883"/>
        <item x="1987"/>
        <item x="1796"/>
        <item x="1317"/>
        <item x="426"/>
        <item x="1096"/>
        <item x="1071"/>
        <item x="551"/>
        <item x="2000"/>
        <item x="430"/>
        <item x="1771"/>
        <item x="1542"/>
        <item x="224"/>
        <item x="1440"/>
        <item x="1434"/>
        <item x="36"/>
        <item x="1775"/>
        <item x="690"/>
        <item x="711"/>
        <item x="1612"/>
        <item x="1035"/>
        <item x="243"/>
        <item x="345"/>
        <item x="1774"/>
        <item x="984"/>
        <item x="1644"/>
        <item x="117"/>
        <item x="1382"/>
        <item x="539"/>
        <item x="779"/>
        <item x="1546"/>
        <item x="1737"/>
        <item x="1763"/>
        <item x="1336"/>
        <item x="882"/>
        <item x="1920"/>
        <item x="1699"/>
        <item x="1328"/>
        <item x="1692"/>
        <item x="254"/>
        <item x="1853"/>
        <item x="481"/>
        <item x="1652"/>
        <item x="199"/>
        <item x="300"/>
        <item x="134"/>
        <item x="1135"/>
        <item x="1226"/>
        <item x="303"/>
        <item x="1960"/>
        <item x="1193"/>
        <item x="512"/>
        <item x="302"/>
        <item x="716"/>
        <item x="400"/>
        <item x="1368"/>
        <item x="1356"/>
        <item x="839"/>
        <item x="1277"/>
        <item x="1449"/>
        <item x="887"/>
        <item x="328"/>
        <item x="1905"/>
        <item x="1685"/>
        <item x="1657"/>
        <item x="1242"/>
        <item x="227"/>
        <item x="1964"/>
        <item x="480"/>
        <item x="764"/>
        <item x="327"/>
        <item x="1432"/>
        <item x="1829"/>
        <item x="1145"/>
        <item x="18"/>
        <item x="207"/>
        <item x="511"/>
        <item x="1079"/>
        <item x="625"/>
        <item x="957"/>
        <item x="1812"/>
        <item x="1665"/>
        <item x="642"/>
        <item x="1455"/>
        <item x="1724"/>
        <item x="1999"/>
        <item x="669"/>
        <item x="415"/>
        <item x="1734"/>
        <item x="148"/>
        <item x="333"/>
        <item x="28"/>
        <item x="772"/>
        <item x="1445"/>
        <item x="233"/>
        <item x="232"/>
        <item x="998"/>
        <item x="162"/>
        <item x="1735"/>
        <item x="1027"/>
        <item x="1049"/>
        <item x="1998"/>
        <item x="231"/>
        <item x="605"/>
        <item x="1640"/>
        <item x="1191"/>
        <item x="158"/>
        <item x="1448"/>
        <item x="1487"/>
        <item x="1607"/>
        <item x="203"/>
        <item x="714"/>
        <item x="1452"/>
        <item x="976"/>
        <item x="856"/>
        <item x="648"/>
        <item x="1745"/>
        <item x="213"/>
        <item x="259"/>
        <item x="1746"/>
        <item x="187"/>
        <item x="181"/>
        <item x="1238"/>
        <item x="529"/>
        <item x="138"/>
        <item x="397"/>
        <item x="991"/>
        <item x="1427"/>
        <item x="1140"/>
        <item x="1249"/>
        <item x="462"/>
        <item x="1247"/>
        <item x="1215"/>
        <item x="1910"/>
        <item x="1172"/>
        <item x="1979"/>
        <item x="1530"/>
        <item x="1433"/>
        <item x="962"/>
        <item x="306"/>
        <item x="774"/>
        <item x="1753"/>
        <item x="498"/>
        <item x="728"/>
        <item x="1675"/>
        <item x="1269"/>
        <item x="781"/>
        <item x="484"/>
        <item x="1009"/>
        <item x="846"/>
        <item x="589"/>
        <item x="1124"/>
        <item x="206"/>
        <item x="1720"/>
        <item x="935"/>
        <item x="1736"/>
        <item x="82"/>
        <item x="1457"/>
        <item x="924"/>
        <item x="1441"/>
        <item x="418"/>
        <item x="347"/>
        <item x="951"/>
        <item x="119"/>
        <item x="1728"/>
        <item x="577"/>
        <item x="157"/>
        <item x="1244"/>
        <item x="132"/>
        <item x="705"/>
        <item x="1475"/>
        <item x="1918"/>
        <item x="1536"/>
        <item x="753"/>
        <item x="586"/>
        <item x="1329"/>
        <item x="43"/>
        <item x="1402"/>
        <item x="1180"/>
        <item x="696"/>
        <item x="876"/>
        <item x="1147"/>
        <item x="166"/>
        <item x="1952"/>
        <item x="584"/>
        <item x="1123"/>
        <item x="532"/>
        <item x="923"/>
        <item x="1807"/>
        <item x="34"/>
        <item x="869"/>
        <item x="467"/>
        <item x="1781"/>
        <item x="1383"/>
        <item x="1484"/>
        <item x="417"/>
        <item x="1879"/>
        <item x="680"/>
        <item x="1590"/>
        <item x="1314"/>
        <item x="136"/>
        <item x="1154"/>
        <item x="953"/>
        <item x="864"/>
        <item x="371"/>
        <item x="1302"/>
        <item x="49"/>
        <item x="444"/>
        <item x="1821"/>
        <item x="189"/>
        <item x="1575"/>
        <item x="848"/>
        <item x="1567"/>
        <item x="1688"/>
        <item x="369"/>
        <item x="649"/>
        <item x="1585"/>
        <item x="773"/>
        <item x="1287"/>
        <item x="1634"/>
        <item x="1730"/>
        <item x="1259"/>
        <item x="81"/>
        <item x="595"/>
        <item x="118"/>
        <item x="640"/>
        <item x="1159"/>
        <item x="817"/>
        <item x="1307"/>
        <item x="607"/>
        <item x="474"/>
        <item x="1040"/>
        <item x="575"/>
        <item x="915"/>
        <item x="599"/>
        <item x="1407"/>
        <item x="1073"/>
        <item x="1711"/>
        <item x="1020"/>
        <item x="1099"/>
        <item x="1002"/>
        <item x="1031"/>
        <item x="1991"/>
        <item x="29"/>
        <item x="342"/>
        <item x="477"/>
        <item x="759"/>
        <item x="578"/>
        <item x="1524"/>
        <item x="1653"/>
        <item x="537"/>
        <item x="903"/>
        <item x="1463"/>
        <item x="1762"/>
        <item x="573"/>
        <item x="1908"/>
        <item x="969"/>
        <item x="1756"/>
        <item x="1429"/>
        <item x="1925"/>
        <item x="965"/>
        <item x="1311"/>
        <item x="1856"/>
        <item x="1024"/>
        <item x="1032"/>
        <item x="681"/>
        <item x="1586"/>
        <item x="528"/>
        <item x="2001"/>
        <item x="1005"/>
        <item x="1893"/>
        <item x="386"/>
        <item x="594"/>
        <item x="391"/>
        <item x="423"/>
        <item x="782"/>
        <item x="1255"/>
        <item x="1954"/>
        <item x="457"/>
        <item x="228"/>
        <item x="622"/>
        <item x="1932"/>
        <item x="1718"/>
        <item x="177"/>
        <item x="1550"/>
        <item x="438"/>
        <item x="1972"/>
        <item x="1902"/>
        <item x="1534"/>
        <item x="1053"/>
        <item x="1298"/>
        <item x="1708"/>
        <item x="424"/>
        <item x="1312"/>
        <item x="547"/>
        <item x="1609"/>
        <item x="137"/>
        <item x="1231"/>
        <item x="668"/>
        <item x="629"/>
        <item x="739"/>
        <item x="1773"/>
        <item x="1229"/>
        <item x="287"/>
        <item x="1419"/>
        <item x="889"/>
        <item x="958"/>
        <item x="1380"/>
        <item x="447"/>
        <item x="412"/>
        <item x="633"/>
        <item x="1267"/>
        <item x="290"/>
        <item x="1286"/>
        <item x="1209"/>
        <item x="1750"/>
        <item x="240"/>
        <item x="824"/>
        <item x="230"/>
        <item x="349"/>
        <item x="1544"/>
        <item x="1814"/>
        <item x="1210"/>
        <item x="569"/>
        <item x="182"/>
        <item x="195"/>
        <item x="1083"/>
        <item x="377"/>
        <item x="385"/>
        <item x="1233"/>
        <item x="1097"/>
        <item x="507"/>
        <item x="961"/>
        <item x="1305"/>
        <item x="1342"/>
        <item x="1326"/>
        <item x="475"/>
        <item x="379"/>
        <item x="579"/>
        <item x="169"/>
        <item x="443"/>
        <item x="1898"/>
        <item x="1279"/>
        <item x="1589"/>
        <item x="1085"/>
        <item x="1924"/>
        <item x="1915"/>
        <item x="926"/>
        <item x="1137"/>
        <item x="264"/>
        <item x="1018"/>
        <item x="1347"/>
        <item x="717"/>
        <item x="1179"/>
        <item x="1669"/>
        <item x="1556"/>
        <item x="1290"/>
        <item x="678"/>
        <item x="461"/>
        <item x="1759"/>
        <item x="1783"/>
        <item x="1297"/>
        <item x="489"/>
        <item x="54"/>
        <item x="960"/>
        <item x="1919"/>
        <item x="135"/>
        <item x="27"/>
        <item x="1969"/>
        <item x="59"/>
        <item x="893"/>
        <item x="1352"/>
        <item x="1514"/>
        <item x="1597"/>
        <item x="1892"/>
        <item x="919"/>
        <item x="1280"/>
        <item x="647"/>
        <item x="1034"/>
        <item x="1555"/>
        <item x="1353"/>
        <item x="1521"/>
        <item x="1300"/>
        <item x="1038"/>
        <item x="160"/>
        <item x="732"/>
        <item x="1985"/>
        <item x="338"/>
        <item x="454"/>
        <item x="170"/>
        <item x="1648"/>
        <item x="1075"/>
        <item x="60"/>
        <item x="450"/>
        <item x="686"/>
        <item x="1779"/>
        <item x="106"/>
        <item x="726"/>
        <item x="47"/>
        <item x="1338"/>
        <item x="16"/>
        <item x="857"/>
        <item x="1996"/>
        <item x="354"/>
        <item x="1241"/>
        <item x="311"/>
        <item x="836"/>
        <item x="1033"/>
        <item x="784"/>
        <item x="497"/>
        <item x="1520"/>
        <item x="486"/>
        <item x="776"/>
        <item x="755"/>
        <item x="1065"/>
        <item x="1764"/>
        <item x="658"/>
        <item x="1961"/>
        <item x="1946"/>
        <item x="196"/>
        <item x="1649"/>
        <item x="1873"/>
        <item x="1930"/>
        <item x="211"/>
        <item x="742"/>
        <item x="307"/>
        <item x="1256"/>
        <item x="1754"/>
        <item x="1760"/>
        <item x="1671"/>
        <item x="1093"/>
        <item x="822"/>
        <item x="1846"/>
        <item x="749"/>
        <item x="852"/>
        <item x="796"/>
        <item x="57"/>
        <item x="1990"/>
        <item x="283"/>
        <item x="1695"/>
        <item x="434"/>
        <item x="704"/>
        <item x="1205"/>
        <item x="1424"/>
        <item x="12"/>
        <item x="1017"/>
        <item x="1723"/>
        <item x="1956"/>
        <item x="794"/>
        <item x="994"/>
        <item x="390"/>
        <item x="1266"/>
        <item x="1595"/>
        <item x="805"/>
        <item x="818"/>
        <item x="1683"/>
        <item x="392"/>
        <item x="1012"/>
        <item x="1532"/>
        <item x="163"/>
        <item x="1503"/>
        <item x="185"/>
        <item x="1262"/>
        <item x="394"/>
        <item x="258"/>
        <item x="1584"/>
        <item x="1173"/>
        <item x="840"/>
        <item x="334"/>
        <item x="737"/>
        <item x="1903"/>
        <item x="1043"/>
        <item x="277"/>
        <item x="140"/>
        <item x="968"/>
        <item x="1403"/>
        <item x="1830"/>
        <item x="1929"/>
        <item x="1909"/>
        <item x="827"/>
        <item x="1258"/>
        <item x="1561"/>
        <item x="362"/>
        <item x="1921"/>
        <item x="1319"/>
        <item x="313"/>
        <item x="464"/>
        <item x="1310"/>
        <item x="723"/>
        <item x="364"/>
        <item x="44"/>
        <item x="1568"/>
        <item x="383"/>
        <item x="1966"/>
        <item x="1136"/>
        <item x="353"/>
        <item x="1696"/>
        <item x="308"/>
        <item x="850"/>
        <item x="1777"/>
        <item x="1074"/>
        <item x="508"/>
        <item x="1884"/>
        <item x="48"/>
        <item x="612"/>
        <item x="793"/>
        <item x="1131"/>
        <item x="217"/>
        <item x="1747"/>
        <item x="620"/>
        <item x="771"/>
        <item x="460"/>
        <item x="116"/>
        <item x="1327"/>
        <item x="1581"/>
        <item x="653"/>
        <item x="1495"/>
        <item x="1028"/>
        <item x="152"/>
        <item x="1499"/>
        <item x="775"/>
        <item x="1446"/>
        <item x="1369"/>
        <item x="1148"/>
        <item x="1650"/>
        <item x="621"/>
        <item x="1485"/>
        <item x="1218"/>
        <item x="1291"/>
        <item x="1464"/>
        <item x="1060"/>
        <item x="1703"/>
        <item x="591"/>
        <item x="778"/>
        <item x="1835"/>
        <item x="1687"/>
        <item x="89"/>
        <item x="1459"/>
        <item x="491"/>
        <item x="123"/>
        <item x="1162"/>
        <item x="944"/>
        <item x="1358"/>
        <item x="1709"/>
        <item x="1885"/>
        <item x="111"/>
        <item x="1127"/>
        <item x="738"/>
        <item x="344"/>
        <item x="1949"/>
        <item x="654"/>
        <item x="807"/>
        <item x="564"/>
        <item x="1538"/>
        <item x="1115"/>
        <item x="1778"/>
        <item x="901"/>
        <item x="806"/>
        <item x="952"/>
        <item x="1132"/>
        <item x="904"/>
        <item x="265"/>
        <item x="1416"/>
        <item x="1655"/>
        <item x="1823"/>
        <item x="1704"/>
        <item x="1690"/>
        <item x="783"/>
        <item x="1467"/>
        <item x="114"/>
        <item x="735"/>
        <item x="895"/>
        <item x="751"/>
        <item x="630"/>
        <item x="1837"/>
        <item x="1733"/>
        <item x="291"/>
        <item x="1896"/>
        <item x="1610"/>
        <item x="482"/>
        <item x="92"/>
        <item x="1253"/>
        <item x="1299"/>
        <item x="1565"/>
        <item x="1900"/>
        <item x="309"/>
        <item x="1843"/>
        <item x="521"/>
        <item x="436"/>
        <item x="538"/>
        <item x="1661"/>
        <item x="519"/>
        <item x="1983"/>
        <item x="922"/>
        <item x="1537"/>
        <item x="1943"/>
        <item x="432"/>
        <item x="1057"/>
        <item x="760"/>
        <item x="1289"/>
        <item x="1684"/>
        <item x="66"/>
        <item x="70"/>
        <item x="1114"/>
        <item x="473"/>
        <item x="125"/>
        <item x="1293"/>
        <item x="567"/>
        <item x="798"/>
        <item x="1204"/>
        <item x="1766"/>
        <item x="314"/>
        <item x="884"/>
        <item x="1465"/>
        <item x="643"/>
        <item x="1729"/>
        <item x="286"/>
        <item x="1235"/>
        <item x="740"/>
        <item x="731"/>
        <item x="585"/>
        <item x="1863"/>
        <item x="496"/>
        <item x="1355"/>
        <item x="803"/>
        <item x="1939"/>
        <item x="124"/>
        <item x="250"/>
        <item x="1852"/>
        <item x="533"/>
        <item x="1899"/>
        <item x="581"/>
        <item x="1261"/>
        <item x="121"/>
        <item x="997"/>
        <item x="1922"/>
        <item x="1992"/>
        <item x="1435"/>
        <item x="982"/>
        <item x="1116"/>
        <item x="1911"/>
        <item x="437"/>
        <item x="1275"/>
        <item x="99"/>
        <item x="1095"/>
        <item x="1406"/>
        <item x="58"/>
        <item x="1897"/>
        <item x="1792"/>
        <item x="1914"/>
        <item x="1995"/>
        <item x="1851"/>
        <item x="1466"/>
        <item x="1387"/>
        <item x="561"/>
        <item x="888"/>
        <item x="1958"/>
        <item x="1861"/>
        <item x="560"/>
        <item x="800"/>
        <item x="1089"/>
        <item x="1153"/>
        <item x="1320"/>
        <item x="395"/>
        <item x="985"/>
        <item x="1872"/>
        <item x="317"/>
        <item x="1804"/>
        <item x="797"/>
        <item x="1702"/>
        <item x="747"/>
        <item x="1839"/>
        <item x="1339"/>
        <item x="886"/>
        <item x="1615"/>
        <item x="1252"/>
        <item x="1144"/>
        <item x="978"/>
        <item x="1866"/>
        <item x="1828"/>
        <item x="1498"/>
        <item x="765"/>
        <item x="1354"/>
        <item x="367"/>
        <item x="104"/>
        <item x="570"/>
        <item x="384"/>
        <item x="312"/>
        <item x="966"/>
        <item x="1973"/>
        <item x="1350"/>
        <item x="1623"/>
        <item x="1313"/>
        <item x="1346"/>
        <item x="954"/>
        <item x="74"/>
        <item x="1345"/>
        <item x="1077"/>
        <item x="46"/>
        <item x="692"/>
        <item x="515"/>
        <item x="1257"/>
        <item x="1651"/>
        <item x="1264"/>
        <item x="530"/>
        <item x="244"/>
        <item x="556"/>
        <item x="1186"/>
        <item x="1010"/>
        <item x="1639"/>
        <item x="758"/>
        <item x="1815"/>
        <item x="87"/>
        <item x="1337"/>
        <item x="867"/>
        <item x="910"/>
        <item x="1413"/>
        <item x="363"/>
        <item x="159"/>
        <item x="1197"/>
        <item x="1678"/>
        <item x="17"/>
        <item x="1481"/>
        <item x="452"/>
        <item x="536"/>
        <item x="205"/>
        <item x="382"/>
        <item x="684"/>
        <item x="553"/>
        <item x="1917"/>
        <item x="693"/>
        <item x="1207"/>
        <item x="1139"/>
        <item x="76"/>
        <item x="525"/>
        <item x="1409"/>
        <item x="554"/>
        <item x="330"/>
        <item x="208"/>
        <item x="1632"/>
        <item x="332"/>
        <item x="1332"/>
        <item x="1379"/>
        <item x="1322"/>
        <item x="404"/>
        <item x="1799"/>
        <item x="1421"/>
        <item x="1740"/>
        <item x="912"/>
        <item x="431"/>
        <item x="1963"/>
        <item x="368"/>
        <item x="819"/>
        <item x="80"/>
        <item x="1187"/>
        <item x="1794"/>
        <item x="1743"/>
        <item x="907"/>
        <item x="842"/>
        <item x="375"/>
        <item x="64"/>
        <item x="1175"/>
        <item x="1399"/>
        <item x="1541"/>
        <item x="1630"/>
        <item x="813"/>
        <item x="1292"/>
        <item x="1285"/>
        <item x="402"/>
        <item x="1628"/>
        <item x="506"/>
        <item x="1787"/>
        <item x="1177"/>
        <item x="1288"/>
        <item x="1240"/>
        <item x="1617"/>
        <item x="933"/>
        <item x="1370"/>
        <item x="1822"/>
        <item x="1742"/>
        <item x="1562"/>
        <item x="239"/>
        <item x="141"/>
        <item x="1462"/>
        <item x="860"/>
        <item x="1084"/>
        <item x="777"/>
        <item x="1510"/>
        <item x="1570"/>
        <item x="1945"/>
        <item x="1693"/>
        <item x="1351"/>
        <item x="565"/>
        <item x="1272"/>
        <item x="1916"/>
        <item x="1986"/>
        <item x="505"/>
        <item x="1518"/>
        <item x="275"/>
        <item x="972"/>
        <item x="572"/>
        <item x="940"/>
        <item x="1509"/>
        <item x="255"/>
        <item x="102"/>
        <item x="1015"/>
        <item x="194"/>
        <item x="439"/>
        <item x="1019"/>
        <item x="995"/>
        <item x="659"/>
        <item x="1535"/>
        <item x="1857"/>
        <item x="110"/>
        <item x="540"/>
        <item x="1098"/>
        <item x="1592"/>
        <item x="1689"/>
        <item x="288"/>
        <item x="270"/>
        <item x="1614"/>
        <item x="725"/>
        <item x="1522"/>
        <item x="1397"/>
        <item x="75"/>
        <item x="1944"/>
        <item x="1219"/>
        <item x="401"/>
        <item x="1767"/>
        <item x="741"/>
        <item x="1574"/>
        <item x="666"/>
        <item x="947"/>
        <item x="85"/>
        <item x="1343"/>
        <item x="1212"/>
        <item x="697"/>
        <item x="1110"/>
        <item x="9"/>
        <item x="1832"/>
        <item x="318"/>
        <item x="492"/>
        <item x="1528"/>
        <item x="1895"/>
        <item x="1178"/>
        <item x="1978"/>
        <item x="646"/>
        <item x="456"/>
        <item x="754"/>
        <item x="949"/>
        <item x="1480"/>
        <item x="1271"/>
        <item x="1146"/>
        <item x="1141"/>
        <item x="1868"/>
        <item x="366"/>
        <item x="139"/>
        <item x="1461"/>
        <item x="1660"/>
        <item x="616"/>
        <item x="1120"/>
        <item x="323"/>
        <item x="1755"/>
        <item x="1323"/>
        <item x="1107"/>
        <item x="833"/>
        <item x="1591"/>
        <item x="956"/>
        <item x="524"/>
        <item x="322"/>
        <item x="1303"/>
        <item x="1425"/>
        <item x="1438"/>
        <item x="161"/>
        <item x="1112"/>
        <item x="967"/>
        <item x="1624"/>
        <item x="938"/>
        <item x="874"/>
        <item x="79"/>
        <item x="263"/>
        <item x="1788"/>
        <item x="687"/>
        <item x="38"/>
        <item x="729"/>
        <item x="718"/>
        <item x="1227"/>
        <item x="422"/>
        <item x="1501"/>
        <item x="321"/>
        <item x="1404"/>
        <item x="1700"/>
        <item x="1519"/>
        <item x="527"/>
        <item x="520"/>
        <item x="939"/>
        <item x="186"/>
        <item x="451"/>
        <item x="638"/>
        <item x="329"/>
        <item x="1805"/>
        <item x="440"/>
        <item x="499"/>
        <item x="352"/>
        <item x="1622"/>
        <item x="1540"/>
        <item x="1931"/>
        <item x="917"/>
        <item x="500"/>
        <item x="1222"/>
        <item x="992"/>
        <item x="1493"/>
        <item x="193"/>
        <item x="637"/>
        <item x="611"/>
        <item x="703"/>
        <item x="673"/>
        <item x="1334"/>
        <item x="1234"/>
        <item x="403"/>
        <item x="96"/>
        <item x="615"/>
        <item x="831"/>
        <item x="600"/>
        <item x="51"/>
        <item x="1045"/>
        <item x="262"/>
        <item x="768"/>
        <item x="712"/>
        <item x="1156"/>
        <item x="1070"/>
        <item x="679"/>
        <item x="469"/>
        <item x="748"/>
        <item x="1203"/>
        <item x="1564"/>
        <item x="1732"/>
        <item x="1662"/>
        <item x="236"/>
        <item x="1391"/>
        <item x="702"/>
        <item x="1489"/>
        <item x="821"/>
        <item x="1282"/>
        <item x="164"/>
        <item x="1026"/>
        <item x="84"/>
        <item x="963"/>
        <item x="126"/>
        <item x="1859"/>
        <item x="534"/>
        <item x="1087"/>
        <item x="1377"/>
        <item x="273"/>
        <item x="168"/>
        <item x="1160"/>
        <item x="855"/>
        <item x="1483"/>
        <item x="365"/>
        <item x="946"/>
        <item x="1333"/>
        <item x="1526"/>
        <item x="1635"/>
        <item x="1512"/>
        <item x="355"/>
        <item x="652"/>
        <item x="1316"/>
        <item x="1500"/>
        <item x="151"/>
        <item x="1867"/>
        <item x="785"/>
        <item x="1810"/>
        <item x="541"/>
        <item x="757"/>
        <item x="674"/>
        <item x="868"/>
        <item x="420"/>
        <item x="315"/>
        <item x="1697"/>
        <item x="1442"/>
        <item x="1376"/>
        <item x="1225"/>
        <item x="201"/>
        <item x="1645"/>
        <item x="468"/>
        <item x="101"/>
        <item x="1975"/>
        <item x="635"/>
        <item x="667"/>
        <item x="1128"/>
        <item x="934"/>
        <item x="279"/>
        <item x="1230"/>
        <item x="463"/>
        <item x="147"/>
        <item x="1912"/>
        <item x="1367"/>
        <item x="1447"/>
        <item x="871"/>
        <item x="1620"/>
        <item x="1496"/>
        <item x="52"/>
        <item x="69"/>
        <item x="677"/>
        <item x="790"/>
        <item x="370"/>
        <item x="1731"/>
        <item x="1656"/>
        <item x="1504"/>
        <item x="598"/>
        <item x="487"/>
        <item x="1039"/>
        <item x="358"/>
        <item x="568"/>
        <item x="331"/>
        <item x="672"/>
        <item x="1993"/>
        <item x="107"/>
        <item x="483"/>
        <item x="449"/>
        <item x="1739"/>
        <item x="1151"/>
        <item x="989"/>
        <item x="1078"/>
        <item x="513"/>
        <item x="408"/>
        <item x="22"/>
        <item x="964"/>
        <item x="1686"/>
        <item x="1563"/>
        <item x="1531"/>
        <item x="905"/>
        <item x="788"/>
        <item x="544"/>
        <item x="988"/>
        <item x="928"/>
        <item x="655"/>
        <item x="1927"/>
        <item x="1263"/>
        <item x="531"/>
        <item x="719"/>
        <item x="1152"/>
        <item x="1984"/>
        <item x="986"/>
        <item x="45"/>
        <item x="154"/>
        <item x="675"/>
        <item x="1950"/>
        <item x="1527"/>
        <item x="801"/>
        <item x="359"/>
        <item x="1641"/>
        <item x="1309"/>
        <item x="1705"/>
        <item x="1395"/>
        <item x="733"/>
        <item x="1928"/>
        <item x="242"/>
        <item x="812"/>
        <item x="1881"/>
        <item x="351"/>
        <item x="1691"/>
        <item x="83"/>
        <item x="1349"/>
        <item x="795"/>
        <item x="1436"/>
        <item x="414"/>
        <item x="326"/>
        <item x="1833"/>
        <item x="295"/>
        <item x="1886"/>
        <item x="128"/>
        <item x="1450"/>
        <item x="1744"/>
        <item x="662"/>
        <item x="523"/>
        <item x="1023"/>
        <item x="381"/>
        <item x="1749"/>
        <item x="518"/>
        <item x="724"/>
        <item x="459"/>
        <item x="1410"/>
        <item x="1223"/>
        <item x="115"/>
        <item x="222"/>
        <item x="2"/>
        <item x="1913"/>
        <item x="689"/>
        <item x="1803"/>
        <item x="78"/>
        <item x="504"/>
        <item x="1594"/>
        <item x="916"/>
        <item x="1046"/>
        <item x="1094"/>
        <item x="393"/>
        <item x="1014"/>
        <item x="1854"/>
        <item x="590"/>
        <item x="1776"/>
        <item x="1566"/>
        <item x="1265"/>
        <item x="1625"/>
        <item x="1408"/>
        <item x="834"/>
        <item x="103"/>
        <item x="1183"/>
        <item x="1967"/>
        <item x="1497"/>
        <item x="865"/>
        <item x="746"/>
        <item x="987"/>
        <item x="1063"/>
        <item x="274"/>
        <item x="1"/>
        <item x="1680"/>
        <item x="266"/>
        <item x="808"/>
        <item x="1004"/>
        <item x="1554"/>
        <item x="1608"/>
        <item x="226"/>
        <item x="1549"/>
        <item x="1381"/>
        <item x="267"/>
        <item x="1576"/>
        <item x="1198"/>
        <item x="1006"/>
        <item x="1184"/>
        <item x="339"/>
        <item x="1250"/>
        <item x="1633"/>
        <item x="293"/>
        <item x="1878"/>
        <item x="1190"/>
        <item x="1248"/>
        <item x="1021"/>
        <item x="1443"/>
        <item x="1600"/>
        <item x="235"/>
        <item x="4"/>
        <item x="811"/>
        <item x="376"/>
        <item x="156"/>
        <item x="1957"/>
        <item x="470"/>
        <item x="694"/>
        <item x="1393"/>
        <item x="1727"/>
        <item x="574"/>
        <item x="1122"/>
        <item x="999"/>
        <item x="937"/>
        <item x="1196"/>
        <item x="1875"/>
        <item x="699"/>
        <item x="478"/>
        <item x="501"/>
        <item x="425"/>
        <item x="1149"/>
        <item x="1365"/>
        <item x="324"/>
        <item x="955"/>
        <item x="1937"/>
        <item x="1809"/>
        <item x="26"/>
        <item x="791"/>
        <item x="1109"/>
        <item x="1789"/>
        <item x="2003"/>
        <item x="1081"/>
        <item x="167"/>
        <item x="348"/>
        <item x="588"/>
        <item x="1048"/>
        <item x="1195"/>
        <item x="844"/>
        <item x="1318"/>
        <item x="1474"/>
        <item x="1331"/>
        <item x="1174"/>
        <item x="1840"/>
        <item x="1841"/>
        <item x="1621"/>
        <item x="613"/>
        <item x="1029"/>
        <item x="1200"/>
        <item x="63"/>
        <item x="535"/>
        <item x="71"/>
        <item x="810"/>
        <item x="1516"/>
        <item x="1860"/>
        <item x="1431"/>
        <item x="1605"/>
        <item x="1827"/>
        <item x="1847"/>
        <item x="780"/>
        <item x="1545"/>
        <item x="1082"/>
        <item x="67"/>
        <item x="1994"/>
        <item x="1011"/>
        <item x="171"/>
        <item x="218"/>
        <item x="645"/>
        <item x="42"/>
        <item x="708"/>
        <item x="357"/>
        <item x="1201"/>
        <item x="1552"/>
        <item x="1041"/>
        <item x="1904"/>
        <item x="485"/>
        <item x="603"/>
        <item x="281"/>
        <item x="1478"/>
        <item x="661"/>
        <item x="682"/>
        <item x="676"/>
        <item x="1869"/>
        <item x="628"/>
        <item x="636"/>
        <item x="1838"/>
        <item x="829"/>
        <item x="837"/>
        <item x="1101"/>
        <item x="1953"/>
        <item x="1143"/>
        <item x="552"/>
        <item x="471"/>
        <item x="1819"/>
        <item x="298"/>
        <item x="980"/>
        <item x="913"/>
        <item x="1726"/>
        <item x="1663"/>
        <item x="476"/>
        <item x="1772"/>
        <item x="374"/>
        <item x="900"/>
        <item x="1547"/>
        <item x="826"/>
        <item x="745"/>
        <item x="878"/>
        <item x="23"/>
        <item x="1802"/>
        <item x="1647"/>
        <item x="1572"/>
        <item x="1848"/>
        <item x="502"/>
        <item x="1061"/>
        <item x="1091"/>
        <item x="175"/>
        <item x="1725"/>
        <item x="122"/>
        <item x="688"/>
        <item x="1981"/>
        <item x="1224"/>
        <item x="1596"/>
        <item x="55"/>
        <item x="618"/>
        <item x="925"/>
        <item x="971"/>
        <item x="550"/>
        <item x="14"/>
        <item x="1616"/>
        <item x="272"/>
        <item x="1529"/>
        <item x="299"/>
        <item x="1721"/>
        <item x="1970"/>
        <item x="241"/>
        <item x="53"/>
        <item x="1108"/>
        <item x="542"/>
        <item x="1982"/>
        <item x="1790"/>
        <item x="1748"/>
        <item x="1800"/>
        <item x="1670"/>
        <item x="908"/>
        <item x="1037"/>
        <item x="1870"/>
        <item x="198"/>
        <item x="799"/>
        <item x="448"/>
        <item x="62"/>
        <item x="1613"/>
        <item x="1646"/>
        <item x="1806"/>
        <item x="973"/>
        <item x="1055"/>
        <item x="210"/>
        <item x="1716"/>
        <item x="1855"/>
        <item x="341"/>
        <item x="1415"/>
        <item x="1456"/>
        <item x="789"/>
        <item x="601"/>
        <item x="1598"/>
        <item x="522"/>
        <item x="120"/>
        <item x="1601"/>
        <item x="802"/>
        <item x="911"/>
        <item x="1667"/>
        <item x="1757"/>
        <item x="86"/>
        <item x="1321"/>
        <item x="881"/>
        <item x="1414"/>
        <item x="1066"/>
        <item x="1389"/>
        <item x="1941"/>
        <item x="918"/>
        <item x="1785"/>
        <item x="1492"/>
        <item x="380"/>
        <item x="174"/>
        <item x="1125"/>
        <item x="787"/>
        <item x="858"/>
        <item x="1824"/>
        <item x="1880"/>
        <item x="1849"/>
        <item x="1553"/>
        <item x="1069"/>
        <item x="896"/>
        <item x="514"/>
        <item x="609"/>
        <item x="1359"/>
        <item x="142"/>
        <item x="606"/>
        <item x="1717"/>
        <item x="851"/>
        <item x="545"/>
        <item x="1330"/>
        <item x="248"/>
        <item x="405"/>
        <item x="1871"/>
        <item x="1142"/>
        <item x="1825"/>
        <item x="1364"/>
        <item x="289"/>
        <item x="1578"/>
        <item x="845"/>
        <item x="413"/>
        <item x="1636"/>
        <item x="1906"/>
        <item x="1340"/>
        <item x="885"/>
        <item x="1604"/>
        <item x="1817"/>
        <item x="1396"/>
        <item x="562"/>
        <item x="641"/>
        <item x="435"/>
        <item x="1155"/>
        <item x="1360"/>
        <item x="892"/>
        <item x="1401"/>
        <item x="13"/>
        <item x="1579"/>
        <item x="1268"/>
        <item x="828"/>
        <item x="421"/>
        <item x="388"/>
        <item x="670"/>
        <item x="1543"/>
        <item x="656"/>
        <item x="183"/>
        <item x="1539"/>
        <item x="294"/>
        <item x="407"/>
        <item x="1086"/>
        <item x="1133"/>
        <item x="1001"/>
        <item x="1294"/>
        <item x="1513"/>
        <item x="225"/>
        <item x="1638"/>
        <item x="1111"/>
        <item x="1486"/>
        <item x="56"/>
        <item x="188"/>
        <item x="1092"/>
        <item x="580"/>
        <item x="1400"/>
        <item x="1185"/>
        <item x="260"/>
        <item x="1593"/>
        <item x="877"/>
        <item x="1714"/>
        <item x="602"/>
        <item x="763"/>
        <item x="898"/>
        <item x="1715"/>
        <item x="1199"/>
        <item x="1850"/>
        <item x="1681"/>
        <item x="1088"/>
        <item x="959"/>
        <item x="1942"/>
        <item x="95"/>
        <item x="1050"/>
        <item x="1348"/>
        <item x="453"/>
        <item x="1811"/>
        <item x="632"/>
        <item x="861"/>
        <item x="1217"/>
        <item x="626"/>
        <item x="1603"/>
        <item x="1508"/>
        <item x="619"/>
        <item x="297"/>
        <item x="343"/>
        <item x="1126"/>
        <item x="814"/>
        <item x="284"/>
        <item x="1423"/>
        <item x="503"/>
        <item x="458"/>
        <item x="1202"/>
        <item x="1698"/>
        <item x="1844"/>
        <item x="698"/>
        <item x="1047"/>
        <item x="548"/>
        <item x="94"/>
        <item x="1676"/>
        <item x="1168"/>
        <item x="559"/>
        <item x="40"/>
        <item x="1706"/>
        <item x="455"/>
        <item x="1062"/>
        <item x="1523"/>
        <item x="1479"/>
        <item x="88"/>
        <item x="246"/>
        <item x="1834"/>
        <item x="19"/>
        <item x="1216"/>
        <item x="1372"/>
        <item x="252"/>
        <item x="1068"/>
        <item x="1813"/>
        <item x="1874"/>
        <item x="608"/>
        <item x="820"/>
        <item x="269"/>
        <item x="130"/>
        <item x="767"/>
        <item x="305"/>
        <item x="1194"/>
        <item x="1306"/>
        <item x="356"/>
        <item x="1938"/>
        <item x="1301"/>
        <item x="1373"/>
        <item x="1573"/>
        <item x="319"/>
        <item x="906"/>
        <item x="1428"/>
        <item x="1664"/>
        <item x="1768"/>
        <item x="1113"/>
        <item x="1025"/>
        <item x="1221"/>
        <item x="378"/>
        <item x="1476"/>
        <item x="1007"/>
        <item x="1894"/>
        <item x="1158"/>
        <item x="1295"/>
        <item x="1816"/>
        <item x="180"/>
        <item x="209"/>
        <item x="10"/>
        <item x="488"/>
        <item x="105"/>
        <item x="1507"/>
        <item x="990"/>
        <item x="1437"/>
        <item x="1103"/>
        <item x="1169"/>
        <item x="1606"/>
        <item x="292"/>
        <item t="default"/>
      </items>
    </pivotField>
    <pivotField showAll="0"/>
    <pivotField showAll="0"/>
    <pivotField dataField="1" showAll="0"/>
    <pivotField axis="axisRow" showAll="0">
      <items count="11">
        <item sd="0" x="4"/>
        <item sd="0" x="1"/>
        <item sd="0" x="7"/>
        <item sd="0" x="8"/>
        <item sd="0" x="0"/>
        <item sd="0" x="6"/>
        <item sd="0" x="5"/>
        <item sd="0" x="2"/>
        <item sd="0" x="9"/>
        <item sd="0" x="3"/>
        <item t="default"/>
      </items>
    </pivotField>
    <pivotField showAll="0"/>
    <pivotField showAll="0"/>
    <pivotField dataField="1" showAll="0"/>
    <pivotField showAll="0">
      <items count="5">
        <item x="3"/>
        <item x="0"/>
        <item x="1"/>
        <item x="2"/>
        <item t="default"/>
      </items>
    </pivotField>
    <pivotField showAll="0"/>
  </pivotFields>
  <rowFields count="1">
    <field x="4"/>
  </rowFields>
  <rowItems count="11">
    <i>
      <x/>
    </i>
    <i>
      <x v="1"/>
    </i>
    <i>
      <x v="2"/>
    </i>
    <i>
      <x v="3"/>
    </i>
    <i>
      <x v="4"/>
    </i>
    <i>
      <x v="5"/>
    </i>
    <i>
      <x v="6"/>
    </i>
    <i>
      <x v="7"/>
    </i>
    <i>
      <x v="8"/>
    </i>
    <i>
      <x v="9"/>
    </i>
    <i t="grand">
      <x/>
    </i>
  </rowItems>
  <colFields count="1">
    <field x="-2"/>
  </colFields>
  <colItems count="2">
    <i>
      <x/>
    </i>
    <i i="1">
      <x v="1"/>
    </i>
  </colItems>
  <pageFields count="1">
    <pageField fld="0" hier="-1"/>
  </pageFields>
  <dataFields count="2">
    <dataField name="Count of Customer_ID" fld="3" subtotal="count" baseField="0" baseItem="0"/>
    <dataField name="Sum of Total_Revenue" fld="7" baseField="0" baseItem="0"/>
  </dataFields>
  <chartFormats count="2">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5D085D1-33FD-49B8-93D9-BC946A614D01}" name="PivotTable4"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B3:D8" firstHeaderRow="0" firstDataRow="1" firstDataCol="1"/>
  <pivotFields count="10">
    <pivotField showAll="0"/>
    <pivotField showAll="0"/>
    <pivotField showAll="0"/>
    <pivotField showAll="0"/>
    <pivotField dataField="1" showAll="0"/>
    <pivotField showAll="0"/>
    <pivotField showAll="0"/>
    <pivotField dataField="1" showAll="0"/>
    <pivotField axis="axisRow" showAll="0">
      <items count="5">
        <item x="3"/>
        <item x="0"/>
        <item x="1"/>
        <item x="2"/>
        <item t="default"/>
      </items>
    </pivotField>
    <pivotField showAll="0"/>
  </pivotFields>
  <rowFields count="1">
    <field x="8"/>
  </rowFields>
  <rowItems count="5">
    <i>
      <x/>
    </i>
    <i>
      <x v="1"/>
    </i>
    <i>
      <x v="2"/>
    </i>
    <i>
      <x v="3"/>
    </i>
    <i t="grand">
      <x/>
    </i>
  </rowItems>
  <colFields count="1">
    <field x="-2"/>
  </colFields>
  <colItems count="2">
    <i>
      <x/>
    </i>
    <i i="1">
      <x v="1"/>
    </i>
  </colItems>
  <dataFields count="2">
    <dataField name="Count of Product" fld="4" subtotal="count" baseField="0" baseItem="0"/>
    <dataField name="Sum of Total_Revenue" fld="7" baseField="0" baseItem="0"/>
  </dataFields>
  <chartFormats count="6">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19" format="2" series="1">
      <pivotArea type="data" outline="0" fieldPosition="0">
        <references count="1">
          <reference field="4294967294" count="1" selected="0">
            <x v="0"/>
          </reference>
        </references>
      </pivotArea>
    </chartFormat>
    <chartFormat chart="19" format="3" series="1">
      <pivotArea type="data" outline="0" fieldPosition="0">
        <references count="1">
          <reference field="4294967294" count="1" selected="0">
            <x v="1"/>
          </reference>
        </references>
      </pivotArea>
    </chartFormat>
    <chartFormat chart="20" format="4"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DF67E7E-29BF-49A0-832B-D3FB2947C819}" sourceName="Region">
  <pivotTables>
    <pivotTable tabId="5" name="PivotTable4"/>
  </pivotTables>
  <data>
    <tabular pivotCacheId="240399911">
      <items count="4">
        <i x="3"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22FFAD0F-E84F-49AC-9C0B-C52AA1A5407C}" sourceName="Region">
  <pivotTables>
    <pivotTable tabId="4" name="PivotTable3"/>
  </pivotTables>
  <data>
    <tabular pivotCacheId="240399911">
      <items count="4">
        <i x="3" s="1"/>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2" xr10:uid="{E114C856-396E-47FA-B0A5-1CB658EA8AE5}" sourceName="Region">
  <pivotTables>
    <pivotTable tabId="2" name="PivotTable1"/>
  </pivotTables>
  <data>
    <tabular pivotCacheId="240399911">
      <items count="4">
        <i x="3"/>
        <i x="0"/>
        <i x="1" s="1"/>
        <i x="2"/>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78DD3606-C0D7-443C-98AD-6CA5433CF920}" sourceName="Payment_Method">
  <pivotTables>
    <pivotTable tabId="2" name="PivotTable1"/>
  </pivotTables>
  <data>
    <tabular pivotCacheId="240399911">
      <items count="4">
        <i x="3" s="1"/>
        <i x="0" s="1"/>
        <i x="2"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E423B4AB-23BB-48FD-A258-CD93166CE4A0}" sourceName="Product">
  <pivotTables>
    <pivotTable tabId="3" name="PivotTable2"/>
  </pivotTables>
  <data>
    <tabular pivotCacheId="240399911">
      <items count="10">
        <i x="4"/>
        <i x="1"/>
        <i x="7"/>
        <i x="8"/>
        <i x="0"/>
        <i x="6" s="1"/>
        <i x="5" s="1"/>
        <i x="2" s="1"/>
        <i x="9"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75FCF1CF-A38A-4B11-9E94-687B43043632}" cache="Slicer_Region2" caption="Reg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4BB7EA38-F856-458D-9988-430CE82F7DBA}" cache="Slicer_Region1" caption="Region"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21C2181-B91C-4F44-9BAD-2B784C59BFBD}" cache="Slicer_Region" caption="Region"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3" xr10:uid="{326D01BB-E370-4B79-98E8-8405CBB43C2E}" cache="Slicer_Region" caption="Region" columnCount="4" rowHeight="241300"/>
  <slicer name="Payment_Method" xr10:uid="{5C8524CD-9E76-42DD-9CA6-82A3C1C7A83A}" cache="Slicer_Payment_Method" caption="Payment_Method" columnCount="4" rowHeight="241300"/>
  <slicer name="Product" xr10:uid="{245B04F6-4106-4194-8DE8-C1C5DFCC62F2}" cache="Slicer_Product" caption="Product" startItem="5" columnCount="5"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6147891-437B-4D89-B4CE-25C5A4CA4F4A}" name="Table1" displayName="Table1" ref="A1:J2005" totalsRowShown="0">
  <autoFilter ref="A1:J2005" xr:uid="{96147891-437B-4D89-B4CE-25C5A4CA4F4A}"/>
  <tableColumns count="10">
    <tableColumn id="1" xr3:uid="{7949EBDD-2534-4AC6-8128-107A860DB42E}" name="Order_ID"/>
    <tableColumn id="2" xr3:uid="{E930B6F3-A68D-499F-B0E9-365D16F741D9}" name="Order_Date"/>
    <tableColumn id="10" xr3:uid="{7F2A9767-6DC6-43E8-AB76-97460456FB22}" name=" Month" dataDxfId="0">
      <calculatedColumnFormula>TEXT(Table1[[#This Row],[Order_Date]],"mmm")</calculatedColumnFormula>
    </tableColumn>
    <tableColumn id="3" xr3:uid="{C14FFC57-BE4C-4445-9523-DB386AE51FA2}" name="Customer_ID"/>
    <tableColumn id="4" xr3:uid="{DA4AA000-D3BA-4844-B9AC-2D9634A5A45A}" name="Product"/>
    <tableColumn id="5" xr3:uid="{680465D9-9D78-4BD1-8787-EC3EA3E01EE9}" name="Units_Sold"/>
    <tableColumn id="6" xr3:uid="{50B2E0F0-4114-493A-824C-C6C0DCD31175}" name="Unit_Price"/>
    <tableColumn id="7" xr3:uid="{A6A0FB29-E38B-43AD-A807-7032DB89720E}" name="Total_Revenue"/>
    <tableColumn id="8" xr3:uid="{ED3946E2-99E3-4AAC-B99F-4A9AB635BFC4}" name="Region"/>
    <tableColumn id="9" xr3:uid="{CD9318F8-2A88-480F-86E9-CBB8F3FD63E7}" name="Payment_Method"/>
  </tableColumns>
  <tableStyleInfo name="TableStyleLight2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891BB9F-ABD8-4C9C-8F63-D4FD46C380A2}" name="Table2" displayName="Table2" ref="L3:M18" totalsRowShown="0" headerRowDxfId="1" dataDxfId="2" headerRowBorderDxfId="5" tableBorderDxfId="6">
  <autoFilter ref="L3:M18" xr:uid="{0891BB9F-ABD8-4C9C-8F63-D4FD46C380A2}"/>
  <tableColumns count="2">
    <tableColumn id="1" xr3:uid="{50960D0C-5758-4B34-830E-645172DE078B}" name="Column1" dataDxfId="4"/>
    <tableColumn id="2" xr3:uid="{B0D3EB37-FF12-4939-89FF-407A01F8A9DF}" name="Column2" dataDxfId="3"/>
  </tableColumns>
  <tableStyleInfo name="TableStyleMedium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C89D2-3124-480A-AB90-4AB23AF67C08}">
  <dimension ref="A3:B16"/>
  <sheetViews>
    <sheetView workbookViewId="0">
      <selection activeCell="F24" sqref="F24"/>
    </sheetView>
  </sheetViews>
  <sheetFormatPr defaultRowHeight="14.5" x14ac:dyDescent="0.35"/>
  <cols>
    <col min="1" max="1" width="12.36328125" bestFit="1" customWidth="1"/>
    <col min="2" max="2" width="16.08984375" bestFit="1" customWidth="1"/>
  </cols>
  <sheetData>
    <row r="3" spans="1:2" x14ac:dyDescent="0.35">
      <c r="A3" s="1" t="s">
        <v>4172</v>
      </c>
      <c r="B3" t="s">
        <v>4171</v>
      </c>
    </row>
    <row r="4" spans="1:2" x14ac:dyDescent="0.35">
      <c r="A4" s="2" t="s">
        <v>4195</v>
      </c>
      <c r="B4" s="4">
        <v>497</v>
      </c>
    </row>
    <row r="5" spans="1:2" x14ac:dyDescent="0.35">
      <c r="A5" s="2" t="s">
        <v>4196</v>
      </c>
      <c r="B5" s="4">
        <v>444</v>
      </c>
    </row>
    <row r="6" spans="1:2" x14ac:dyDescent="0.35">
      <c r="A6" s="2" t="s">
        <v>4197</v>
      </c>
      <c r="B6" s="4">
        <v>571</v>
      </c>
    </row>
    <row r="7" spans="1:2" x14ac:dyDescent="0.35">
      <c r="A7" s="2" t="s">
        <v>4198</v>
      </c>
      <c r="B7" s="4">
        <v>539</v>
      </c>
    </row>
    <row r="8" spans="1:2" x14ac:dyDescent="0.35">
      <c r="A8" s="2" t="s">
        <v>4199</v>
      </c>
      <c r="B8" s="4">
        <v>508</v>
      </c>
    </row>
    <row r="9" spans="1:2" x14ac:dyDescent="0.35">
      <c r="A9" s="2" t="s">
        <v>4200</v>
      </c>
      <c r="B9" s="4">
        <v>503</v>
      </c>
    </row>
    <row r="10" spans="1:2" x14ac:dyDescent="0.35">
      <c r="A10" s="2" t="s">
        <v>4201</v>
      </c>
      <c r="B10" s="4">
        <v>540</v>
      </c>
    </row>
    <row r="11" spans="1:2" x14ac:dyDescent="0.35">
      <c r="A11" s="2" t="s">
        <v>4202</v>
      </c>
      <c r="B11" s="4">
        <v>510</v>
      </c>
    </row>
    <row r="12" spans="1:2" x14ac:dyDescent="0.35">
      <c r="A12" s="2" t="s">
        <v>4203</v>
      </c>
      <c r="B12" s="4">
        <v>426</v>
      </c>
    </row>
    <row r="13" spans="1:2" x14ac:dyDescent="0.35">
      <c r="A13" s="2" t="s">
        <v>4204</v>
      </c>
      <c r="B13" s="4">
        <v>471</v>
      </c>
    </row>
    <row r="14" spans="1:2" x14ac:dyDescent="0.35">
      <c r="A14" s="2" t="s">
        <v>4205</v>
      </c>
      <c r="B14" s="4">
        <v>519</v>
      </c>
    </row>
    <row r="15" spans="1:2" x14ac:dyDescent="0.35">
      <c r="A15" s="2" t="s">
        <v>4206</v>
      </c>
      <c r="B15" s="4">
        <v>542</v>
      </c>
    </row>
    <row r="16" spans="1:2" x14ac:dyDescent="0.35">
      <c r="A16" s="2" t="s">
        <v>4173</v>
      </c>
      <c r="B16" s="4">
        <v>6070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005"/>
  <sheetViews>
    <sheetView topLeftCell="B1" workbookViewId="0">
      <selection activeCell="K19" sqref="K19"/>
    </sheetView>
  </sheetViews>
  <sheetFormatPr defaultRowHeight="14.5" x14ac:dyDescent="0.35"/>
  <cols>
    <col min="1" max="1" width="14.08984375" bestFit="1" customWidth="1"/>
    <col min="2" max="2" width="13" bestFit="1" customWidth="1"/>
    <col min="3" max="3" width="10.54296875" bestFit="1" customWidth="1"/>
    <col min="4" max="4" width="14.08984375" bestFit="1" customWidth="1"/>
    <col min="5" max="5" width="11.36328125" bestFit="1" customWidth="1"/>
    <col min="6" max="6" width="12" bestFit="1" customWidth="1"/>
    <col min="7" max="7" width="11.7265625" bestFit="1" customWidth="1"/>
    <col min="8" max="8" width="15.6328125" bestFit="1" customWidth="1"/>
    <col min="9" max="9" width="8.7265625" bestFit="1" customWidth="1"/>
    <col min="10" max="10" width="18.36328125" bestFit="1" customWidth="1"/>
    <col min="11" max="11" width="14.36328125" customWidth="1"/>
    <col min="12" max="12" width="16.81640625" bestFit="1" customWidth="1"/>
    <col min="13" max="13" width="12.453125" bestFit="1" customWidth="1"/>
  </cols>
  <sheetData>
    <row r="1" spans="1:13" x14ac:dyDescent="0.35">
      <c r="A1" t="s">
        <v>0</v>
      </c>
      <c r="B1" t="s">
        <v>1</v>
      </c>
      <c r="C1" t="s">
        <v>4194</v>
      </c>
      <c r="D1" t="s">
        <v>2</v>
      </c>
      <c r="E1" t="s">
        <v>3</v>
      </c>
      <c r="F1" t="s">
        <v>4</v>
      </c>
      <c r="G1" t="s">
        <v>5</v>
      </c>
      <c r="H1" t="s">
        <v>6</v>
      </c>
      <c r="I1" t="s">
        <v>7</v>
      </c>
      <c r="J1" t="s">
        <v>8</v>
      </c>
    </row>
    <row r="2" spans="1:13" x14ac:dyDescent="0.35">
      <c r="A2" t="s">
        <v>9</v>
      </c>
      <c r="B2" t="s">
        <v>10</v>
      </c>
      <c r="C2" t="str">
        <f>TEXT(Table1[[#This Row],[Order_Date]],"mmm")</f>
        <v>Jan</v>
      </c>
      <c r="D2" t="s">
        <v>11</v>
      </c>
      <c r="E2" t="s">
        <v>12</v>
      </c>
      <c r="F2">
        <v>1</v>
      </c>
      <c r="G2">
        <v>21690.49</v>
      </c>
      <c r="H2">
        <v>21690.49</v>
      </c>
      <c r="I2" t="s">
        <v>13</v>
      </c>
      <c r="J2" t="s">
        <v>14</v>
      </c>
    </row>
    <row r="3" spans="1:13" ht="15" thickBot="1" x14ac:dyDescent="0.4">
      <c r="A3" t="s">
        <v>15</v>
      </c>
      <c r="B3" t="s">
        <v>10</v>
      </c>
      <c r="C3" t="str">
        <f>TEXT(Table1[[#This Row],[Order_Date]],"mmm")</f>
        <v>Jan</v>
      </c>
      <c r="D3" t="s">
        <v>16</v>
      </c>
      <c r="E3" t="s">
        <v>17</v>
      </c>
      <c r="F3">
        <v>1</v>
      </c>
      <c r="G3">
        <v>44636.91</v>
      </c>
      <c r="H3">
        <v>44636.91</v>
      </c>
      <c r="I3" t="s">
        <v>18</v>
      </c>
      <c r="J3" t="s">
        <v>19</v>
      </c>
      <c r="L3" s="7" t="s">
        <v>4179</v>
      </c>
      <c r="M3" s="7" t="s">
        <v>4193</v>
      </c>
    </row>
    <row r="4" spans="1:13" x14ac:dyDescent="0.35">
      <c r="A4" t="s">
        <v>20</v>
      </c>
      <c r="B4" t="s">
        <v>10</v>
      </c>
      <c r="C4" t="str">
        <f>TEXT(Table1[[#This Row],[Order_Date]],"mmm")</f>
        <v>Jan</v>
      </c>
      <c r="D4" t="s">
        <v>21</v>
      </c>
      <c r="E4" t="s">
        <v>22</v>
      </c>
      <c r="F4">
        <v>5</v>
      </c>
      <c r="G4">
        <v>45119.3</v>
      </c>
      <c r="H4">
        <v>225596.5</v>
      </c>
      <c r="I4" t="s">
        <v>23</v>
      </c>
      <c r="J4" t="s">
        <v>24</v>
      </c>
      <c r="L4" s="6" t="s">
        <v>4179</v>
      </c>
      <c r="M4" s="6"/>
    </row>
    <row r="5" spans="1:13" x14ac:dyDescent="0.35">
      <c r="A5" t="s">
        <v>25</v>
      </c>
      <c r="B5" t="s">
        <v>10</v>
      </c>
      <c r="C5" t="str">
        <f>TEXT(Table1[[#This Row],[Order_Date]],"mmm")</f>
        <v>Jan</v>
      </c>
      <c r="D5" t="s">
        <v>26</v>
      </c>
      <c r="E5" t="s">
        <v>22</v>
      </c>
      <c r="F5">
        <v>5</v>
      </c>
      <c r="G5">
        <v>48357.4</v>
      </c>
      <c r="H5">
        <v>241787</v>
      </c>
      <c r="I5" t="s">
        <v>18</v>
      </c>
      <c r="J5" t="s">
        <v>14</v>
      </c>
      <c r="L5" s="5"/>
      <c r="M5" s="5"/>
    </row>
    <row r="6" spans="1:13" x14ac:dyDescent="0.35">
      <c r="A6" t="s">
        <v>27</v>
      </c>
      <c r="B6" t="s">
        <v>28</v>
      </c>
      <c r="C6" t="str">
        <f>TEXT(Table1[[#This Row],[Order_Date]],"mmm")</f>
        <v>Jan</v>
      </c>
      <c r="D6" t="s">
        <v>29</v>
      </c>
      <c r="E6" t="s">
        <v>12</v>
      </c>
      <c r="F6">
        <v>4</v>
      </c>
      <c r="G6">
        <v>40106.019999999997</v>
      </c>
      <c r="H6">
        <v>160424.07999999999</v>
      </c>
      <c r="I6" t="s">
        <v>13</v>
      </c>
      <c r="J6" t="s">
        <v>19</v>
      </c>
      <c r="L6" s="5" t="s">
        <v>4180</v>
      </c>
      <c r="M6" s="5">
        <v>77753.648632734723</v>
      </c>
    </row>
    <row r="7" spans="1:13" x14ac:dyDescent="0.35">
      <c r="A7" t="s">
        <v>30</v>
      </c>
      <c r="B7" t="s">
        <v>28</v>
      </c>
      <c r="C7" t="str">
        <f>TEXT(Table1[[#This Row],[Order_Date]],"mmm")</f>
        <v>Jan</v>
      </c>
      <c r="D7" t="s">
        <v>31</v>
      </c>
      <c r="E7" t="s">
        <v>32</v>
      </c>
      <c r="F7">
        <v>3</v>
      </c>
      <c r="G7">
        <v>40651.279999999999</v>
      </c>
      <c r="H7">
        <v>121953.84</v>
      </c>
      <c r="I7" t="s">
        <v>13</v>
      </c>
      <c r="J7" t="s">
        <v>19</v>
      </c>
      <c r="L7" s="5" t="s">
        <v>4181</v>
      </c>
      <c r="M7" s="5">
        <v>1369.8636752595398</v>
      </c>
    </row>
    <row r="8" spans="1:13" x14ac:dyDescent="0.35">
      <c r="A8" t="s">
        <v>33</v>
      </c>
      <c r="B8" t="s">
        <v>28</v>
      </c>
      <c r="C8" t="str">
        <f>TEXT(Table1[[#This Row],[Order_Date]],"mmm")</f>
        <v>Jan</v>
      </c>
      <c r="D8" t="s">
        <v>34</v>
      </c>
      <c r="E8" t="s">
        <v>12</v>
      </c>
      <c r="F8">
        <v>4</v>
      </c>
      <c r="G8">
        <v>15599.79</v>
      </c>
      <c r="H8">
        <v>62399.16</v>
      </c>
      <c r="I8" t="s">
        <v>13</v>
      </c>
      <c r="J8" t="s">
        <v>35</v>
      </c>
      <c r="L8" s="5" t="s">
        <v>4182</v>
      </c>
      <c r="M8" s="5">
        <v>60532.369999999995</v>
      </c>
    </row>
    <row r="9" spans="1:13" x14ac:dyDescent="0.35">
      <c r="A9" t="s">
        <v>36</v>
      </c>
      <c r="B9" t="s">
        <v>28</v>
      </c>
      <c r="C9" t="str">
        <f>TEXT(Table1[[#This Row],[Order_Date]],"mmm")</f>
        <v>Jan</v>
      </c>
      <c r="D9" t="s">
        <v>37</v>
      </c>
      <c r="E9" t="s">
        <v>38</v>
      </c>
      <c r="F9">
        <v>5</v>
      </c>
      <c r="G9">
        <v>38998.800000000003</v>
      </c>
      <c r="H9">
        <v>194994</v>
      </c>
      <c r="I9" t="s">
        <v>13</v>
      </c>
      <c r="J9" t="s">
        <v>14</v>
      </c>
      <c r="L9" s="5" t="s">
        <v>4183</v>
      </c>
      <c r="M9" s="5" t="e">
        <v>#N/A</v>
      </c>
    </row>
    <row r="10" spans="1:13" x14ac:dyDescent="0.35">
      <c r="A10" t="s">
        <v>39</v>
      </c>
      <c r="B10" t="s">
        <v>40</v>
      </c>
      <c r="C10" t="str">
        <f>TEXT(Table1[[#This Row],[Order_Date]],"mmm")</f>
        <v>Jan</v>
      </c>
      <c r="D10" t="s">
        <v>41</v>
      </c>
      <c r="E10" t="s">
        <v>38</v>
      </c>
      <c r="F10">
        <v>3</v>
      </c>
      <c r="G10">
        <v>42359.53</v>
      </c>
      <c r="H10">
        <v>127078.59</v>
      </c>
      <c r="I10" t="s">
        <v>42</v>
      </c>
      <c r="J10" t="s">
        <v>24</v>
      </c>
      <c r="L10" s="5" t="s">
        <v>4184</v>
      </c>
      <c r="M10" s="5">
        <v>61323.397521226187</v>
      </c>
    </row>
    <row r="11" spans="1:13" x14ac:dyDescent="0.35">
      <c r="A11" t="s">
        <v>43</v>
      </c>
      <c r="B11" t="s">
        <v>40</v>
      </c>
      <c r="C11" t="str">
        <f>TEXT(Table1[[#This Row],[Order_Date]],"mmm")</f>
        <v>Jan</v>
      </c>
      <c r="D11" t="s">
        <v>44</v>
      </c>
      <c r="E11" t="s">
        <v>12</v>
      </c>
      <c r="F11">
        <v>1</v>
      </c>
      <c r="G11">
        <v>42267.64</v>
      </c>
      <c r="H11">
        <v>42267.64</v>
      </c>
      <c r="I11" t="s">
        <v>23</v>
      </c>
      <c r="J11" t="s">
        <v>35</v>
      </c>
      <c r="L11" s="5" t="s">
        <v>4185</v>
      </c>
      <c r="M11" s="5">
        <v>3760559083.54633</v>
      </c>
    </row>
    <row r="12" spans="1:13" x14ac:dyDescent="0.35">
      <c r="A12" t="s">
        <v>45</v>
      </c>
      <c r="B12" t="s">
        <v>40</v>
      </c>
      <c r="C12" t="str">
        <f>TEXT(Table1[[#This Row],[Order_Date]],"mmm")</f>
        <v>Jan</v>
      </c>
      <c r="D12" t="s">
        <v>46</v>
      </c>
      <c r="E12" t="s">
        <v>47</v>
      </c>
      <c r="F12">
        <v>1</v>
      </c>
      <c r="G12">
        <v>14588.05</v>
      </c>
      <c r="H12">
        <v>14588.05</v>
      </c>
      <c r="I12" t="s">
        <v>42</v>
      </c>
      <c r="J12" t="s">
        <v>19</v>
      </c>
      <c r="L12" s="5" t="s">
        <v>4186</v>
      </c>
      <c r="M12" s="5">
        <v>-0.14029211813190701</v>
      </c>
    </row>
    <row r="13" spans="1:13" x14ac:dyDescent="0.35">
      <c r="A13" t="s">
        <v>48</v>
      </c>
      <c r="B13" t="s">
        <v>40</v>
      </c>
      <c r="C13" t="str">
        <f>TEXT(Table1[[#This Row],[Order_Date]],"mmm")</f>
        <v>Jan</v>
      </c>
      <c r="D13" t="s">
        <v>49</v>
      </c>
      <c r="E13" t="s">
        <v>47</v>
      </c>
      <c r="F13">
        <v>2</v>
      </c>
      <c r="G13">
        <v>46273.33</v>
      </c>
      <c r="H13">
        <v>92546.66</v>
      </c>
      <c r="I13" t="s">
        <v>18</v>
      </c>
      <c r="J13" t="s">
        <v>19</v>
      </c>
      <c r="L13" s="5" t="s">
        <v>4187</v>
      </c>
      <c r="M13" s="5">
        <v>0.86866795459566171</v>
      </c>
    </row>
    <row r="14" spans="1:13" x14ac:dyDescent="0.35">
      <c r="A14" t="s">
        <v>50</v>
      </c>
      <c r="B14" t="s">
        <v>51</v>
      </c>
      <c r="C14" t="str">
        <f>TEXT(Table1[[#This Row],[Order_Date]],"mmm")</f>
        <v>Jan</v>
      </c>
      <c r="D14" t="s">
        <v>52</v>
      </c>
      <c r="E14" t="s">
        <v>53</v>
      </c>
      <c r="F14">
        <v>4</v>
      </c>
      <c r="G14">
        <v>6990.65</v>
      </c>
      <c r="H14">
        <v>27962.6</v>
      </c>
      <c r="I14" t="s">
        <v>13</v>
      </c>
      <c r="J14" t="s">
        <v>35</v>
      </c>
      <c r="L14" s="5" t="s">
        <v>4188</v>
      </c>
      <c r="M14" s="5">
        <v>249400.35</v>
      </c>
    </row>
    <row r="15" spans="1:13" x14ac:dyDescent="0.35">
      <c r="A15" t="s">
        <v>54</v>
      </c>
      <c r="B15" t="s">
        <v>51</v>
      </c>
      <c r="C15" t="str">
        <f>TEXT(Table1[[#This Row],[Order_Date]],"mmm")</f>
        <v>Jan</v>
      </c>
      <c r="D15" t="s">
        <v>55</v>
      </c>
      <c r="E15" t="s">
        <v>56</v>
      </c>
      <c r="F15">
        <v>2</v>
      </c>
      <c r="G15">
        <v>1760.86</v>
      </c>
      <c r="H15">
        <v>3521.72</v>
      </c>
      <c r="I15" t="s">
        <v>23</v>
      </c>
      <c r="J15" t="s">
        <v>24</v>
      </c>
      <c r="L15" s="5" t="s">
        <v>4189</v>
      </c>
      <c r="M15" s="5">
        <v>553.29999999999995</v>
      </c>
    </row>
    <row r="16" spans="1:13" x14ac:dyDescent="0.35">
      <c r="A16" t="s">
        <v>57</v>
      </c>
      <c r="B16" t="s">
        <v>51</v>
      </c>
      <c r="C16" t="str">
        <f>TEXT(Table1[[#This Row],[Order_Date]],"mmm")</f>
        <v>Jan</v>
      </c>
      <c r="D16" t="s">
        <v>58</v>
      </c>
      <c r="E16" t="s">
        <v>53</v>
      </c>
      <c r="F16">
        <v>3</v>
      </c>
      <c r="G16">
        <v>11930.53</v>
      </c>
      <c r="H16">
        <v>35791.589999999997</v>
      </c>
      <c r="I16" t="s">
        <v>23</v>
      </c>
      <c r="J16" t="s">
        <v>19</v>
      </c>
      <c r="L16" s="5" t="s">
        <v>4190</v>
      </c>
      <c r="M16" s="5">
        <v>249953.65</v>
      </c>
    </row>
    <row r="17" spans="1:13" x14ac:dyDescent="0.35">
      <c r="A17" t="s">
        <v>59</v>
      </c>
      <c r="B17" t="s">
        <v>51</v>
      </c>
      <c r="C17" t="str">
        <f>TEXT(Table1[[#This Row],[Order_Date]],"mmm")</f>
        <v>Jan</v>
      </c>
      <c r="D17" t="s">
        <v>60</v>
      </c>
      <c r="E17" t="s">
        <v>53</v>
      </c>
      <c r="F17">
        <v>1</v>
      </c>
      <c r="G17">
        <v>3820.43</v>
      </c>
      <c r="H17">
        <v>3820.43</v>
      </c>
      <c r="I17" t="s">
        <v>23</v>
      </c>
      <c r="J17" t="s">
        <v>24</v>
      </c>
      <c r="L17" s="5" t="s">
        <v>4191</v>
      </c>
      <c r="M17" s="5">
        <v>155818311.86000037</v>
      </c>
    </row>
    <row r="18" spans="1:13" x14ac:dyDescent="0.35">
      <c r="A18" t="s">
        <v>61</v>
      </c>
      <c r="B18" t="s">
        <v>51</v>
      </c>
      <c r="C18" t="str">
        <f>TEXT(Table1[[#This Row],[Order_Date]],"mmm")</f>
        <v>Jan</v>
      </c>
      <c r="D18" t="s">
        <v>62</v>
      </c>
      <c r="E18" t="s">
        <v>22</v>
      </c>
      <c r="F18">
        <v>5</v>
      </c>
      <c r="G18">
        <v>22984.89</v>
      </c>
      <c r="H18">
        <v>114924.45</v>
      </c>
      <c r="I18" t="s">
        <v>42</v>
      </c>
      <c r="J18" t="s">
        <v>14</v>
      </c>
      <c r="L18" s="5" t="s">
        <v>4192</v>
      </c>
      <c r="M18" s="5">
        <v>2004</v>
      </c>
    </row>
    <row r="19" spans="1:13" x14ac:dyDescent="0.35">
      <c r="A19" t="s">
        <v>63</v>
      </c>
      <c r="B19" t="s">
        <v>51</v>
      </c>
      <c r="C19" t="str">
        <f>TEXT(Table1[[#This Row],[Order_Date]],"mmm")</f>
        <v>Jan</v>
      </c>
      <c r="D19" t="s">
        <v>64</v>
      </c>
      <c r="E19" t="s">
        <v>38</v>
      </c>
      <c r="F19">
        <v>5</v>
      </c>
      <c r="G19">
        <v>10989.05</v>
      </c>
      <c r="H19">
        <v>54945.25</v>
      </c>
      <c r="I19" t="s">
        <v>13</v>
      </c>
      <c r="J19" t="s">
        <v>35</v>
      </c>
    </row>
    <row r="20" spans="1:13" x14ac:dyDescent="0.35">
      <c r="A20" t="s">
        <v>65</v>
      </c>
      <c r="B20" t="s">
        <v>51</v>
      </c>
      <c r="C20" t="str">
        <f>TEXT(Table1[[#This Row],[Order_Date]],"mmm")</f>
        <v>Jan</v>
      </c>
      <c r="D20" t="s">
        <v>66</v>
      </c>
      <c r="E20" t="s">
        <v>32</v>
      </c>
      <c r="F20">
        <v>1</v>
      </c>
      <c r="G20">
        <v>16484.46</v>
      </c>
      <c r="H20">
        <v>16484.46</v>
      </c>
      <c r="I20" t="s">
        <v>13</v>
      </c>
      <c r="J20" t="s">
        <v>24</v>
      </c>
    </row>
    <row r="21" spans="1:13" x14ac:dyDescent="0.35">
      <c r="A21" t="s">
        <v>67</v>
      </c>
      <c r="B21" t="s">
        <v>51</v>
      </c>
      <c r="C21" t="str">
        <f>TEXT(Table1[[#This Row],[Order_Date]],"mmm")</f>
        <v>Jan</v>
      </c>
      <c r="D21" t="s">
        <v>68</v>
      </c>
      <c r="E21" t="s">
        <v>53</v>
      </c>
      <c r="F21">
        <v>5</v>
      </c>
      <c r="G21">
        <v>45237.23</v>
      </c>
      <c r="H21">
        <v>226186.15</v>
      </c>
      <c r="I21" t="s">
        <v>13</v>
      </c>
      <c r="J21" t="s">
        <v>19</v>
      </c>
    </row>
    <row r="22" spans="1:13" x14ac:dyDescent="0.35">
      <c r="A22" t="s">
        <v>69</v>
      </c>
      <c r="B22" t="s">
        <v>70</v>
      </c>
      <c r="C22" t="str">
        <f>TEXT(Table1[[#This Row],[Order_Date]],"mmm")</f>
        <v>Jan</v>
      </c>
      <c r="D22" t="s">
        <v>71</v>
      </c>
      <c r="E22" t="s">
        <v>72</v>
      </c>
      <c r="F22">
        <v>2</v>
      </c>
      <c r="G22">
        <v>34182.68</v>
      </c>
      <c r="H22">
        <v>68365.36</v>
      </c>
      <c r="I22" t="s">
        <v>23</v>
      </c>
      <c r="J22" t="s">
        <v>14</v>
      </c>
    </row>
    <row r="23" spans="1:13" x14ac:dyDescent="0.35">
      <c r="A23" t="s">
        <v>73</v>
      </c>
      <c r="B23" t="s">
        <v>70</v>
      </c>
      <c r="C23" t="str">
        <f>TEXT(Table1[[#This Row],[Order_Date]],"mmm")</f>
        <v>Jan</v>
      </c>
      <c r="D23" t="s">
        <v>74</v>
      </c>
      <c r="E23" t="s">
        <v>75</v>
      </c>
      <c r="F23">
        <v>3</v>
      </c>
      <c r="G23">
        <v>15756.64</v>
      </c>
      <c r="H23">
        <v>47269.919999999998</v>
      </c>
      <c r="I23" t="s">
        <v>18</v>
      </c>
      <c r="J23" t="s">
        <v>24</v>
      </c>
    </row>
    <row r="24" spans="1:13" x14ac:dyDescent="0.35">
      <c r="A24" t="s">
        <v>76</v>
      </c>
      <c r="B24" t="s">
        <v>70</v>
      </c>
      <c r="C24" t="str">
        <f>TEXT(Table1[[#This Row],[Order_Date]],"mmm")</f>
        <v>Jan</v>
      </c>
      <c r="D24" t="s">
        <v>77</v>
      </c>
      <c r="E24" t="s">
        <v>56</v>
      </c>
      <c r="F24">
        <v>1</v>
      </c>
      <c r="G24">
        <v>2042.7</v>
      </c>
      <c r="H24">
        <v>2042.7</v>
      </c>
      <c r="I24" t="s">
        <v>13</v>
      </c>
      <c r="J24" t="s">
        <v>19</v>
      </c>
    </row>
    <row r="25" spans="1:13" x14ac:dyDescent="0.35">
      <c r="A25" t="s">
        <v>78</v>
      </c>
      <c r="B25" t="s">
        <v>70</v>
      </c>
      <c r="C25" t="str">
        <f>TEXT(Table1[[#This Row],[Order_Date]],"mmm")</f>
        <v>Jan</v>
      </c>
      <c r="D25" t="s">
        <v>79</v>
      </c>
      <c r="E25" t="s">
        <v>17</v>
      </c>
      <c r="F25">
        <v>2</v>
      </c>
      <c r="G25">
        <v>35360.43</v>
      </c>
      <c r="H25">
        <v>70720.86</v>
      </c>
      <c r="I25" t="s">
        <v>13</v>
      </c>
      <c r="J25" t="s">
        <v>14</v>
      </c>
    </row>
    <row r="26" spans="1:13" x14ac:dyDescent="0.35">
      <c r="A26" t="s">
        <v>80</v>
      </c>
      <c r="B26" t="s">
        <v>70</v>
      </c>
      <c r="C26" t="str">
        <f>TEXT(Table1[[#This Row],[Order_Date]],"mmm")</f>
        <v>Jan</v>
      </c>
      <c r="D26" t="s">
        <v>81</v>
      </c>
      <c r="E26" t="s">
        <v>72</v>
      </c>
      <c r="F26">
        <v>3</v>
      </c>
      <c r="G26">
        <v>12802.29</v>
      </c>
      <c r="H26">
        <v>38406.870000000003</v>
      </c>
      <c r="I26" t="s">
        <v>18</v>
      </c>
      <c r="J26" t="s">
        <v>24</v>
      </c>
    </row>
    <row r="27" spans="1:13" x14ac:dyDescent="0.35">
      <c r="A27" t="s">
        <v>82</v>
      </c>
      <c r="B27" t="s">
        <v>70</v>
      </c>
      <c r="C27" t="str">
        <f>TEXT(Table1[[#This Row],[Order_Date]],"mmm")</f>
        <v>Jan</v>
      </c>
      <c r="D27" t="s">
        <v>83</v>
      </c>
      <c r="E27" t="s">
        <v>56</v>
      </c>
      <c r="F27">
        <v>2</v>
      </c>
      <c r="G27">
        <v>8932.1</v>
      </c>
      <c r="H27">
        <v>17864.2</v>
      </c>
      <c r="I27" t="s">
        <v>18</v>
      </c>
      <c r="J27" t="s">
        <v>24</v>
      </c>
    </row>
    <row r="28" spans="1:13" x14ac:dyDescent="0.35">
      <c r="A28" t="s">
        <v>84</v>
      </c>
      <c r="B28" t="s">
        <v>85</v>
      </c>
      <c r="C28" t="str">
        <f>TEXT(Table1[[#This Row],[Order_Date]],"mmm")</f>
        <v>Jan</v>
      </c>
      <c r="D28" t="s">
        <v>86</v>
      </c>
      <c r="E28" t="s">
        <v>12</v>
      </c>
      <c r="F28">
        <v>1</v>
      </c>
      <c r="G28">
        <v>30285.41</v>
      </c>
      <c r="H28">
        <v>30285.41</v>
      </c>
      <c r="I28" t="s">
        <v>42</v>
      </c>
      <c r="J28" t="s">
        <v>24</v>
      </c>
    </row>
    <row r="29" spans="1:13" x14ac:dyDescent="0.35">
      <c r="A29" t="s">
        <v>87</v>
      </c>
      <c r="B29" t="s">
        <v>85</v>
      </c>
      <c r="C29" t="str">
        <f>TEXT(Table1[[#This Row],[Order_Date]],"mmm")</f>
        <v>Jan</v>
      </c>
      <c r="D29" t="s">
        <v>88</v>
      </c>
      <c r="E29" t="s">
        <v>22</v>
      </c>
      <c r="F29">
        <v>5</v>
      </c>
      <c r="G29">
        <v>35572.14</v>
      </c>
      <c r="H29">
        <v>177860.7</v>
      </c>
      <c r="I29" t="s">
        <v>13</v>
      </c>
      <c r="J29" t="s">
        <v>14</v>
      </c>
    </row>
    <row r="30" spans="1:13" x14ac:dyDescent="0.35">
      <c r="A30" t="s">
        <v>89</v>
      </c>
      <c r="B30" t="s">
        <v>85</v>
      </c>
      <c r="C30" t="str">
        <f>TEXT(Table1[[#This Row],[Order_Date]],"mmm")</f>
        <v>Jan</v>
      </c>
      <c r="D30" t="s">
        <v>90</v>
      </c>
      <c r="E30" t="s">
        <v>53</v>
      </c>
      <c r="F30">
        <v>1</v>
      </c>
      <c r="G30">
        <v>46963.08</v>
      </c>
      <c r="H30">
        <v>46963.08</v>
      </c>
      <c r="I30" t="s">
        <v>23</v>
      </c>
      <c r="J30" t="s">
        <v>35</v>
      </c>
    </row>
    <row r="31" spans="1:13" x14ac:dyDescent="0.35">
      <c r="A31" t="s">
        <v>91</v>
      </c>
      <c r="B31" t="s">
        <v>85</v>
      </c>
      <c r="C31" t="str">
        <f>TEXT(Table1[[#This Row],[Order_Date]],"mmm")</f>
        <v>Jan</v>
      </c>
      <c r="D31" t="s">
        <v>92</v>
      </c>
      <c r="E31" t="s">
        <v>32</v>
      </c>
      <c r="F31">
        <v>4</v>
      </c>
      <c r="G31">
        <v>16639.75</v>
      </c>
      <c r="H31">
        <v>66559</v>
      </c>
      <c r="I31" t="s">
        <v>18</v>
      </c>
      <c r="J31" t="s">
        <v>14</v>
      </c>
    </row>
    <row r="32" spans="1:13" x14ac:dyDescent="0.35">
      <c r="A32" t="s">
        <v>93</v>
      </c>
      <c r="B32" t="s">
        <v>94</v>
      </c>
      <c r="C32" t="str">
        <f>TEXT(Table1[[#This Row],[Order_Date]],"mmm")</f>
        <v>Jan</v>
      </c>
      <c r="D32" t="s">
        <v>95</v>
      </c>
      <c r="E32" t="s">
        <v>17</v>
      </c>
      <c r="F32">
        <v>2</v>
      </c>
      <c r="G32">
        <v>31856.48</v>
      </c>
      <c r="H32">
        <v>63712.959999999999</v>
      </c>
      <c r="I32" t="s">
        <v>13</v>
      </c>
      <c r="J32" t="s">
        <v>35</v>
      </c>
    </row>
    <row r="33" spans="1:10" x14ac:dyDescent="0.35">
      <c r="A33" t="s">
        <v>96</v>
      </c>
      <c r="B33" t="s">
        <v>94</v>
      </c>
      <c r="C33" t="str">
        <f>TEXT(Table1[[#This Row],[Order_Date]],"mmm")</f>
        <v>Jan</v>
      </c>
      <c r="D33" t="s">
        <v>97</v>
      </c>
      <c r="E33" t="s">
        <v>17</v>
      </c>
      <c r="F33">
        <v>3</v>
      </c>
      <c r="G33">
        <v>19751.560000000001</v>
      </c>
      <c r="H33">
        <v>59254.68</v>
      </c>
      <c r="I33" t="s">
        <v>13</v>
      </c>
      <c r="J33" t="s">
        <v>19</v>
      </c>
    </row>
    <row r="34" spans="1:10" x14ac:dyDescent="0.35">
      <c r="A34" t="s">
        <v>98</v>
      </c>
      <c r="B34" t="s">
        <v>94</v>
      </c>
      <c r="C34" t="str">
        <f>TEXT(Table1[[#This Row],[Order_Date]],"mmm")</f>
        <v>Jan</v>
      </c>
      <c r="D34" t="s">
        <v>99</v>
      </c>
      <c r="E34" t="s">
        <v>38</v>
      </c>
      <c r="F34">
        <v>5</v>
      </c>
      <c r="G34">
        <v>17985.72</v>
      </c>
      <c r="H34">
        <v>89928.6</v>
      </c>
      <c r="I34" t="s">
        <v>18</v>
      </c>
      <c r="J34" t="s">
        <v>24</v>
      </c>
    </row>
    <row r="35" spans="1:10" x14ac:dyDescent="0.35">
      <c r="A35" t="s">
        <v>100</v>
      </c>
      <c r="B35" t="s">
        <v>94</v>
      </c>
      <c r="C35" t="str">
        <f>TEXT(Table1[[#This Row],[Order_Date]],"mmm")</f>
        <v>Jan</v>
      </c>
      <c r="D35" t="s">
        <v>101</v>
      </c>
      <c r="E35" t="s">
        <v>17</v>
      </c>
      <c r="F35">
        <v>5</v>
      </c>
      <c r="G35">
        <v>2528.36</v>
      </c>
      <c r="H35">
        <v>12641.8</v>
      </c>
      <c r="I35" t="s">
        <v>23</v>
      </c>
      <c r="J35" t="s">
        <v>14</v>
      </c>
    </row>
    <row r="36" spans="1:10" x14ac:dyDescent="0.35">
      <c r="A36" t="s">
        <v>102</v>
      </c>
      <c r="B36" t="s">
        <v>94</v>
      </c>
      <c r="C36" t="str">
        <f>TEXT(Table1[[#This Row],[Order_Date]],"mmm")</f>
        <v>Jan</v>
      </c>
      <c r="D36" t="s">
        <v>103</v>
      </c>
      <c r="E36" t="s">
        <v>72</v>
      </c>
      <c r="F36">
        <v>3</v>
      </c>
      <c r="G36">
        <v>30564.39</v>
      </c>
      <c r="H36">
        <v>91693.17</v>
      </c>
      <c r="I36" t="s">
        <v>23</v>
      </c>
      <c r="J36" t="s">
        <v>24</v>
      </c>
    </row>
    <row r="37" spans="1:10" x14ac:dyDescent="0.35">
      <c r="A37" t="s">
        <v>104</v>
      </c>
      <c r="B37" t="s">
        <v>94</v>
      </c>
      <c r="C37" t="str">
        <f>TEXT(Table1[[#This Row],[Order_Date]],"mmm")</f>
        <v>Jan</v>
      </c>
      <c r="D37" t="s">
        <v>105</v>
      </c>
      <c r="E37" t="s">
        <v>56</v>
      </c>
      <c r="F37">
        <v>2</v>
      </c>
      <c r="G37">
        <v>40371.089999999997</v>
      </c>
      <c r="H37">
        <v>80742.179999999993</v>
      </c>
      <c r="I37" t="s">
        <v>18</v>
      </c>
      <c r="J37" t="s">
        <v>19</v>
      </c>
    </row>
    <row r="38" spans="1:10" x14ac:dyDescent="0.35">
      <c r="A38" t="s">
        <v>106</v>
      </c>
      <c r="B38" t="s">
        <v>94</v>
      </c>
      <c r="C38" t="str">
        <f>TEXT(Table1[[#This Row],[Order_Date]],"mmm")</f>
        <v>Jan</v>
      </c>
      <c r="D38" t="s">
        <v>107</v>
      </c>
      <c r="E38" t="s">
        <v>53</v>
      </c>
      <c r="F38">
        <v>5</v>
      </c>
      <c r="G38">
        <v>45990.879999999997</v>
      </c>
      <c r="H38">
        <v>229954.4</v>
      </c>
      <c r="I38" t="s">
        <v>42</v>
      </c>
      <c r="J38" t="s">
        <v>14</v>
      </c>
    </row>
    <row r="39" spans="1:10" x14ac:dyDescent="0.35">
      <c r="A39" t="s">
        <v>108</v>
      </c>
      <c r="B39" t="s">
        <v>109</v>
      </c>
      <c r="C39" t="str">
        <f>TEXT(Table1[[#This Row],[Order_Date]],"mmm")</f>
        <v>Jan</v>
      </c>
      <c r="D39" t="s">
        <v>110</v>
      </c>
      <c r="E39" t="s">
        <v>47</v>
      </c>
      <c r="F39">
        <v>4</v>
      </c>
      <c r="G39">
        <v>15538.94</v>
      </c>
      <c r="H39">
        <v>62155.76</v>
      </c>
      <c r="I39" t="s">
        <v>18</v>
      </c>
      <c r="J39" t="s">
        <v>24</v>
      </c>
    </row>
    <row r="40" spans="1:10" x14ac:dyDescent="0.35">
      <c r="A40" t="s">
        <v>111</v>
      </c>
      <c r="B40" t="s">
        <v>109</v>
      </c>
      <c r="C40" t="str">
        <f>TEXT(Table1[[#This Row],[Order_Date]],"mmm")</f>
        <v>Jan</v>
      </c>
      <c r="D40" t="s">
        <v>112</v>
      </c>
      <c r="E40" t="s">
        <v>32</v>
      </c>
      <c r="F40">
        <v>5</v>
      </c>
      <c r="G40">
        <v>27891.06</v>
      </c>
      <c r="H40">
        <v>139455.29999999999</v>
      </c>
      <c r="I40" t="s">
        <v>23</v>
      </c>
      <c r="J40" t="s">
        <v>19</v>
      </c>
    </row>
    <row r="41" spans="1:10" x14ac:dyDescent="0.35">
      <c r="A41" t="s">
        <v>113</v>
      </c>
      <c r="B41" t="s">
        <v>109</v>
      </c>
      <c r="C41" t="str">
        <f>TEXT(Table1[[#This Row],[Order_Date]],"mmm")</f>
        <v>Jan</v>
      </c>
      <c r="D41" t="s">
        <v>114</v>
      </c>
      <c r="E41" t="s">
        <v>17</v>
      </c>
      <c r="F41">
        <v>3</v>
      </c>
      <c r="G41">
        <v>8522.2800000000007</v>
      </c>
      <c r="H41">
        <v>25566.84</v>
      </c>
      <c r="I41" t="s">
        <v>18</v>
      </c>
      <c r="J41" t="s">
        <v>24</v>
      </c>
    </row>
    <row r="42" spans="1:10" x14ac:dyDescent="0.35">
      <c r="A42" t="s">
        <v>115</v>
      </c>
      <c r="B42" t="s">
        <v>109</v>
      </c>
      <c r="C42" t="str">
        <f>TEXT(Table1[[#This Row],[Order_Date]],"mmm")</f>
        <v>Jan</v>
      </c>
      <c r="D42" t="s">
        <v>116</v>
      </c>
      <c r="E42" t="s">
        <v>17</v>
      </c>
      <c r="F42">
        <v>3</v>
      </c>
      <c r="G42">
        <v>44849.51</v>
      </c>
      <c r="H42">
        <v>134548.53</v>
      </c>
      <c r="I42" t="s">
        <v>13</v>
      </c>
      <c r="J42" t="s">
        <v>35</v>
      </c>
    </row>
    <row r="43" spans="1:10" x14ac:dyDescent="0.35">
      <c r="A43" t="s">
        <v>117</v>
      </c>
      <c r="B43" t="s">
        <v>109</v>
      </c>
      <c r="C43" t="str">
        <f>TEXT(Table1[[#This Row],[Order_Date]],"mmm")</f>
        <v>Jan</v>
      </c>
      <c r="D43" t="s">
        <v>118</v>
      </c>
      <c r="E43" t="s">
        <v>32</v>
      </c>
      <c r="F43">
        <v>4</v>
      </c>
      <c r="G43">
        <v>2372</v>
      </c>
      <c r="H43">
        <v>9488</v>
      </c>
      <c r="I43" t="s">
        <v>42</v>
      </c>
      <c r="J43" t="s">
        <v>35</v>
      </c>
    </row>
    <row r="44" spans="1:10" x14ac:dyDescent="0.35">
      <c r="A44" t="s">
        <v>119</v>
      </c>
      <c r="B44" t="s">
        <v>109</v>
      </c>
      <c r="C44" t="str">
        <f>TEXT(Table1[[#This Row],[Order_Date]],"mmm")</f>
        <v>Jan</v>
      </c>
      <c r="D44" t="s">
        <v>120</v>
      </c>
      <c r="E44" t="s">
        <v>72</v>
      </c>
      <c r="F44">
        <v>4</v>
      </c>
      <c r="G44">
        <v>47642.73</v>
      </c>
      <c r="H44">
        <v>190570.92</v>
      </c>
      <c r="I44" t="s">
        <v>13</v>
      </c>
      <c r="J44" t="s">
        <v>24</v>
      </c>
    </row>
    <row r="45" spans="1:10" x14ac:dyDescent="0.35">
      <c r="A45" t="s">
        <v>121</v>
      </c>
      <c r="B45" t="s">
        <v>109</v>
      </c>
      <c r="C45" t="str">
        <f>TEXT(Table1[[#This Row],[Order_Date]],"mmm")</f>
        <v>Jan</v>
      </c>
      <c r="D45" t="s">
        <v>122</v>
      </c>
      <c r="E45" t="s">
        <v>17</v>
      </c>
      <c r="F45">
        <v>4</v>
      </c>
      <c r="G45">
        <v>3643.3</v>
      </c>
      <c r="H45">
        <v>14573.2</v>
      </c>
      <c r="I45" t="s">
        <v>42</v>
      </c>
      <c r="J45" t="s">
        <v>35</v>
      </c>
    </row>
    <row r="46" spans="1:10" x14ac:dyDescent="0.35">
      <c r="A46" t="s">
        <v>123</v>
      </c>
      <c r="B46" t="s">
        <v>124</v>
      </c>
      <c r="C46" t="str">
        <f>TEXT(Table1[[#This Row],[Order_Date]],"mmm")</f>
        <v>Jan</v>
      </c>
      <c r="D46" t="s">
        <v>125</v>
      </c>
      <c r="E46" t="s">
        <v>47</v>
      </c>
      <c r="F46">
        <v>4</v>
      </c>
      <c r="G46">
        <v>23043.53</v>
      </c>
      <c r="H46">
        <v>92174.12</v>
      </c>
      <c r="I46" t="s">
        <v>13</v>
      </c>
      <c r="J46" t="s">
        <v>24</v>
      </c>
    </row>
    <row r="47" spans="1:10" x14ac:dyDescent="0.35">
      <c r="A47" t="s">
        <v>126</v>
      </c>
      <c r="B47" t="s">
        <v>124</v>
      </c>
      <c r="C47" t="str">
        <f>TEXT(Table1[[#This Row],[Order_Date]],"mmm")</f>
        <v>Jan</v>
      </c>
      <c r="D47" t="s">
        <v>127</v>
      </c>
      <c r="E47" t="s">
        <v>38</v>
      </c>
      <c r="F47">
        <v>2</v>
      </c>
      <c r="G47">
        <v>48339.23</v>
      </c>
      <c r="H47">
        <v>96678.46</v>
      </c>
      <c r="I47" t="s">
        <v>23</v>
      </c>
      <c r="J47" t="s">
        <v>24</v>
      </c>
    </row>
    <row r="48" spans="1:10" x14ac:dyDescent="0.35">
      <c r="A48" t="s">
        <v>128</v>
      </c>
      <c r="B48" t="s">
        <v>124</v>
      </c>
      <c r="C48" t="str">
        <f>TEXT(Table1[[#This Row],[Order_Date]],"mmm")</f>
        <v>Jan</v>
      </c>
      <c r="D48" t="s">
        <v>129</v>
      </c>
      <c r="E48" t="s">
        <v>22</v>
      </c>
      <c r="F48">
        <v>3</v>
      </c>
      <c r="G48">
        <v>45290.21</v>
      </c>
      <c r="H48">
        <v>135870.63</v>
      </c>
      <c r="I48" t="s">
        <v>42</v>
      </c>
      <c r="J48" t="s">
        <v>19</v>
      </c>
    </row>
    <row r="49" spans="1:10" x14ac:dyDescent="0.35">
      <c r="A49" t="s">
        <v>130</v>
      </c>
      <c r="B49" t="s">
        <v>124</v>
      </c>
      <c r="C49" t="str">
        <f>TEXT(Table1[[#This Row],[Order_Date]],"mmm")</f>
        <v>Jan</v>
      </c>
      <c r="D49" t="s">
        <v>131</v>
      </c>
      <c r="E49" t="s">
        <v>72</v>
      </c>
      <c r="F49">
        <v>3</v>
      </c>
      <c r="G49">
        <v>6394.16</v>
      </c>
      <c r="H49">
        <v>19182.48</v>
      </c>
      <c r="I49" t="s">
        <v>23</v>
      </c>
      <c r="J49" t="s">
        <v>14</v>
      </c>
    </row>
    <row r="50" spans="1:10" x14ac:dyDescent="0.35">
      <c r="A50" t="s">
        <v>132</v>
      </c>
      <c r="B50" t="s">
        <v>124</v>
      </c>
      <c r="C50" t="str">
        <f>TEXT(Table1[[#This Row],[Order_Date]],"mmm")</f>
        <v>Jan</v>
      </c>
      <c r="D50" t="s">
        <v>133</v>
      </c>
      <c r="E50" t="s">
        <v>47</v>
      </c>
      <c r="F50">
        <v>1</v>
      </c>
      <c r="G50">
        <v>7106.32</v>
      </c>
      <c r="H50">
        <v>7106.32</v>
      </c>
      <c r="I50" t="s">
        <v>18</v>
      </c>
      <c r="J50" t="s">
        <v>24</v>
      </c>
    </row>
    <row r="51" spans="1:10" x14ac:dyDescent="0.35">
      <c r="A51" t="s">
        <v>134</v>
      </c>
      <c r="B51" t="s">
        <v>124</v>
      </c>
      <c r="C51" t="str">
        <f>TEXT(Table1[[#This Row],[Order_Date]],"mmm")</f>
        <v>Jan</v>
      </c>
      <c r="D51" t="s">
        <v>135</v>
      </c>
      <c r="E51" t="s">
        <v>56</v>
      </c>
      <c r="F51">
        <v>2</v>
      </c>
      <c r="G51">
        <v>16907.28</v>
      </c>
      <c r="H51">
        <v>33814.559999999998</v>
      </c>
      <c r="I51" t="s">
        <v>13</v>
      </c>
      <c r="J51" t="s">
        <v>19</v>
      </c>
    </row>
    <row r="52" spans="1:10" x14ac:dyDescent="0.35">
      <c r="A52" t="s">
        <v>136</v>
      </c>
      <c r="B52" t="s">
        <v>137</v>
      </c>
      <c r="C52" t="str">
        <f>TEXT(Table1[[#This Row],[Order_Date]],"mmm")</f>
        <v>Jan</v>
      </c>
      <c r="D52" t="s">
        <v>138</v>
      </c>
      <c r="E52" t="s">
        <v>22</v>
      </c>
      <c r="F52">
        <v>3</v>
      </c>
      <c r="G52">
        <v>28227.360000000001</v>
      </c>
      <c r="H52">
        <v>84682.08</v>
      </c>
      <c r="I52" t="s">
        <v>42</v>
      </c>
      <c r="J52" t="s">
        <v>14</v>
      </c>
    </row>
    <row r="53" spans="1:10" x14ac:dyDescent="0.35">
      <c r="A53" t="s">
        <v>139</v>
      </c>
      <c r="B53" t="s">
        <v>137</v>
      </c>
      <c r="C53" t="str">
        <f>TEXT(Table1[[#This Row],[Order_Date]],"mmm")</f>
        <v>Jan</v>
      </c>
      <c r="D53" t="s">
        <v>140</v>
      </c>
      <c r="E53" t="s">
        <v>75</v>
      </c>
      <c r="F53">
        <v>4</v>
      </c>
      <c r="G53">
        <v>35388.21</v>
      </c>
      <c r="H53">
        <v>141552.84</v>
      </c>
      <c r="I53" t="s">
        <v>42</v>
      </c>
      <c r="J53" t="s">
        <v>35</v>
      </c>
    </row>
    <row r="54" spans="1:10" x14ac:dyDescent="0.35">
      <c r="A54" t="s">
        <v>141</v>
      </c>
      <c r="B54" t="s">
        <v>137</v>
      </c>
      <c r="C54" t="str">
        <f>TEXT(Table1[[#This Row],[Order_Date]],"mmm")</f>
        <v>Jan</v>
      </c>
      <c r="D54" t="s">
        <v>142</v>
      </c>
      <c r="E54" t="s">
        <v>53</v>
      </c>
      <c r="F54">
        <v>1</v>
      </c>
      <c r="G54">
        <v>24664.55</v>
      </c>
      <c r="H54">
        <v>24664.55</v>
      </c>
      <c r="I54" t="s">
        <v>42</v>
      </c>
      <c r="J54" t="s">
        <v>35</v>
      </c>
    </row>
    <row r="55" spans="1:10" x14ac:dyDescent="0.35">
      <c r="A55" t="s">
        <v>143</v>
      </c>
      <c r="B55" t="s">
        <v>137</v>
      </c>
      <c r="C55" t="str">
        <f>TEXT(Table1[[#This Row],[Order_Date]],"mmm")</f>
        <v>Jan</v>
      </c>
      <c r="D55" t="s">
        <v>144</v>
      </c>
      <c r="E55" t="s">
        <v>53</v>
      </c>
      <c r="F55">
        <v>5</v>
      </c>
      <c r="G55">
        <v>16947.150000000001</v>
      </c>
      <c r="H55">
        <v>84735.75</v>
      </c>
      <c r="I55" t="s">
        <v>42</v>
      </c>
      <c r="J55" t="s">
        <v>35</v>
      </c>
    </row>
    <row r="56" spans="1:10" x14ac:dyDescent="0.35">
      <c r="A56" t="s">
        <v>145</v>
      </c>
      <c r="B56" t="s">
        <v>137</v>
      </c>
      <c r="C56" t="str">
        <f>TEXT(Table1[[#This Row],[Order_Date]],"mmm")</f>
        <v>Jan</v>
      </c>
      <c r="D56" t="s">
        <v>146</v>
      </c>
      <c r="E56" t="s">
        <v>75</v>
      </c>
      <c r="F56">
        <v>5</v>
      </c>
      <c r="G56">
        <v>41279.269999999997</v>
      </c>
      <c r="H56">
        <v>206396.35</v>
      </c>
      <c r="I56" t="s">
        <v>42</v>
      </c>
      <c r="J56" t="s">
        <v>14</v>
      </c>
    </row>
    <row r="57" spans="1:10" x14ac:dyDescent="0.35">
      <c r="A57" t="s">
        <v>147</v>
      </c>
      <c r="B57" t="s">
        <v>148</v>
      </c>
      <c r="C57" t="str">
        <f>TEXT(Table1[[#This Row],[Order_Date]],"mmm")</f>
        <v>Jan</v>
      </c>
      <c r="D57" t="s">
        <v>149</v>
      </c>
      <c r="E57" t="s">
        <v>22</v>
      </c>
      <c r="F57">
        <v>3</v>
      </c>
      <c r="G57">
        <v>47900.68</v>
      </c>
      <c r="H57">
        <v>143702.04</v>
      </c>
      <c r="I57" t="s">
        <v>23</v>
      </c>
      <c r="J57" t="s">
        <v>14</v>
      </c>
    </row>
    <row r="58" spans="1:10" x14ac:dyDescent="0.35">
      <c r="A58" t="s">
        <v>150</v>
      </c>
      <c r="B58" t="s">
        <v>148</v>
      </c>
      <c r="C58" t="str">
        <f>TEXT(Table1[[#This Row],[Order_Date]],"mmm")</f>
        <v>Jan</v>
      </c>
      <c r="D58" t="s">
        <v>151</v>
      </c>
      <c r="E58" t="s">
        <v>17</v>
      </c>
      <c r="F58">
        <v>2</v>
      </c>
      <c r="G58">
        <v>32729.51</v>
      </c>
      <c r="H58">
        <v>65459.02</v>
      </c>
      <c r="I58" t="s">
        <v>18</v>
      </c>
      <c r="J58" t="s">
        <v>14</v>
      </c>
    </row>
    <row r="59" spans="1:10" x14ac:dyDescent="0.35">
      <c r="A59" t="s">
        <v>152</v>
      </c>
      <c r="B59" t="s">
        <v>148</v>
      </c>
      <c r="C59" t="str">
        <f>TEXT(Table1[[#This Row],[Order_Date]],"mmm")</f>
        <v>Jan</v>
      </c>
      <c r="D59" t="s">
        <v>153</v>
      </c>
      <c r="E59" t="s">
        <v>53</v>
      </c>
      <c r="F59">
        <v>4</v>
      </c>
      <c r="G59">
        <v>21897.22</v>
      </c>
      <c r="H59">
        <v>87588.88</v>
      </c>
      <c r="I59" t="s">
        <v>42</v>
      </c>
      <c r="J59" t="s">
        <v>19</v>
      </c>
    </row>
    <row r="60" spans="1:10" x14ac:dyDescent="0.35">
      <c r="A60" t="s">
        <v>154</v>
      </c>
      <c r="B60" t="s">
        <v>148</v>
      </c>
      <c r="C60" t="str">
        <f>TEXT(Table1[[#This Row],[Order_Date]],"mmm")</f>
        <v>Jan</v>
      </c>
      <c r="D60" t="s">
        <v>155</v>
      </c>
      <c r="E60" t="s">
        <v>72</v>
      </c>
      <c r="F60">
        <v>2</v>
      </c>
      <c r="G60">
        <v>48066.98</v>
      </c>
      <c r="H60">
        <v>96133.96</v>
      </c>
      <c r="I60" t="s">
        <v>42</v>
      </c>
      <c r="J60" t="s">
        <v>19</v>
      </c>
    </row>
    <row r="61" spans="1:10" x14ac:dyDescent="0.35">
      <c r="A61" t="s">
        <v>156</v>
      </c>
      <c r="B61" t="s">
        <v>157</v>
      </c>
      <c r="C61" t="str">
        <f>TEXT(Table1[[#This Row],[Order_Date]],"mmm")</f>
        <v>Jan</v>
      </c>
      <c r="D61" t="s">
        <v>158</v>
      </c>
      <c r="E61" t="s">
        <v>47</v>
      </c>
      <c r="F61">
        <v>5</v>
      </c>
      <c r="G61">
        <v>43277.8</v>
      </c>
      <c r="H61">
        <v>216389</v>
      </c>
      <c r="I61" t="s">
        <v>18</v>
      </c>
      <c r="J61" t="s">
        <v>35</v>
      </c>
    </row>
    <row r="62" spans="1:10" x14ac:dyDescent="0.35">
      <c r="A62" t="s">
        <v>159</v>
      </c>
      <c r="B62" t="s">
        <v>157</v>
      </c>
      <c r="C62" t="str">
        <f>TEXT(Table1[[#This Row],[Order_Date]],"mmm")</f>
        <v>Jan</v>
      </c>
      <c r="D62" t="s">
        <v>160</v>
      </c>
      <c r="E62" t="s">
        <v>75</v>
      </c>
      <c r="F62">
        <v>1</v>
      </c>
      <c r="G62">
        <v>21638.400000000001</v>
      </c>
      <c r="H62">
        <v>21638.400000000001</v>
      </c>
      <c r="I62" t="s">
        <v>42</v>
      </c>
      <c r="J62" t="s">
        <v>14</v>
      </c>
    </row>
    <row r="63" spans="1:10" x14ac:dyDescent="0.35">
      <c r="A63" t="s">
        <v>161</v>
      </c>
      <c r="B63" t="s">
        <v>157</v>
      </c>
      <c r="C63" t="str">
        <f>TEXT(Table1[[#This Row],[Order_Date]],"mmm")</f>
        <v>Jan</v>
      </c>
      <c r="D63" t="s">
        <v>162</v>
      </c>
      <c r="E63" t="s">
        <v>32</v>
      </c>
      <c r="F63">
        <v>1</v>
      </c>
      <c r="G63">
        <v>23010.82</v>
      </c>
      <c r="H63">
        <v>23010.82</v>
      </c>
      <c r="I63" t="s">
        <v>42</v>
      </c>
      <c r="J63" t="s">
        <v>19</v>
      </c>
    </row>
    <row r="64" spans="1:10" x14ac:dyDescent="0.35">
      <c r="A64" t="s">
        <v>163</v>
      </c>
      <c r="B64" t="s">
        <v>157</v>
      </c>
      <c r="C64" t="str">
        <f>TEXT(Table1[[#This Row],[Order_Date]],"mmm")</f>
        <v>Jan</v>
      </c>
      <c r="D64" t="s">
        <v>164</v>
      </c>
      <c r="E64" t="s">
        <v>12</v>
      </c>
      <c r="F64">
        <v>4</v>
      </c>
      <c r="G64">
        <v>38467.06</v>
      </c>
      <c r="H64">
        <v>153868.24</v>
      </c>
      <c r="I64" t="s">
        <v>23</v>
      </c>
      <c r="J64" t="s">
        <v>14</v>
      </c>
    </row>
    <row r="65" spans="1:10" x14ac:dyDescent="0.35">
      <c r="A65" t="s">
        <v>165</v>
      </c>
      <c r="B65" t="s">
        <v>157</v>
      </c>
      <c r="C65" t="str">
        <f>TEXT(Table1[[#This Row],[Order_Date]],"mmm")</f>
        <v>Jan</v>
      </c>
      <c r="D65" t="s">
        <v>166</v>
      </c>
      <c r="E65" t="s">
        <v>17</v>
      </c>
      <c r="F65">
        <v>4</v>
      </c>
      <c r="G65">
        <v>1405.42</v>
      </c>
      <c r="H65">
        <v>5621.68</v>
      </c>
      <c r="I65" t="s">
        <v>13</v>
      </c>
      <c r="J65" t="s">
        <v>19</v>
      </c>
    </row>
    <row r="66" spans="1:10" x14ac:dyDescent="0.35">
      <c r="A66" t="s">
        <v>167</v>
      </c>
      <c r="B66" t="s">
        <v>168</v>
      </c>
      <c r="C66" t="str">
        <f>TEXT(Table1[[#This Row],[Order_Date]],"mmm")</f>
        <v>Jan</v>
      </c>
      <c r="D66" t="s">
        <v>169</v>
      </c>
      <c r="E66" t="s">
        <v>22</v>
      </c>
      <c r="F66">
        <v>5</v>
      </c>
      <c r="G66">
        <v>970.46</v>
      </c>
      <c r="H66">
        <v>4852.3</v>
      </c>
      <c r="I66" t="s">
        <v>13</v>
      </c>
      <c r="J66" t="s">
        <v>35</v>
      </c>
    </row>
    <row r="67" spans="1:10" x14ac:dyDescent="0.35">
      <c r="A67" t="s">
        <v>170</v>
      </c>
      <c r="B67" t="s">
        <v>168</v>
      </c>
      <c r="C67" t="str">
        <f>TEXT(Table1[[#This Row],[Order_Date]],"mmm")</f>
        <v>Jan</v>
      </c>
      <c r="D67" t="s">
        <v>171</v>
      </c>
      <c r="E67" t="s">
        <v>32</v>
      </c>
      <c r="F67">
        <v>3</v>
      </c>
      <c r="G67">
        <v>49915.17</v>
      </c>
      <c r="H67">
        <v>149745.51</v>
      </c>
      <c r="I67" t="s">
        <v>18</v>
      </c>
      <c r="J67" t="s">
        <v>24</v>
      </c>
    </row>
    <row r="68" spans="1:10" x14ac:dyDescent="0.35">
      <c r="A68" t="s">
        <v>172</v>
      </c>
      <c r="B68" t="s">
        <v>168</v>
      </c>
      <c r="C68" t="str">
        <f>TEXT(Table1[[#This Row],[Order_Date]],"mmm")</f>
        <v>Jan</v>
      </c>
      <c r="D68" t="s">
        <v>173</v>
      </c>
      <c r="E68" t="s">
        <v>53</v>
      </c>
      <c r="F68">
        <v>1</v>
      </c>
      <c r="G68">
        <v>41942.92</v>
      </c>
      <c r="H68">
        <v>41942.92</v>
      </c>
      <c r="I68" t="s">
        <v>13</v>
      </c>
      <c r="J68" t="s">
        <v>19</v>
      </c>
    </row>
    <row r="69" spans="1:10" x14ac:dyDescent="0.35">
      <c r="A69" t="s">
        <v>174</v>
      </c>
      <c r="B69" t="s">
        <v>168</v>
      </c>
      <c r="C69" t="str">
        <f>TEXT(Table1[[#This Row],[Order_Date]],"mmm")</f>
        <v>Jan</v>
      </c>
      <c r="D69" t="s">
        <v>175</v>
      </c>
      <c r="E69" t="s">
        <v>47</v>
      </c>
      <c r="F69">
        <v>4</v>
      </c>
      <c r="G69">
        <v>42035.05</v>
      </c>
      <c r="H69">
        <v>168140.2</v>
      </c>
      <c r="I69" t="s">
        <v>13</v>
      </c>
      <c r="J69" t="s">
        <v>19</v>
      </c>
    </row>
    <row r="70" spans="1:10" x14ac:dyDescent="0.35">
      <c r="A70" t="s">
        <v>176</v>
      </c>
      <c r="B70" t="s">
        <v>177</v>
      </c>
      <c r="C70" t="str">
        <f>TEXT(Table1[[#This Row],[Order_Date]],"mmm")</f>
        <v>Jan</v>
      </c>
      <c r="D70" t="s">
        <v>178</v>
      </c>
      <c r="E70" t="s">
        <v>72</v>
      </c>
      <c r="F70">
        <v>5</v>
      </c>
      <c r="G70">
        <v>40836.17</v>
      </c>
      <c r="H70">
        <v>204180.85</v>
      </c>
      <c r="I70" t="s">
        <v>18</v>
      </c>
      <c r="J70" t="s">
        <v>14</v>
      </c>
    </row>
    <row r="71" spans="1:10" x14ac:dyDescent="0.35">
      <c r="A71" t="s">
        <v>179</v>
      </c>
      <c r="B71" t="s">
        <v>177</v>
      </c>
      <c r="C71" t="str">
        <f>TEXT(Table1[[#This Row],[Order_Date]],"mmm")</f>
        <v>Jan</v>
      </c>
      <c r="D71" t="s">
        <v>180</v>
      </c>
      <c r="E71" t="s">
        <v>56</v>
      </c>
      <c r="F71">
        <v>1</v>
      </c>
      <c r="G71">
        <v>37814.57</v>
      </c>
      <c r="H71">
        <v>37814.57</v>
      </c>
      <c r="I71" t="s">
        <v>23</v>
      </c>
      <c r="J71" t="s">
        <v>14</v>
      </c>
    </row>
    <row r="72" spans="1:10" x14ac:dyDescent="0.35">
      <c r="A72" t="s">
        <v>181</v>
      </c>
      <c r="B72" t="s">
        <v>177</v>
      </c>
      <c r="C72" t="str">
        <f>TEXT(Table1[[#This Row],[Order_Date]],"mmm")</f>
        <v>Jan</v>
      </c>
      <c r="D72" t="s">
        <v>182</v>
      </c>
      <c r="E72" t="s">
        <v>72</v>
      </c>
      <c r="F72">
        <v>4</v>
      </c>
      <c r="G72">
        <v>16520.72</v>
      </c>
      <c r="H72">
        <v>66082.880000000005</v>
      </c>
      <c r="I72" t="s">
        <v>42</v>
      </c>
      <c r="J72" t="s">
        <v>14</v>
      </c>
    </row>
    <row r="73" spans="1:10" x14ac:dyDescent="0.35">
      <c r="A73" t="s">
        <v>183</v>
      </c>
      <c r="B73" t="s">
        <v>177</v>
      </c>
      <c r="C73" t="str">
        <f>TEXT(Table1[[#This Row],[Order_Date]],"mmm")</f>
        <v>Jan</v>
      </c>
      <c r="D73" t="s">
        <v>184</v>
      </c>
      <c r="E73" t="s">
        <v>12</v>
      </c>
      <c r="F73">
        <v>5</v>
      </c>
      <c r="G73">
        <v>23079.27</v>
      </c>
      <c r="H73">
        <v>115396.35</v>
      </c>
      <c r="I73" t="s">
        <v>42</v>
      </c>
      <c r="J73" t="s">
        <v>35</v>
      </c>
    </row>
    <row r="74" spans="1:10" x14ac:dyDescent="0.35">
      <c r="A74" t="s">
        <v>185</v>
      </c>
      <c r="B74" t="s">
        <v>186</v>
      </c>
      <c r="C74" t="str">
        <f>TEXT(Table1[[#This Row],[Order_Date]],"mmm")</f>
        <v>Jan</v>
      </c>
      <c r="D74" t="s">
        <v>187</v>
      </c>
      <c r="E74" t="s">
        <v>53</v>
      </c>
      <c r="F74">
        <v>1</v>
      </c>
      <c r="G74">
        <v>16873.45</v>
      </c>
      <c r="H74">
        <v>16873.45</v>
      </c>
      <c r="I74" t="s">
        <v>42</v>
      </c>
      <c r="J74" t="s">
        <v>24</v>
      </c>
    </row>
    <row r="75" spans="1:10" x14ac:dyDescent="0.35">
      <c r="A75" t="s">
        <v>188</v>
      </c>
      <c r="B75" t="s">
        <v>186</v>
      </c>
      <c r="C75" t="str">
        <f>TEXT(Table1[[#This Row],[Order_Date]],"mmm")</f>
        <v>Jan</v>
      </c>
      <c r="D75" t="s">
        <v>189</v>
      </c>
      <c r="E75" t="s">
        <v>72</v>
      </c>
      <c r="F75">
        <v>4</v>
      </c>
      <c r="G75">
        <v>29642.16</v>
      </c>
      <c r="H75">
        <v>118568.64</v>
      </c>
      <c r="I75" t="s">
        <v>13</v>
      </c>
      <c r="J75" t="s">
        <v>14</v>
      </c>
    </row>
    <row r="76" spans="1:10" x14ac:dyDescent="0.35">
      <c r="A76" t="s">
        <v>190</v>
      </c>
      <c r="B76" t="s">
        <v>186</v>
      </c>
      <c r="C76" t="str">
        <f>TEXT(Table1[[#This Row],[Order_Date]],"mmm")</f>
        <v>Jan</v>
      </c>
      <c r="D76" t="s">
        <v>191</v>
      </c>
      <c r="E76" t="s">
        <v>17</v>
      </c>
      <c r="F76">
        <v>1</v>
      </c>
      <c r="G76">
        <v>31944.92</v>
      </c>
      <c r="H76">
        <v>31944.92</v>
      </c>
      <c r="I76" t="s">
        <v>13</v>
      </c>
      <c r="J76" t="s">
        <v>14</v>
      </c>
    </row>
    <row r="77" spans="1:10" x14ac:dyDescent="0.35">
      <c r="A77" t="s">
        <v>192</v>
      </c>
      <c r="B77" t="s">
        <v>186</v>
      </c>
      <c r="C77" t="str">
        <f>TEXT(Table1[[#This Row],[Order_Date]],"mmm")</f>
        <v>Jan</v>
      </c>
      <c r="D77" t="s">
        <v>193</v>
      </c>
      <c r="E77" t="s">
        <v>32</v>
      </c>
      <c r="F77">
        <v>4</v>
      </c>
      <c r="G77">
        <v>9953.5400000000009</v>
      </c>
      <c r="H77">
        <v>39814.160000000003</v>
      </c>
      <c r="I77" t="s">
        <v>42</v>
      </c>
      <c r="J77" t="s">
        <v>35</v>
      </c>
    </row>
    <row r="78" spans="1:10" x14ac:dyDescent="0.35">
      <c r="A78" t="s">
        <v>194</v>
      </c>
      <c r="B78" t="s">
        <v>186</v>
      </c>
      <c r="C78" t="str">
        <f>TEXT(Table1[[#This Row],[Order_Date]],"mmm")</f>
        <v>Jan</v>
      </c>
      <c r="D78" t="s">
        <v>195</v>
      </c>
      <c r="E78" t="s">
        <v>75</v>
      </c>
      <c r="F78">
        <v>5</v>
      </c>
      <c r="G78">
        <v>48503.99</v>
      </c>
      <c r="H78">
        <v>242519.95</v>
      </c>
      <c r="I78" t="s">
        <v>13</v>
      </c>
      <c r="J78" t="s">
        <v>19</v>
      </c>
    </row>
    <row r="79" spans="1:10" x14ac:dyDescent="0.35">
      <c r="A79" t="s">
        <v>196</v>
      </c>
      <c r="B79" t="s">
        <v>186</v>
      </c>
      <c r="C79" t="str">
        <f>TEXT(Table1[[#This Row],[Order_Date]],"mmm")</f>
        <v>Jan</v>
      </c>
      <c r="D79" t="s">
        <v>197</v>
      </c>
      <c r="E79" t="s">
        <v>22</v>
      </c>
      <c r="F79">
        <v>1</v>
      </c>
      <c r="G79">
        <v>33057.46</v>
      </c>
      <c r="H79">
        <v>33057.46</v>
      </c>
      <c r="I79" t="s">
        <v>42</v>
      </c>
      <c r="J79" t="s">
        <v>14</v>
      </c>
    </row>
    <row r="80" spans="1:10" x14ac:dyDescent="0.35">
      <c r="A80" t="s">
        <v>198</v>
      </c>
      <c r="B80" t="s">
        <v>199</v>
      </c>
      <c r="C80" t="str">
        <f>TEXT(Table1[[#This Row],[Order_Date]],"mmm")</f>
        <v>Jan</v>
      </c>
      <c r="D80" t="s">
        <v>200</v>
      </c>
      <c r="E80" t="s">
        <v>56</v>
      </c>
      <c r="F80">
        <v>4</v>
      </c>
      <c r="G80">
        <v>8762.25</v>
      </c>
      <c r="H80">
        <v>35049</v>
      </c>
      <c r="I80" t="s">
        <v>23</v>
      </c>
      <c r="J80" t="s">
        <v>14</v>
      </c>
    </row>
    <row r="81" spans="1:10" x14ac:dyDescent="0.35">
      <c r="A81" t="s">
        <v>201</v>
      </c>
      <c r="B81" t="s">
        <v>199</v>
      </c>
      <c r="C81" t="str">
        <f>TEXT(Table1[[#This Row],[Order_Date]],"mmm")</f>
        <v>Jan</v>
      </c>
      <c r="D81" t="s">
        <v>202</v>
      </c>
      <c r="E81" t="s">
        <v>47</v>
      </c>
      <c r="F81">
        <v>1</v>
      </c>
      <c r="G81">
        <v>1047.94</v>
      </c>
      <c r="H81">
        <v>1047.94</v>
      </c>
      <c r="I81" t="s">
        <v>23</v>
      </c>
      <c r="J81" t="s">
        <v>24</v>
      </c>
    </row>
    <row r="82" spans="1:10" x14ac:dyDescent="0.35">
      <c r="A82" t="s">
        <v>203</v>
      </c>
      <c r="B82" t="s">
        <v>199</v>
      </c>
      <c r="C82" t="str">
        <f>TEXT(Table1[[#This Row],[Order_Date]],"mmm")</f>
        <v>Jan</v>
      </c>
      <c r="D82" t="s">
        <v>204</v>
      </c>
      <c r="E82" t="s">
        <v>56</v>
      </c>
      <c r="F82">
        <v>3</v>
      </c>
      <c r="G82">
        <v>49436.81</v>
      </c>
      <c r="H82">
        <v>148310.43</v>
      </c>
      <c r="I82" t="s">
        <v>18</v>
      </c>
      <c r="J82" t="s">
        <v>35</v>
      </c>
    </row>
    <row r="83" spans="1:10" x14ac:dyDescent="0.35">
      <c r="A83" t="s">
        <v>205</v>
      </c>
      <c r="B83" t="s">
        <v>199</v>
      </c>
      <c r="C83" t="str">
        <f>TEXT(Table1[[#This Row],[Order_Date]],"mmm")</f>
        <v>Jan</v>
      </c>
      <c r="D83" t="s">
        <v>206</v>
      </c>
      <c r="E83" t="s">
        <v>56</v>
      </c>
      <c r="F83">
        <v>5</v>
      </c>
      <c r="G83">
        <v>43228.85</v>
      </c>
      <c r="H83">
        <v>216144.25</v>
      </c>
      <c r="I83" t="s">
        <v>23</v>
      </c>
      <c r="J83" t="s">
        <v>14</v>
      </c>
    </row>
    <row r="84" spans="1:10" x14ac:dyDescent="0.35">
      <c r="A84" t="s">
        <v>207</v>
      </c>
      <c r="B84" t="s">
        <v>199</v>
      </c>
      <c r="C84" t="str">
        <f>TEXT(Table1[[#This Row],[Order_Date]],"mmm")</f>
        <v>Jan</v>
      </c>
      <c r="D84" t="s">
        <v>208</v>
      </c>
      <c r="E84" t="s">
        <v>38</v>
      </c>
      <c r="F84">
        <v>2</v>
      </c>
      <c r="G84">
        <v>46424.46</v>
      </c>
      <c r="H84">
        <v>92848.92</v>
      </c>
      <c r="I84" t="s">
        <v>13</v>
      </c>
      <c r="J84" t="s">
        <v>14</v>
      </c>
    </row>
    <row r="85" spans="1:10" x14ac:dyDescent="0.35">
      <c r="A85" t="s">
        <v>209</v>
      </c>
      <c r="B85" t="s">
        <v>199</v>
      </c>
      <c r="C85" t="str">
        <f>TEXT(Table1[[#This Row],[Order_Date]],"mmm")</f>
        <v>Jan</v>
      </c>
      <c r="D85" t="s">
        <v>210</v>
      </c>
      <c r="E85" t="s">
        <v>12</v>
      </c>
      <c r="F85">
        <v>2</v>
      </c>
      <c r="G85">
        <v>43835.22</v>
      </c>
      <c r="H85">
        <v>87670.44</v>
      </c>
      <c r="I85" t="s">
        <v>18</v>
      </c>
      <c r="J85" t="s">
        <v>35</v>
      </c>
    </row>
    <row r="86" spans="1:10" x14ac:dyDescent="0.35">
      <c r="A86" t="s">
        <v>211</v>
      </c>
      <c r="B86" t="s">
        <v>212</v>
      </c>
      <c r="C86" t="str">
        <f>TEXT(Table1[[#This Row],[Order_Date]],"mmm")</f>
        <v>Jan</v>
      </c>
      <c r="D86" t="s">
        <v>213</v>
      </c>
      <c r="E86" t="s">
        <v>47</v>
      </c>
      <c r="F86">
        <v>3</v>
      </c>
      <c r="G86">
        <v>26125.65</v>
      </c>
      <c r="H86">
        <v>78376.95</v>
      </c>
      <c r="I86" t="s">
        <v>13</v>
      </c>
      <c r="J86" t="s">
        <v>24</v>
      </c>
    </row>
    <row r="87" spans="1:10" x14ac:dyDescent="0.35">
      <c r="A87" t="s">
        <v>214</v>
      </c>
      <c r="B87" t="s">
        <v>212</v>
      </c>
      <c r="C87" t="str">
        <f>TEXT(Table1[[#This Row],[Order_Date]],"mmm")</f>
        <v>Jan</v>
      </c>
      <c r="D87" t="s">
        <v>215</v>
      </c>
      <c r="E87" t="s">
        <v>53</v>
      </c>
      <c r="F87">
        <v>2</v>
      </c>
      <c r="G87">
        <v>2523.5</v>
      </c>
      <c r="H87">
        <v>5047</v>
      </c>
      <c r="I87" t="s">
        <v>18</v>
      </c>
      <c r="J87" t="s">
        <v>35</v>
      </c>
    </row>
    <row r="88" spans="1:10" x14ac:dyDescent="0.35">
      <c r="A88" t="s">
        <v>216</v>
      </c>
      <c r="B88" t="s">
        <v>212</v>
      </c>
      <c r="C88" t="str">
        <f>TEXT(Table1[[#This Row],[Order_Date]],"mmm")</f>
        <v>Jan</v>
      </c>
      <c r="D88" t="s">
        <v>217</v>
      </c>
      <c r="E88" t="s">
        <v>53</v>
      </c>
      <c r="F88">
        <v>1</v>
      </c>
      <c r="G88">
        <v>14054.16</v>
      </c>
      <c r="H88">
        <v>14054.16</v>
      </c>
      <c r="I88" t="s">
        <v>13</v>
      </c>
      <c r="J88" t="s">
        <v>24</v>
      </c>
    </row>
    <row r="89" spans="1:10" x14ac:dyDescent="0.35">
      <c r="A89" t="s">
        <v>218</v>
      </c>
      <c r="B89" t="s">
        <v>212</v>
      </c>
      <c r="C89" t="str">
        <f>TEXT(Table1[[#This Row],[Order_Date]],"mmm")</f>
        <v>Jan</v>
      </c>
      <c r="D89" t="s">
        <v>219</v>
      </c>
      <c r="E89" t="s">
        <v>75</v>
      </c>
      <c r="F89">
        <v>4</v>
      </c>
      <c r="G89">
        <v>48217.93</v>
      </c>
      <c r="H89">
        <v>192871.72</v>
      </c>
      <c r="I89" t="s">
        <v>23</v>
      </c>
      <c r="J89" t="s">
        <v>24</v>
      </c>
    </row>
    <row r="90" spans="1:10" x14ac:dyDescent="0.35">
      <c r="A90" t="s">
        <v>220</v>
      </c>
      <c r="B90" t="s">
        <v>212</v>
      </c>
      <c r="C90" t="str">
        <f>TEXT(Table1[[#This Row],[Order_Date]],"mmm")</f>
        <v>Jan</v>
      </c>
      <c r="D90" t="s">
        <v>221</v>
      </c>
      <c r="E90" t="s">
        <v>72</v>
      </c>
      <c r="F90">
        <v>5</v>
      </c>
      <c r="G90">
        <v>38914.47</v>
      </c>
      <c r="H90">
        <v>194572.35</v>
      </c>
      <c r="I90" t="s">
        <v>23</v>
      </c>
      <c r="J90" t="s">
        <v>14</v>
      </c>
    </row>
    <row r="91" spans="1:10" x14ac:dyDescent="0.35">
      <c r="A91" t="s">
        <v>222</v>
      </c>
      <c r="B91" t="s">
        <v>212</v>
      </c>
      <c r="C91" t="str">
        <f>TEXT(Table1[[#This Row],[Order_Date]],"mmm")</f>
        <v>Jan</v>
      </c>
      <c r="D91" t="s">
        <v>223</v>
      </c>
      <c r="E91" t="s">
        <v>12</v>
      </c>
      <c r="F91">
        <v>3</v>
      </c>
      <c r="G91">
        <v>19385.490000000002</v>
      </c>
      <c r="H91">
        <v>58156.47</v>
      </c>
      <c r="I91" t="s">
        <v>23</v>
      </c>
      <c r="J91" t="s">
        <v>24</v>
      </c>
    </row>
    <row r="92" spans="1:10" x14ac:dyDescent="0.35">
      <c r="A92" t="s">
        <v>224</v>
      </c>
      <c r="B92" t="s">
        <v>212</v>
      </c>
      <c r="C92" t="str">
        <f>TEXT(Table1[[#This Row],[Order_Date]],"mmm")</f>
        <v>Jan</v>
      </c>
      <c r="D92" t="s">
        <v>225</v>
      </c>
      <c r="E92" t="s">
        <v>47</v>
      </c>
      <c r="F92">
        <v>5</v>
      </c>
      <c r="G92">
        <v>15864.33</v>
      </c>
      <c r="H92">
        <v>79321.649999999994</v>
      </c>
      <c r="I92" t="s">
        <v>42</v>
      </c>
      <c r="J92" t="s">
        <v>24</v>
      </c>
    </row>
    <row r="93" spans="1:10" x14ac:dyDescent="0.35">
      <c r="A93" t="s">
        <v>226</v>
      </c>
      <c r="B93" t="s">
        <v>212</v>
      </c>
      <c r="C93" t="str">
        <f>TEXT(Table1[[#This Row],[Order_Date]],"mmm")</f>
        <v>Jan</v>
      </c>
      <c r="D93" t="s">
        <v>227</v>
      </c>
      <c r="E93" t="s">
        <v>53</v>
      </c>
      <c r="F93">
        <v>2</v>
      </c>
      <c r="G93">
        <v>1100.8900000000001</v>
      </c>
      <c r="H93">
        <v>2201.7800000000002</v>
      </c>
      <c r="I93" t="s">
        <v>23</v>
      </c>
      <c r="J93" t="s">
        <v>35</v>
      </c>
    </row>
    <row r="94" spans="1:10" x14ac:dyDescent="0.35">
      <c r="A94" t="s">
        <v>228</v>
      </c>
      <c r="B94" t="s">
        <v>229</v>
      </c>
      <c r="C94" t="str">
        <f>TEXT(Table1[[#This Row],[Order_Date]],"mmm")</f>
        <v>Jan</v>
      </c>
      <c r="D94" t="s">
        <v>230</v>
      </c>
      <c r="E94" t="s">
        <v>17</v>
      </c>
      <c r="F94">
        <v>4</v>
      </c>
      <c r="G94">
        <v>34180.6</v>
      </c>
      <c r="H94">
        <v>136722.4</v>
      </c>
      <c r="I94" t="s">
        <v>23</v>
      </c>
      <c r="J94" t="s">
        <v>14</v>
      </c>
    </row>
    <row r="95" spans="1:10" x14ac:dyDescent="0.35">
      <c r="A95" t="s">
        <v>231</v>
      </c>
      <c r="B95" t="s">
        <v>229</v>
      </c>
      <c r="C95" t="str">
        <f>TEXT(Table1[[#This Row],[Order_Date]],"mmm")</f>
        <v>Jan</v>
      </c>
      <c r="D95" t="s">
        <v>232</v>
      </c>
      <c r="E95" t="s">
        <v>38</v>
      </c>
      <c r="F95">
        <v>5</v>
      </c>
      <c r="G95">
        <v>5654.08</v>
      </c>
      <c r="H95">
        <v>28270.400000000001</v>
      </c>
      <c r="I95" t="s">
        <v>13</v>
      </c>
      <c r="J95" t="s">
        <v>19</v>
      </c>
    </row>
    <row r="96" spans="1:10" x14ac:dyDescent="0.35">
      <c r="A96" t="s">
        <v>233</v>
      </c>
      <c r="B96" t="s">
        <v>229</v>
      </c>
      <c r="C96" t="str">
        <f>TEXT(Table1[[#This Row],[Order_Date]],"mmm")</f>
        <v>Jan</v>
      </c>
      <c r="D96" t="s">
        <v>234</v>
      </c>
      <c r="E96" t="s">
        <v>75</v>
      </c>
      <c r="F96">
        <v>2</v>
      </c>
      <c r="G96">
        <v>25872.83</v>
      </c>
      <c r="H96">
        <v>51745.66</v>
      </c>
      <c r="I96" t="s">
        <v>42</v>
      </c>
      <c r="J96" t="s">
        <v>14</v>
      </c>
    </row>
    <row r="97" spans="1:10" x14ac:dyDescent="0.35">
      <c r="A97" t="s">
        <v>235</v>
      </c>
      <c r="B97" t="s">
        <v>229</v>
      </c>
      <c r="C97" t="str">
        <f>TEXT(Table1[[#This Row],[Order_Date]],"mmm")</f>
        <v>Jan</v>
      </c>
      <c r="D97" t="s">
        <v>236</v>
      </c>
      <c r="E97" t="s">
        <v>56</v>
      </c>
      <c r="F97">
        <v>5</v>
      </c>
      <c r="G97">
        <v>7951.25</v>
      </c>
      <c r="H97">
        <v>39756.25</v>
      </c>
      <c r="I97" t="s">
        <v>23</v>
      </c>
      <c r="J97" t="s">
        <v>19</v>
      </c>
    </row>
    <row r="98" spans="1:10" x14ac:dyDescent="0.35">
      <c r="A98" t="s">
        <v>237</v>
      </c>
      <c r="B98" t="s">
        <v>229</v>
      </c>
      <c r="C98" t="str">
        <f>TEXT(Table1[[#This Row],[Order_Date]],"mmm")</f>
        <v>Jan</v>
      </c>
      <c r="D98" t="s">
        <v>238</v>
      </c>
      <c r="E98" t="s">
        <v>17</v>
      </c>
      <c r="F98">
        <v>2</v>
      </c>
      <c r="G98">
        <v>26160.49</v>
      </c>
      <c r="H98">
        <v>52320.98</v>
      </c>
      <c r="I98" t="s">
        <v>13</v>
      </c>
      <c r="J98" t="s">
        <v>35</v>
      </c>
    </row>
    <row r="99" spans="1:10" x14ac:dyDescent="0.35">
      <c r="A99" t="s">
        <v>239</v>
      </c>
      <c r="B99" t="s">
        <v>229</v>
      </c>
      <c r="C99" t="str">
        <f>TEXT(Table1[[#This Row],[Order_Date]],"mmm")</f>
        <v>Jan</v>
      </c>
      <c r="D99" t="s">
        <v>240</v>
      </c>
      <c r="E99" t="s">
        <v>17</v>
      </c>
      <c r="F99">
        <v>3</v>
      </c>
      <c r="G99">
        <v>19949.84</v>
      </c>
      <c r="H99">
        <v>59849.52</v>
      </c>
      <c r="I99" t="s">
        <v>23</v>
      </c>
      <c r="J99" t="s">
        <v>24</v>
      </c>
    </row>
    <row r="100" spans="1:10" x14ac:dyDescent="0.35">
      <c r="A100" t="s">
        <v>241</v>
      </c>
      <c r="B100" t="s">
        <v>229</v>
      </c>
      <c r="C100" t="str">
        <f>TEXT(Table1[[#This Row],[Order_Date]],"mmm")</f>
        <v>Jan</v>
      </c>
      <c r="D100" t="s">
        <v>242</v>
      </c>
      <c r="E100" t="s">
        <v>22</v>
      </c>
      <c r="F100">
        <v>1</v>
      </c>
      <c r="G100">
        <v>17095.740000000002</v>
      </c>
      <c r="H100">
        <v>17095.740000000002</v>
      </c>
      <c r="I100" t="s">
        <v>42</v>
      </c>
      <c r="J100" t="s">
        <v>14</v>
      </c>
    </row>
    <row r="101" spans="1:10" x14ac:dyDescent="0.35">
      <c r="A101" t="s">
        <v>243</v>
      </c>
      <c r="B101" t="s">
        <v>244</v>
      </c>
      <c r="C101" t="str">
        <f>TEXT(Table1[[#This Row],[Order_Date]],"mmm")</f>
        <v>Jan</v>
      </c>
      <c r="D101" t="s">
        <v>245</v>
      </c>
      <c r="E101" t="s">
        <v>75</v>
      </c>
      <c r="F101">
        <v>1</v>
      </c>
      <c r="G101">
        <v>35747.14</v>
      </c>
      <c r="H101">
        <v>35747.14</v>
      </c>
      <c r="I101" t="s">
        <v>13</v>
      </c>
      <c r="J101" t="s">
        <v>14</v>
      </c>
    </row>
    <row r="102" spans="1:10" x14ac:dyDescent="0.35">
      <c r="A102" t="s">
        <v>246</v>
      </c>
      <c r="B102" t="s">
        <v>244</v>
      </c>
      <c r="C102" t="str">
        <f>TEXT(Table1[[#This Row],[Order_Date]],"mmm")</f>
        <v>Jan</v>
      </c>
      <c r="D102" t="s">
        <v>247</v>
      </c>
      <c r="E102" t="s">
        <v>47</v>
      </c>
      <c r="F102">
        <v>4</v>
      </c>
      <c r="G102">
        <v>8365.5400000000009</v>
      </c>
      <c r="H102">
        <v>33462.160000000003</v>
      </c>
      <c r="I102" t="s">
        <v>13</v>
      </c>
      <c r="J102" t="s">
        <v>35</v>
      </c>
    </row>
    <row r="103" spans="1:10" x14ac:dyDescent="0.35">
      <c r="A103" t="s">
        <v>248</v>
      </c>
      <c r="B103" t="s">
        <v>244</v>
      </c>
      <c r="C103" t="str">
        <f>TEXT(Table1[[#This Row],[Order_Date]],"mmm")</f>
        <v>Jan</v>
      </c>
      <c r="D103" t="s">
        <v>249</v>
      </c>
      <c r="E103" t="s">
        <v>53</v>
      </c>
      <c r="F103">
        <v>1</v>
      </c>
      <c r="G103">
        <v>30531.03</v>
      </c>
      <c r="H103">
        <v>30531.03</v>
      </c>
      <c r="I103" t="s">
        <v>18</v>
      </c>
      <c r="J103" t="s">
        <v>35</v>
      </c>
    </row>
    <row r="104" spans="1:10" x14ac:dyDescent="0.35">
      <c r="A104" t="s">
        <v>250</v>
      </c>
      <c r="B104" t="s">
        <v>244</v>
      </c>
      <c r="C104" t="str">
        <f>TEXT(Table1[[#This Row],[Order_Date]],"mmm")</f>
        <v>Jan</v>
      </c>
      <c r="D104" t="s">
        <v>251</v>
      </c>
      <c r="E104" t="s">
        <v>53</v>
      </c>
      <c r="F104">
        <v>2</v>
      </c>
      <c r="G104">
        <v>11080.67</v>
      </c>
      <c r="H104">
        <v>22161.34</v>
      </c>
      <c r="I104" t="s">
        <v>13</v>
      </c>
      <c r="J104" t="s">
        <v>14</v>
      </c>
    </row>
    <row r="105" spans="1:10" x14ac:dyDescent="0.35">
      <c r="A105" t="s">
        <v>252</v>
      </c>
      <c r="B105" t="s">
        <v>253</v>
      </c>
      <c r="C105" t="str">
        <f>TEXT(Table1[[#This Row],[Order_Date]],"mmm")</f>
        <v>Jan</v>
      </c>
      <c r="D105" t="s">
        <v>254</v>
      </c>
      <c r="E105" t="s">
        <v>38</v>
      </c>
      <c r="F105">
        <v>3</v>
      </c>
      <c r="G105">
        <v>34476.199999999997</v>
      </c>
      <c r="H105">
        <v>103428.6</v>
      </c>
      <c r="I105" t="s">
        <v>18</v>
      </c>
      <c r="J105" t="s">
        <v>14</v>
      </c>
    </row>
    <row r="106" spans="1:10" x14ac:dyDescent="0.35">
      <c r="A106" t="s">
        <v>255</v>
      </c>
      <c r="B106" t="s">
        <v>253</v>
      </c>
      <c r="C106" t="str">
        <f>TEXT(Table1[[#This Row],[Order_Date]],"mmm")</f>
        <v>Jan</v>
      </c>
      <c r="D106" t="s">
        <v>256</v>
      </c>
      <c r="E106" t="s">
        <v>56</v>
      </c>
      <c r="F106">
        <v>2</v>
      </c>
      <c r="G106">
        <v>8925.98</v>
      </c>
      <c r="H106">
        <v>17851.96</v>
      </c>
      <c r="I106" t="s">
        <v>18</v>
      </c>
      <c r="J106" t="s">
        <v>35</v>
      </c>
    </row>
    <row r="107" spans="1:10" x14ac:dyDescent="0.35">
      <c r="A107" t="s">
        <v>257</v>
      </c>
      <c r="B107" t="s">
        <v>253</v>
      </c>
      <c r="C107" t="str">
        <f>TEXT(Table1[[#This Row],[Order_Date]],"mmm")</f>
        <v>Jan</v>
      </c>
      <c r="D107" t="s">
        <v>258</v>
      </c>
      <c r="E107" t="s">
        <v>72</v>
      </c>
      <c r="F107">
        <v>5</v>
      </c>
      <c r="G107">
        <v>21186.33</v>
      </c>
      <c r="H107">
        <v>105931.65</v>
      </c>
      <c r="I107" t="s">
        <v>42</v>
      </c>
      <c r="J107" t="s">
        <v>19</v>
      </c>
    </row>
    <row r="108" spans="1:10" x14ac:dyDescent="0.35">
      <c r="A108" t="s">
        <v>259</v>
      </c>
      <c r="B108" t="s">
        <v>260</v>
      </c>
      <c r="C108" t="str">
        <f>TEXT(Table1[[#This Row],[Order_Date]],"mmm")</f>
        <v>Jan</v>
      </c>
      <c r="D108" t="s">
        <v>261</v>
      </c>
      <c r="E108" t="s">
        <v>22</v>
      </c>
      <c r="F108">
        <v>1</v>
      </c>
      <c r="G108">
        <v>7433.5</v>
      </c>
      <c r="H108">
        <v>7433.5</v>
      </c>
      <c r="I108" t="s">
        <v>23</v>
      </c>
      <c r="J108" t="s">
        <v>24</v>
      </c>
    </row>
    <row r="109" spans="1:10" x14ac:dyDescent="0.35">
      <c r="A109" t="s">
        <v>262</v>
      </c>
      <c r="B109" t="s">
        <v>260</v>
      </c>
      <c r="C109" t="str">
        <f>TEXT(Table1[[#This Row],[Order_Date]],"mmm")</f>
        <v>Jan</v>
      </c>
      <c r="D109" t="s">
        <v>263</v>
      </c>
      <c r="E109" t="s">
        <v>53</v>
      </c>
      <c r="F109">
        <v>2</v>
      </c>
      <c r="G109">
        <v>10119.76</v>
      </c>
      <c r="H109">
        <v>20239.52</v>
      </c>
      <c r="I109" t="s">
        <v>18</v>
      </c>
      <c r="J109" t="s">
        <v>19</v>
      </c>
    </row>
    <row r="110" spans="1:10" x14ac:dyDescent="0.35">
      <c r="A110" t="s">
        <v>264</v>
      </c>
      <c r="B110" t="s">
        <v>260</v>
      </c>
      <c r="C110" t="str">
        <f>TEXT(Table1[[#This Row],[Order_Date]],"mmm")</f>
        <v>Jan</v>
      </c>
      <c r="D110" t="s">
        <v>265</v>
      </c>
      <c r="E110" t="s">
        <v>17</v>
      </c>
      <c r="F110">
        <v>3</v>
      </c>
      <c r="G110">
        <v>30737.58</v>
      </c>
      <c r="H110">
        <v>92212.74</v>
      </c>
      <c r="I110" t="s">
        <v>42</v>
      </c>
      <c r="J110" t="s">
        <v>14</v>
      </c>
    </row>
    <row r="111" spans="1:10" x14ac:dyDescent="0.35">
      <c r="A111" t="s">
        <v>266</v>
      </c>
      <c r="B111" t="s">
        <v>260</v>
      </c>
      <c r="C111" t="str">
        <f>TEXT(Table1[[#This Row],[Order_Date]],"mmm")</f>
        <v>Jan</v>
      </c>
      <c r="D111" t="s">
        <v>267</v>
      </c>
      <c r="E111" t="s">
        <v>32</v>
      </c>
      <c r="F111">
        <v>4</v>
      </c>
      <c r="G111">
        <v>7170.83</v>
      </c>
      <c r="H111">
        <v>28683.32</v>
      </c>
      <c r="I111" t="s">
        <v>42</v>
      </c>
      <c r="J111" t="s">
        <v>35</v>
      </c>
    </row>
    <row r="112" spans="1:10" x14ac:dyDescent="0.35">
      <c r="A112" t="s">
        <v>268</v>
      </c>
      <c r="B112" t="s">
        <v>260</v>
      </c>
      <c r="C112" t="str">
        <f>TEXT(Table1[[#This Row],[Order_Date]],"mmm")</f>
        <v>Jan</v>
      </c>
      <c r="D112" t="s">
        <v>269</v>
      </c>
      <c r="E112" t="s">
        <v>75</v>
      </c>
      <c r="F112">
        <v>1</v>
      </c>
      <c r="G112">
        <v>17560.990000000002</v>
      </c>
      <c r="H112">
        <v>17560.990000000002</v>
      </c>
      <c r="I112" t="s">
        <v>18</v>
      </c>
      <c r="J112" t="s">
        <v>35</v>
      </c>
    </row>
    <row r="113" spans="1:10" x14ac:dyDescent="0.35">
      <c r="A113" t="s">
        <v>270</v>
      </c>
      <c r="B113" t="s">
        <v>260</v>
      </c>
      <c r="C113" t="str">
        <f>TEXT(Table1[[#This Row],[Order_Date]],"mmm")</f>
        <v>Jan</v>
      </c>
      <c r="D113" t="s">
        <v>271</v>
      </c>
      <c r="E113" t="s">
        <v>17</v>
      </c>
      <c r="F113">
        <v>1</v>
      </c>
      <c r="G113">
        <v>34348.04</v>
      </c>
      <c r="H113">
        <v>34348.04</v>
      </c>
      <c r="I113" t="s">
        <v>18</v>
      </c>
      <c r="J113" t="s">
        <v>14</v>
      </c>
    </row>
    <row r="114" spans="1:10" x14ac:dyDescent="0.35">
      <c r="A114" t="s">
        <v>272</v>
      </c>
      <c r="B114" t="s">
        <v>273</v>
      </c>
      <c r="C114" t="str">
        <f>TEXT(Table1[[#This Row],[Order_Date]],"mmm")</f>
        <v>Jan</v>
      </c>
      <c r="D114" t="s">
        <v>274</v>
      </c>
      <c r="E114" t="s">
        <v>12</v>
      </c>
      <c r="F114">
        <v>2</v>
      </c>
      <c r="G114">
        <v>4236.8900000000003</v>
      </c>
      <c r="H114">
        <v>8473.7800000000007</v>
      </c>
      <c r="I114" t="s">
        <v>42</v>
      </c>
      <c r="J114" t="s">
        <v>24</v>
      </c>
    </row>
    <row r="115" spans="1:10" x14ac:dyDescent="0.35">
      <c r="A115" t="s">
        <v>275</v>
      </c>
      <c r="B115" t="s">
        <v>273</v>
      </c>
      <c r="C115" t="str">
        <f>TEXT(Table1[[#This Row],[Order_Date]],"mmm")</f>
        <v>Jan</v>
      </c>
      <c r="D115" t="s">
        <v>276</v>
      </c>
      <c r="E115" t="s">
        <v>72</v>
      </c>
      <c r="F115">
        <v>4</v>
      </c>
      <c r="G115">
        <v>39640.93</v>
      </c>
      <c r="H115">
        <v>158563.72</v>
      </c>
      <c r="I115" t="s">
        <v>23</v>
      </c>
      <c r="J115" t="s">
        <v>19</v>
      </c>
    </row>
    <row r="116" spans="1:10" x14ac:dyDescent="0.35">
      <c r="A116" t="s">
        <v>277</v>
      </c>
      <c r="B116" t="s">
        <v>273</v>
      </c>
      <c r="C116" t="str">
        <f>TEXT(Table1[[#This Row],[Order_Date]],"mmm")</f>
        <v>Jan</v>
      </c>
      <c r="D116" t="s">
        <v>278</v>
      </c>
      <c r="E116" t="s">
        <v>38</v>
      </c>
      <c r="F116">
        <v>3</v>
      </c>
      <c r="G116">
        <v>4161.72</v>
      </c>
      <c r="H116">
        <v>12485.16</v>
      </c>
      <c r="I116" t="s">
        <v>42</v>
      </c>
      <c r="J116" t="s">
        <v>35</v>
      </c>
    </row>
    <row r="117" spans="1:10" x14ac:dyDescent="0.35">
      <c r="A117" t="s">
        <v>279</v>
      </c>
      <c r="B117" t="s">
        <v>273</v>
      </c>
      <c r="C117" t="str">
        <f>TEXT(Table1[[#This Row],[Order_Date]],"mmm")</f>
        <v>Jan</v>
      </c>
      <c r="D117" t="s">
        <v>280</v>
      </c>
      <c r="E117" t="s">
        <v>72</v>
      </c>
      <c r="F117">
        <v>5</v>
      </c>
      <c r="G117">
        <v>48789.24</v>
      </c>
      <c r="H117">
        <v>243946.2</v>
      </c>
      <c r="I117" t="s">
        <v>42</v>
      </c>
      <c r="J117" t="s">
        <v>24</v>
      </c>
    </row>
    <row r="118" spans="1:10" x14ac:dyDescent="0.35">
      <c r="A118" t="s">
        <v>281</v>
      </c>
      <c r="B118" t="s">
        <v>273</v>
      </c>
      <c r="C118" t="str">
        <f>TEXT(Table1[[#This Row],[Order_Date]],"mmm")</f>
        <v>Jan</v>
      </c>
      <c r="D118" t="s">
        <v>282</v>
      </c>
      <c r="E118" t="s">
        <v>17</v>
      </c>
      <c r="F118">
        <v>2</v>
      </c>
      <c r="G118">
        <v>29505.5</v>
      </c>
      <c r="H118">
        <v>59011</v>
      </c>
      <c r="I118" t="s">
        <v>18</v>
      </c>
      <c r="J118" t="s">
        <v>14</v>
      </c>
    </row>
    <row r="119" spans="1:10" x14ac:dyDescent="0.35">
      <c r="A119" t="s">
        <v>283</v>
      </c>
      <c r="B119" t="s">
        <v>273</v>
      </c>
      <c r="C119" t="str">
        <f>TEXT(Table1[[#This Row],[Order_Date]],"mmm")</f>
        <v>Jan</v>
      </c>
      <c r="D119" t="s">
        <v>284</v>
      </c>
      <c r="E119" t="s">
        <v>17</v>
      </c>
      <c r="F119">
        <v>5</v>
      </c>
      <c r="G119">
        <v>26346.95</v>
      </c>
      <c r="H119">
        <v>131734.75</v>
      </c>
      <c r="I119" t="s">
        <v>13</v>
      </c>
      <c r="J119" t="s">
        <v>14</v>
      </c>
    </row>
    <row r="120" spans="1:10" x14ac:dyDescent="0.35">
      <c r="A120" t="s">
        <v>285</v>
      </c>
      <c r="B120" t="s">
        <v>286</v>
      </c>
      <c r="C120" t="str">
        <f>TEXT(Table1[[#This Row],[Order_Date]],"mmm")</f>
        <v>Jan</v>
      </c>
      <c r="D120" t="s">
        <v>287</v>
      </c>
      <c r="E120" t="s">
        <v>72</v>
      </c>
      <c r="F120">
        <v>5</v>
      </c>
      <c r="G120">
        <v>15880.46</v>
      </c>
      <c r="H120">
        <v>79402.3</v>
      </c>
      <c r="I120" t="s">
        <v>23</v>
      </c>
      <c r="J120" t="s">
        <v>19</v>
      </c>
    </row>
    <row r="121" spans="1:10" x14ac:dyDescent="0.35">
      <c r="A121" t="s">
        <v>288</v>
      </c>
      <c r="B121" t="s">
        <v>286</v>
      </c>
      <c r="C121" t="str">
        <f>TEXT(Table1[[#This Row],[Order_Date]],"mmm")</f>
        <v>Jan</v>
      </c>
      <c r="D121" t="s">
        <v>289</v>
      </c>
      <c r="E121" t="s">
        <v>17</v>
      </c>
      <c r="F121">
        <v>3</v>
      </c>
      <c r="G121">
        <v>33642.620000000003</v>
      </c>
      <c r="H121">
        <v>100927.86</v>
      </c>
      <c r="I121" t="s">
        <v>13</v>
      </c>
      <c r="J121" t="s">
        <v>14</v>
      </c>
    </row>
    <row r="122" spans="1:10" x14ac:dyDescent="0.35">
      <c r="A122" t="s">
        <v>290</v>
      </c>
      <c r="B122" t="s">
        <v>286</v>
      </c>
      <c r="C122" t="str">
        <f>TEXT(Table1[[#This Row],[Order_Date]],"mmm")</f>
        <v>Jan</v>
      </c>
      <c r="D122" t="s">
        <v>291</v>
      </c>
      <c r="E122" t="s">
        <v>75</v>
      </c>
      <c r="F122">
        <v>3</v>
      </c>
      <c r="G122">
        <v>34429.31</v>
      </c>
      <c r="H122">
        <v>103287.93</v>
      </c>
      <c r="I122" t="s">
        <v>23</v>
      </c>
      <c r="J122" t="s">
        <v>14</v>
      </c>
    </row>
    <row r="123" spans="1:10" x14ac:dyDescent="0.35">
      <c r="A123" t="s">
        <v>292</v>
      </c>
      <c r="B123" t="s">
        <v>286</v>
      </c>
      <c r="C123" t="str">
        <f>TEXT(Table1[[#This Row],[Order_Date]],"mmm")</f>
        <v>Jan</v>
      </c>
      <c r="D123" t="s">
        <v>293</v>
      </c>
      <c r="E123" t="s">
        <v>56</v>
      </c>
      <c r="F123">
        <v>5</v>
      </c>
      <c r="G123">
        <v>27707.88</v>
      </c>
      <c r="H123">
        <v>138539.4</v>
      </c>
      <c r="I123" t="s">
        <v>42</v>
      </c>
      <c r="J123" t="s">
        <v>19</v>
      </c>
    </row>
    <row r="124" spans="1:10" x14ac:dyDescent="0.35">
      <c r="A124" t="s">
        <v>294</v>
      </c>
      <c r="B124" t="s">
        <v>286</v>
      </c>
      <c r="C124" t="str">
        <f>TEXT(Table1[[#This Row],[Order_Date]],"mmm")</f>
        <v>Jan</v>
      </c>
      <c r="D124" t="s">
        <v>295</v>
      </c>
      <c r="E124" t="s">
        <v>56</v>
      </c>
      <c r="F124">
        <v>5</v>
      </c>
      <c r="G124">
        <v>23723.87</v>
      </c>
      <c r="H124">
        <v>118619.35</v>
      </c>
      <c r="I124" t="s">
        <v>13</v>
      </c>
      <c r="J124" t="s">
        <v>35</v>
      </c>
    </row>
    <row r="125" spans="1:10" x14ac:dyDescent="0.35">
      <c r="A125" t="s">
        <v>296</v>
      </c>
      <c r="B125" t="s">
        <v>286</v>
      </c>
      <c r="C125" t="str">
        <f>TEXT(Table1[[#This Row],[Order_Date]],"mmm")</f>
        <v>Jan</v>
      </c>
      <c r="D125" t="s">
        <v>297</v>
      </c>
      <c r="E125" t="s">
        <v>17</v>
      </c>
      <c r="F125">
        <v>3</v>
      </c>
      <c r="G125">
        <v>41007.230000000003</v>
      </c>
      <c r="H125">
        <v>123021.69</v>
      </c>
      <c r="I125" t="s">
        <v>18</v>
      </c>
      <c r="J125" t="s">
        <v>14</v>
      </c>
    </row>
    <row r="126" spans="1:10" x14ac:dyDescent="0.35">
      <c r="A126" t="s">
        <v>298</v>
      </c>
      <c r="B126" t="s">
        <v>286</v>
      </c>
      <c r="C126" t="str">
        <f>TEXT(Table1[[#This Row],[Order_Date]],"mmm")</f>
        <v>Jan</v>
      </c>
      <c r="D126" t="s">
        <v>299</v>
      </c>
      <c r="E126" t="s">
        <v>56</v>
      </c>
      <c r="F126">
        <v>2</v>
      </c>
      <c r="G126">
        <v>45937.62</v>
      </c>
      <c r="H126">
        <v>91875.24</v>
      </c>
      <c r="I126" t="s">
        <v>18</v>
      </c>
      <c r="J126" t="s">
        <v>14</v>
      </c>
    </row>
    <row r="127" spans="1:10" x14ac:dyDescent="0.35">
      <c r="A127" t="s">
        <v>300</v>
      </c>
      <c r="B127" t="s">
        <v>286</v>
      </c>
      <c r="C127" t="str">
        <f>TEXT(Table1[[#This Row],[Order_Date]],"mmm")</f>
        <v>Jan</v>
      </c>
      <c r="D127" t="s">
        <v>301</v>
      </c>
      <c r="E127" t="s">
        <v>17</v>
      </c>
      <c r="F127">
        <v>5</v>
      </c>
      <c r="G127">
        <v>40683.43</v>
      </c>
      <c r="H127">
        <v>203417.15</v>
      </c>
      <c r="I127" t="s">
        <v>42</v>
      </c>
      <c r="J127" t="s">
        <v>19</v>
      </c>
    </row>
    <row r="128" spans="1:10" x14ac:dyDescent="0.35">
      <c r="A128" t="s">
        <v>302</v>
      </c>
      <c r="B128" t="s">
        <v>303</v>
      </c>
      <c r="C128" t="str">
        <f>TEXT(Table1[[#This Row],[Order_Date]],"mmm")</f>
        <v>Jan</v>
      </c>
      <c r="D128" t="s">
        <v>304</v>
      </c>
      <c r="E128" t="s">
        <v>22</v>
      </c>
      <c r="F128">
        <v>3</v>
      </c>
      <c r="G128">
        <v>44369.919999999998</v>
      </c>
      <c r="H128">
        <v>133109.76000000001</v>
      </c>
      <c r="I128" t="s">
        <v>18</v>
      </c>
      <c r="J128" t="s">
        <v>24</v>
      </c>
    </row>
    <row r="129" spans="1:10" x14ac:dyDescent="0.35">
      <c r="A129" t="s">
        <v>305</v>
      </c>
      <c r="B129" t="s">
        <v>303</v>
      </c>
      <c r="C129" t="str">
        <f>TEXT(Table1[[#This Row],[Order_Date]],"mmm")</f>
        <v>Jan</v>
      </c>
      <c r="D129" t="s">
        <v>306</v>
      </c>
      <c r="E129" t="s">
        <v>38</v>
      </c>
      <c r="F129">
        <v>3</v>
      </c>
      <c r="G129">
        <v>2952.5</v>
      </c>
      <c r="H129">
        <v>8857.5</v>
      </c>
      <c r="I129" t="s">
        <v>13</v>
      </c>
      <c r="J129" t="s">
        <v>19</v>
      </c>
    </row>
    <row r="130" spans="1:10" x14ac:dyDescent="0.35">
      <c r="A130" t="s">
        <v>307</v>
      </c>
      <c r="B130" t="s">
        <v>303</v>
      </c>
      <c r="C130" t="str">
        <f>TEXT(Table1[[#This Row],[Order_Date]],"mmm")</f>
        <v>Jan</v>
      </c>
      <c r="D130" t="s">
        <v>308</v>
      </c>
      <c r="E130" t="s">
        <v>12</v>
      </c>
      <c r="F130">
        <v>1</v>
      </c>
      <c r="G130">
        <v>48785.56</v>
      </c>
      <c r="H130">
        <v>48785.56</v>
      </c>
      <c r="I130" t="s">
        <v>42</v>
      </c>
      <c r="J130" t="s">
        <v>14</v>
      </c>
    </row>
    <row r="131" spans="1:10" x14ac:dyDescent="0.35">
      <c r="A131" t="s">
        <v>309</v>
      </c>
      <c r="B131" t="s">
        <v>310</v>
      </c>
      <c r="C131" t="str">
        <f>TEXT(Table1[[#This Row],[Order_Date]],"mmm")</f>
        <v>Jan</v>
      </c>
      <c r="D131" t="s">
        <v>311</v>
      </c>
      <c r="E131" t="s">
        <v>32</v>
      </c>
      <c r="F131">
        <v>2</v>
      </c>
      <c r="G131">
        <v>40681.1</v>
      </c>
      <c r="H131">
        <v>81362.2</v>
      </c>
      <c r="I131" t="s">
        <v>18</v>
      </c>
      <c r="J131" t="s">
        <v>24</v>
      </c>
    </row>
    <row r="132" spans="1:10" x14ac:dyDescent="0.35">
      <c r="A132" t="s">
        <v>312</v>
      </c>
      <c r="B132" t="s">
        <v>310</v>
      </c>
      <c r="C132" t="str">
        <f>TEXT(Table1[[#This Row],[Order_Date]],"mmm")</f>
        <v>Jan</v>
      </c>
      <c r="D132" t="s">
        <v>313</v>
      </c>
      <c r="E132" t="s">
        <v>32</v>
      </c>
      <c r="F132">
        <v>4</v>
      </c>
      <c r="G132">
        <v>49705.37</v>
      </c>
      <c r="H132">
        <v>198821.48</v>
      </c>
      <c r="I132" t="s">
        <v>13</v>
      </c>
      <c r="J132" t="s">
        <v>35</v>
      </c>
    </row>
    <row r="133" spans="1:10" x14ac:dyDescent="0.35">
      <c r="A133" t="s">
        <v>314</v>
      </c>
      <c r="B133" t="s">
        <v>310</v>
      </c>
      <c r="C133" t="str">
        <f>TEXT(Table1[[#This Row],[Order_Date]],"mmm")</f>
        <v>Jan</v>
      </c>
      <c r="D133" t="s">
        <v>315</v>
      </c>
      <c r="E133" t="s">
        <v>38</v>
      </c>
      <c r="F133">
        <v>2</v>
      </c>
      <c r="G133">
        <v>37595.79</v>
      </c>
      <c r="H133">
        <v>75191.58</v>
      </c>
      <c r="I133" t="s">
        <v>23</v>
      </c>
      <c r="J133" t="s">
        <v>35</v>
      </c>
    </row>
    <row r="134" spans="1:10" x14ac:dyDescent="0.35">
      <c r="A134" t="s">
        <v>316</v>
      </c>
      <c r="B134" t="s">
        <v>310</v>
      </c>
      <c r="C134" t="str">
        <f>TEXT(Table1[[#This Row],[Order_Date]],"mmm")</f>
        <v>Jan</v>
      </c>
      <c r="D134" t="s">
        <v>317</v>
      </c>
      <c r="E134" t="s">
        <v>75</v>
      </c>
      <c r="F134">
        <v>5</v>
      </c>
      <c r="G134">
        <v>9875.02</v>
      </c>
      <c r="H134">
        <v>49375.1</v>
      </c>
      <c r="I134" t="s">
        <v>13</v>
      </c>
      <c r="J134" t="s">
        <v>19</v>
      </c>
    </row>
    <row r="135" spans="1:10" x14ac:dyDescent="0.35">
      <c r="A135" t="s">
        <v>318</v>
      </c>
      <c r="B135" t="s">
        <v>310</v>
      </c>
      <c r="C135" t="str">
        <f>TEXT(Table1[[#This Row],[Order_Date]],"mmm")</f>
        <v>Jan</v>
      </c>
      <c r="D135" t="s">
        <v>319</v>
      </c>
      <c r="E135" t="s">
        <v>17</v>
      </c>
      <c r="F135">
        <v>3</v>
      </c>
      <c r="G135">
        <v>3936.12</v>
      </c>
      <c r="H135">
        <v>11808.36</v>
      </c>
      <c r="I135" t="s">
        <v>23</v>
      </c>
      <c r="J135" t="s">
        <v>35</v>
      </c>
    </row>
    <row r="136" spans="1:10" x14ac:dyDescent="0.35">
      <c r="A136" t="s">
        <v>320</v>
      </c>
      <c r="B136" t="s">
        <v>321</v>
      </c>
      <c r="C136" t="str">
        <f>TEXT(Table1[[#This Row],[Order_Date]],"mmm")</f>
        <v>Jan</v>
      </c>
      <c r="D136" t="s">
        <v>322</v>
      </c>
      <c r="E136" t="s">
        <v>38</v>
      </c>
      <c r="F136">
        <v>4</v>
      </c>
      <c r="G136">
        <v>47879.86</v>
      </c>
      <c r="H136">
        <v>191519.44</v>
      </c>
      <c r="I136" t="s">
        <v>18</v>
      </c>
      <c r="J136" t="s">
        <v>19</v>
      </c>
    </row>
    <row r="137" spans="1:10" x14ac:dyDescent="0.35">
      <c r="A137" t="s">
        <v>323</v>
      </c>
      <c r="B137" t="s">
        <v>321</v>
      </c>
      <c r="C137" t="str">
        <f>TEXT(Table1[[#This Row],[Order_Date]],"mmm")</f>
        <v>Jan</v>
      </c>
      <c r="D137" t="s">
        <v>324</v>
      </c>
      <c r="E137" t="s">
        <v>47</v>
      </c>
      <c r="F137">
        <v>3</v>
      </c>
      <c r="G137">
        <v>27173.22</v>
      </c>
      <c r="H137">
        <v>81519.66</v>
      </c>
      <c r="I137" t="s">
        <v>23</v>
      </c>
      <c r="J137" t="s">
        <v>35</v>
      </c>
    </row>
    <row r="138" spans="1:10" x14ac:dyDescent="0.35">
      <c r="A138" t="s">
        <v>325</v>
      </c>
      <c r="B138" t="s">
        <v>321</v>
      </c>
      <c r="C138" t="str">
        <f>TEXT(Table1[[#This Row],[Order_Date]],"mmm")</f>
        <v>Jan</v>
      </c>
      <c r="D138" t="s">
        <v>326</v>
      </c>
      <c r="E138" t="s">
        <v>22</v>
      </c>
      <c r="F138">
        <v>2</v>
      </c>
      <c r="G138">
        <v>48901.9</v>
      </c>
      <c r="H138">
        <v>97803.8</v>
      </c>
      <c r="I138" t="s">
        <v>23</v>
      </c>
      <c r="J138" t="s">
        <v>35</v>
      </c>
    </row>
    <row r="139" spans="1:10" x14ac:dyDescent="0.35">
      <c r="A139" t="s">
        <v>327</v>
      </c>
      <c r="B139" t="s">
        <v>328</v>
      </c>
      <c r="C139" t="str">
        <f>TEXT(Table1[[#This Row],[Order_Date]],"mmm")</f>
        <v>Jan</v>
      </c>
      <c r="D139" t="s">
        <v>329</v>
      </c>
      <c r="E139" t="s">
        <v>56</v>
      </c>
      <c r="F139">
        <v>2</v>
      </c>
      <c r="G139">
        <v>41668.19</v>
      </c>
      <c r="H139">
        <v>83336.38</v>
      </c>
      <c r="I139" t="s">
        <v>18</v>
      </c>
      <c r="J139" t="s">
        <v>24</v>
      </c>
    </row>
    <row r="140" spans="1:10" x14ac:dyDescent="0.35">
      <c r="A140" t="s">
        <v>330</v>
      </c>
      <c r="B140" t="s">
        <v>328</v>
      </c>
      <c r="C140" t="str">
        <f>TEXT(Table1[[#This Row],[Order_Date]],"mmm")</f>
        <v>Jan</v>
      </c>
      <c r="D140" t="s">
        <v>331</v>
      </c>
      <c r="E140" t="s">
        <v>47</v>
      </c>
      <c r="F140">
        <v>5</v>
      </c>
      <c r="G140">
        <v>6932.2</v>
      </c>
      <c r="H140">
        <v>34661</v>
      </c>
      <c r="I140" t="s">
        <v>42</v>
      </c>
      <c r="J140" t="s">
        <v>14</v>
      </c>
    </row>
    <row r="141" spans="1:10" x14ac:dyDescent="0.35">
      <c r="A141" t="s">
        <v>332</v>
      </c>
      <c r="B141" t="s">
        <v>328</v>
      </c>
      <c r="C141" t="str">
        <f>TEXT(Table1[[#This Row],[Order_Date]],"mmm")</f>
        <v>Jan</v>
      </c>
      <c r="D141" t="s">
        <v>333</v>
      </c>
      <c r="E141" t="s">
        <v>12</v>
      </c>
      <c r="F141">
        <v>2</v>
      </c>
      <c r="G141">
        <v>25782.45</v>
      </c>
      <c r="H141">
        <v>51564.9</v>
      </c>
      <c r="I141" t="s">
        <v>13</v>
      </c>
      <c r="J141" t="s">
        <v>24</v>
      </c>
    </row>
    <row r="142" spans="1:10" x14ac:dyDescent="0.35">
      <c r="A142" t="s">
        <v>334</v>
      </c>
      <c r="B142" t="s">
        <v>328</v>
      </c>
      <c r="C142" t="str">
        <f>TEXT(Table1[[#This Row],[Order_Date]],"mmm")</f>
        <v>Jan</v>
      </c>
      <c r="D142" t="s">
        <v>335</v>
      </c>
      <c r="E142" t="s">
        <v>12</v>
      </c>
      <c r="F142">
        <v>3</v>
      </c>
      <c r="G142">
        <v>8251.7099999999991</v>
      </c>
      <c r="H142">
        <v>24755.13</v>
      </c>
      <c r="I142" t="s">
        <v>18</v>
      </c>
      <c r="J142" t="s">
        <v>19</v>
      </c>
    </row>
    <row r="143" spans="1:10" x14ac:dyDescent="0.35">
      <c r="A143" t="s">
        <v>336</v>
      </c>
      <c r="B143" t="s">
        <v>328</v>
      </c>
      <c r="C143" t="str">
        <f>TEXT(Table1[[#This Row],[Order_Date]],"mmm")</f>
        <v>Jan</v>
      </c>
      <c r="D143" t="s">
        <v>337</v>
      </c>
      <c r="E143" t="s">
        <v>47</v>
      </c>
      <c r="F143">
        <v>2</v>
      </c>
      <c r="G143">
        <v>17216.04</v>
      </c>
      <c r="H143">
        <v>34432.080000000002</v>
      </c>
      <c r="I143" t="s">
        <v>42</v>
      </c>
      <c r="J143" t="s">
        <v>24</v>
      </c>
    </row>
    <row r="144" spans="1:10" x14ac:dyDescent="0.35">
      <c r="A144" t="s">
        <v>338</v>
      </c>
      <c r="B144" t="s">
        <v>328</v>
      </c>
      <c r="C144" t="str">
        <f>TEXT(Table1[[#This Row],[Order_Date]],"mmm")</f>
        <v>Jan</v>
      </c>
      <c r="D144" t="s">
        <v>339</v>
      </c>
      <c r="E144" t="s">
        <v>47</v>
      </c>
      <c r="F144">
        <v>4</v>
      </c>
      <c r="G144">
        <v>42261.5</v>
      </c>
      <c r="H144">
        <v>169046</v>
      </c>
      <c r="I144" t="s">
        <v>42</v>
      </c>
      <c r="J144" t="s">
        <v>24</v>
      </c>
    </row>
    <row r="145" spans="1:10" x14ac:dyDescent="0.35">
      <c r="A145" t="s">
        <v>340</v>
      </c>
      <c r="B145" t="s">
        <v>341</v>
      </c>
      <c r="C145" t="str">
        <f>TEXT(Table1[[#This Row],[Order_Date]],"mmm")</f>
        <v>Jan</v>
      </c>
      <c r="D145" t="s">
        <v>342</v>
      </c>
      <c r="E145" t="s">
        <v>75</v>
      </c>
      <c r="F145">
        <v>5</v>
      </c>
      <c r="G145">
        <v>3341.56</v>
      </c>
      <c r="H145">
        <v>16707.8</v>
      </c>
      <c r="I145" t="s">
        <v>42</v>
      </c>
      <c r="J145" t="s">
        <v>14</v>
      </c>
    </row>
    <row r="146" spans="1:10" x14ac:dyDescent="0.35">
      <c r="A146" t="s">
        <v>343</v>
      </c>
      <c r="B146" t="s">
        <v>341</v>
      </c>
      <c r="C146" t="str">
        <f>TEXT(Table1[[#This Row],[Order_Date]],"mmm")</f>
        <v>Jan</v>
      </c>
      <c r="D146" t="s">
        <v>344</v>
      </c>
      <c r="E146" t="s">
        <v>47</v>
      </c>
      <c r="F146">
        <v>4</v>
      </c>
      <c r="G146">
        <v>43103.28</v>
      </c>
      <c r="H146">
        <v>172413.12</v>
      </c>
      <c r="I146" t="s">
        <v>23</v>
      </c>
      <c r="J146" t="s">
        <v>14</v>
      </c>
    </row>
    <row r="147" spans="1:10" x14ac:dyDescent="0.35">
      <c r="A147" t="s">
        <v>345</v>
      </c>
      <c r="B147" t="s">
        <v>341</v>
      </c>
      <c r="C147" t="str">
        <f>TEXT(Table1[[#This Row],[Order_Date]],"mmm")</f>
        <v>Jan</v>
      </c>
      <c r="D147" t="s">
        <v>346</v>
      </c>
      <c r="E147" t="s">
        <v>47</v>
      </c>
      <c r="F147">
        <v>2</v>
      </c>
      <c r="G147">
        <v>36835.379999999997</v>
      </c>
      <c r="H147">
        <v>73670.759999999995</v>
      </c>
      <c r="I147" t="s">
        <v>42</v>
      </c>
      <c r="J147" t="s">
        <v>24</v>
      </c>
    </row>
    <row r="148" spans="1:10" x14ac:dyDescent="0.35">
      <c r="A148" t="s">
        <v>347</v>
      </c>
      <c r="B148" t="s">
        <v>348</v>
      </c>
      <c r="C148" t="str">
        <f>TEXT(Table1[[#This Row],[Order_Date]],"mmm")</f>
        <v>Jan</v>
      </c>
      <c r="D148" t="s">
        <v>349</v>
      </c>
      <c r="E148" t="s">
        <v>53</v>
      </c>
      <c r="F148">
        <v>4</v>
      </c>
      <c r="G148">
        <v>10422.56</v>
      </c>
      <c r="H148">
        <v>41690.239999999998</v>
      </c>
      <c r="I148" t="s">
        <v>13</v>
      </c>
      <c r="J148" t="s">
        <v>35</v>
      </c>
    </row>
    <row r="149" spans="1:10" x14ac:dyDescent="0.35">
      <c r="A149" t="s">
        <v>350</v>
      </c>
      <c r="B149" t="s">
        <v>348</v>
      </c>
      <c r="C149" t="str">
        <f>TEXT(Table1[[#This Row],[Order_Date]],"mmm")</f>
        <v>Jan</v>
      </c>
      <c r="D149" t="s">
        <v>351</v>
      </c>
      <c r="E149" t="s">
        <v>12</v>
      </c>
      <c r="F149">
        <v>5</v>
      </c>
      <c r="G149">
        <v>48210.95</v>
      </c>
      <c r="H149">
        <v>241054.75</v>
      </c>
      <c r="I149" t="s">
        <v>13</v>
      </c>
      <c r="J149" t="s">
        <v>14</v>
      </c>
    </row>
    <row r="150" spans="1:10" x14ac:dyDescent="0.35">
      <c r="A150" t="s">
        <v>352</v>
      </c>
      <c r="B150" t="s">
        <v>348</v>
      </c>
      <c r="C150" t="str">
        <f>TEXT(Table1[[#This Row],[Order_Date]],"mmm")</f>
        <v>Jan</v>
      </c>
      <c r="D150" t="s">
        <v>353</v>
      </c>
      <c r="E150" t="s">
        <v>38</v>
      </c>
      <c r="F150">
        <v>4</v>
      </c>
      <c r="G150">
        <v>40139.620000000003</v>
      </c>
      <c r="H150">
        <v>160558.48000000001</v>
      </c>
      <c r="I150" t="s">
        <v>23</v>
      </c>
      <c r="J150" t="s">
        <v>14</v>
      </c>
    </row>
    <row r="151" spans="1:10" x14ac:dyDescent="0.35">
      <c r="A151" t="s">
        <v>354</v>
      </c>
      <c r="B151" t="s">
        <v>348</v>
      </c>
      <c r="C151" t="str">
        <f>TEXT(Table1[[#This Row],[Order_Date]],"mmm")</f>
        <v>Jan</v>
      </c>
      <c r="D151" t="s">
        <v>355</v>
      </c>
      <c r="E151" t="s">
        <v>56</v>
      </c>
      <c r="F151">
        <v>3</v>
      </c>
      <c r="G151">
        <v>36262.46</v>
      </c>
      <c r="H151">
        <v>108787.38</v>
      </c>
      <c r="I151" t="s">
        <v>13</v>
      </c>
      <c r="J151" t="s">
        <v>14</v>
      </c>
    </row>
    <row r="152" spans="1:10" x14ac:dyDescent="0.35">
      <c r="A152" t="s">
        <v>356</v>
      </c>
      <c r="B152" t="s">
        <v>357</v>
      </c>
      <c r="C152" t="str">
        <f>TEXT(Table1[[#This Row],[Order_Date]],"mmm")</f>
        <v>Jan</v>
      </c>
      <c r="D152" t="s">
        <v>358</v>
      </c>
      <c r="E152" t="s">
        <v>38</v>
      </c>
      <c r="F152">
        <v>4</v>
      </c>
      <c r="G152">
        <v>44756.52</v>
      </c>
      <c r="H152">
        <v>179026.08</v>
      </c>
      <c r="I152" t="s">
        <v>13</v>
      </c>
      <c r="J152" t="s">
        <v>35</v>
      </c>
    </row>
    <row r="153" spans="1:10" x14ac:dyDescent="0.35">
      <c r="A153" t="s">
        <v>359</v>
      </c>
      <c r="B153" t="s">
        <v>357</v>
      </c>
      <c r="C153" t="str">
        <f>TEXT(Table1[[#This Row],[Order_Date]],"mmm")</f>
        <v>Jan</v>
      </c>
      <c r="D153" t="s">
        <v>360</v>
      </c>
      <c r="E153" t="s">
        <v>22</v>
      </c>
      <c r="F153">
        <v>4</v>
      </c>
      <c r="G153">
        <v>17881.54</v>
      </c>
      <c r="H153">
        <v>71526.16</v>
      </c>
      <c r="I153" t="s">
        <v>23</v>
      </c>
      <c r="J153" t="s">
        <v>19</v>
      </c>
    </row>
    <row r="154" spans="1:10" x14ac:dyDescent="0.35">
      <c r="A154" t="s">
        <v>361</v>
      </c>
      <c r="B154" t="s">
        <v>357</v>
      </c>
      <c r="C154" t="str">
        <f>TEXT(Table1[[#This Row],[Order_Date]],"mmm")</f>
        <v>Jan</v>
      </c>
      <c r="D154" t="s">
        <v>362</v>
      </c>
      <c r="E154" t="s">
        <v>47</v>
      </c>
      <c r="F154">
        <v>5</v>
      </c>
      <c r="G154">
        <v>48162.47</v>
      </c>
      <c r="H154">
        <v>240812.35</v>
      </c>
      <c r="I154" t="s">
        <v>18</v>
      </c>
      <c r="J154" t="s">
        <v>24</v>
      </c>
    </row>
    <row r="155" spans="1:10" x14ac:dyDescent="0.35">
      <c r="A155" t="s">
        <v>363</v>
      </c>
      <c r="B155" t="s">
        <v>357</v>
      </c>
      <c r="C155" t="str">
        <f>TEXT(Table1[[#This Row],[Order_Date]],"mmm")</f>
        <v>Jan</v>
      </c>
      <c r="D155" t="s">
        <v>364</v>
      </c>
      <c r="E155" t="s">
        <v>47</v>
      </c>
      <c r="F155">
        <v>4</v>
      </c>
      <c r="G155">
        <v>17701.080000000002</v>
      </c>
      <c r="H155">
        <v>70804.320000000007</v>
      </c>
      <c r="I155" t="s">
        <v>42</v>
      </c>
      <c r="J155" t="s">
        <v>14</v>
      </c>
    </row>
    <row r="156" spans="1:10" x14ac:dyDescent="0.35">
      <c r="A156" t="s">
        <v>365</v>
      </c>
      <c r="B156" t="s">
        <v>357</v>
      </c>
      <c r="C156" t="str">
        <f>TEXT(Table1[[#This Row],[Order_Date]],"mmm")</f>
        <v>Jan</v>
      </c>
      <c r="D156" t="s">
        <v>366</v>
      </c>
      <c r="E156" t="s">
        <v>17</v>
      </c>
      <c r="F156">
        <v>3</v>
      </c>
      <c r="G156">
        <v>45749.69</v>
      </c>
      <c r="H156">
        <v>137249.07</v>
      </c>
      <c r="I156" t="s">
        <v>18</v>
      </c>
      <c r="J156" t="s">
        <v>14</v>
      </c>
    </row>
    <row r="157" spans="1:10" x14ac:dyDescent="0.35">
      <c r="A157" t="s">
        <v>367</v>
      </c>
      <c r="B157" t="s">
        <v>357</v>
      </c>
      <c r="C157" t="str">
        <f>TEXT(Table1[[#This Row],[Order_Date]],"mmm")</f>
        <v>Jan</v>
      </c>
      <c r="D157" t="s">
        <v>368</v>
      </c>
      <c r="E157" t="s">
        <v>22</v>
      </c>
      <c r="F157">
        <v>4</v>
      </c>
      <c r="G157">
        <v>33063.25</v>
      </c>
      <c r="H157">
        <v>132253</v>
      </c>
      <c r="I157" t="s">
        <v>23</v>
      </c>
      <c r="J157" t="s">
        <v>24</v>
      </c>
    </row>
    <row r="158" spans="1:10" x14ac:dyDescent="0.35">
      <c r="A158" t="s">
        <v>369</v>
      </c>
      <c r="B158" t="s">
        <v>370</v>
      </c>
      <c r="C158" t="str">
        <f>TEXT(Table1[[#This Row],[Order_Date]],"mmm")</f>
        <v>Jan</v>
      </c>
      <c r="D158" t="s">
        <v>371</v>
      </c>
      <c r="E158" t="s">
        <v>47</v>
      </c>
      <c r="F158">
        <v>2</v>
      </c>
      <c r="G158">
        <v>8860.84</v>
      </c>
      <c r="H158">
        <v>17721.68</v>
      </c>
      <c r="I158" t="s">
        <v>13</v>
      </c>
      <c r="J158" t="s">
        <v>14</v>
      </c>
    </row>
    <row r="159" spans="1:10" x14ac:dyDescent="0.35">
      <c r="A159" t="s">
        <v>372</v>
      </c>
      <c r="B159" t="s">
        <v>370</v>
      </c>
      <c r="C159" t="str">
        <f>TEXT(Table1[[#This Row],[Order_Date]],"mmm")</f>
        <v>Jan</v>
      </c>
      <c r="D159" t="s">
        <v>373</v>
      </c>
      <c r="E159" t="s">
        <v>22</v>
      </c>
      <c r="F159">
        <v>5</v>
      </c>
      <c r="G159">
        <v>8473.85</v>
      </c>
      <c r="H159">
        <v>42369.25</v>
      </c>
      <c r="I159" t="s">
        <v>42</v>
      </c>
      <c r="J159" t="s">
        <v>19</v>
      </c>
    </row>
    <row r="160" spans="1:10" x14ac:dyDescent="0.35">
      <c r="A160" t="s">
        <v>374</v>
      </c>
      <c r="B160" t="s">
        <v>370</v>
      </c>
      <c r="C160" t="str">
        <f>TEXT(Table1[[#This Row],[Order_Date]],"mmm")</f>
        <v>Jan</v>
      </c>
      <c r="D160" t="s">
        <v>375</v>
      </c>
      <c r="E160" t="s">
        <v>22</v>
      </c>
      <c r="F160">
        <v>3</v>
      </c>
      <c r="G160">
        <v>21317.13</v>
      </c>
      <c r="H160">
        <v>63951.39</v>
      </c>
      <c r="I160" t="s">
        <v>23</v>
      </c>
      <c r="J160" t="s">
        <v>19</v>
      </c>
    </row>
    <row r="161" spans="1:10" x14ac:dyDescent="0.35">
      <c r="A161" t="s">
        <v>376</v>
      </c>
      <c r="B161" t="s">
        <v>377</v>
      </c>
      <c r="C161" t="str">
        <f>TEXT(Table1[[#This Row],[Order_Date]],"mmm")</f>
        <v>Feb</v>
      </c>
      <c r="D161" t="s">
        <v>378</v>
      </c>
      <c r="E161" t="s">
        <v>38</v>
      </c>
      <c r="F161">
        <v>4</v>
      </c>
      <c r="G161">
        <v>48201.760000000002</v>
      </c>
      <c r="H161">
        <v>192807.04000000001</v>
      </c>
      <c r="I161" t="s">
        <v>42</v>
      </c>
      <c r="J161" t="s">
        <v>19</v>
      </c>
    </row>
    <row r="162" spans="1:10" x14ac:dyDescent="0.35">
      <c r="A162" t="s">
        <v>379</v>
      </c>
      <c r="B162" t="s">
        <v>377</v>
      </c>
      <c r="C162" t="str">
        <f>TEXT(Table1[[#This Row],[Order_Date]],"mmm")</f>
        <v>Feb</v>
      </c>
      <c r="D162" t="s">
        <v>380</v>
      </c>
      <c r="E162" t="s">
        <v>75</v>
      </c>
      <c r="F162">
        <v>1</v>
      </c>
      <c r="G162">
        <v>31035.040000000001</v>
      </c>
      <c r="H162">
        <v>31035.040000000001</v>
      </c>
      <c r="I162" t="s">
        <v>23</v>
      </c>
      <c r="J162" t="s">
        <v>14</v>
      </c>
    </row>
    <row r="163" spans="1:10" x14ac:dyDescent="0.35">
      <c r="A163" t="s">
        <v>381</v>
      </c>
      <c r="B163" t="s">
        <v>377</v>
      </c>
      <c r="C163" t="str">
        <f>TEXT(Table1[[#This Row],[Order_Date]],"mmm")</f>
        <v>Feb</v>
      </c>
      <c r="D163" t="s">
        <v>382</v>
      </c>
      <c r="E163" t="s">
        <v>32</v>
      </c>
      <c r="F163">
        <v>2</v>
      </c>
      <c r="G163">
        <v>38844.43</v>
      </c>
      <c r="H163">
        <v>77688.86</v>
      </c>
      <c r="I163" t="s">
        <v>23</v>
      </c>
      <c r="J163" t="s">
        <v>14</v>
      </c>
    </row>
    <row r="164" spans="1:10" x14ac:dyDescent="0.35">
      <c r="A164" t="s">
        <v>383</v>
      </c>
      <c r="B164" t="s">
        <v>377</v>
      </c>
      <c r="C164" t="str">
        <f>TEXT(Table1[[#This Row],[Order_Date]],"mmm")</f>
        <v>Feb</v>
      </c>
      <c r="D164" t="s">
        <v>384</v>
      </c>
      <c r="E164" t="s">
        <v>72</v>
      </c>
      <c r="F164">
        <v>1</v>
      </c>
      <c r="G164">
        <v>29922.85</v>
      </c>
      <c r="H164">
        <v>29922.85</v>
      </c>
      <c r="I164" t="s">
        <v>23</v>
      </c>
      <c r="J164" t="s">
        <v>35</v>
      </c>
    </row>
    <row r="165" spans="1:10" x14ac:dyDescent="0.35">
      <c r="A165" t="s">
        <v>385</v>
      </c>
      <c r="B165" t="s">
        <v>377</v>
      </c>
      <c r="C165" t="str">
        <f>TEXT(Table1[[#This Row],[Order_Date]],"mmm")</f>
        <v>Feb</v>
      </c>
      <c r="D165" t="s">
        <v>386</v>
      </c>
      <c r="E165" t="s">
        <v>12</v>
      </c>
      <c r="F165">
        <v>5</v>
      </c>
      <c r="G165">
        <v>13702.28</v>
      </c>
      <c r="H165">
        <v>68511.399999999994</v>
      </c>
      <c r="I165" t="s">
        <v>18</v>
      </c>
      <c r="J165" t="s">
        <v>24</v>
      </c>
    </row>
    <row r="166" spans="1:10" x14ac:dyDescent="0.35">
      <c r="A166" t="s">
        <v>387</v>
      </c>
      <c r="B166" t="s">
        <v>377</v>
      </c>
      <c r="C166" t="str">
        <f>TEXT(Table1[[#This Row],[Order_Date]],"mmm")</f>
        <v>Feb</v>
      </c>
      <c r="D166" t="s">
        <v>388</v>
      </c>
      <c r="E166" t="s">
        <v>75</v>
      </c>
      <c r="F166">
        <v>3</v>
      </c>
      <c r="G166">
        <v>7107.16</v>
      </c>
      <c r="H166">
        <v>21321.48</v>
      </c>
      <c r="I166" t="s">
        <v>13</v>
      </c>
      <c r="J166" t="s">
        <v>24</v>
      </c>
    </row>
    <row r="167" spans="1:10" x14ac:dyDescent="0.35">
      <c r="A167" t="s">
        <v>389</v>
      </c>
      <c r="B167" t="s">
        <v>390</v>
      </c>
      <c r="C167" t="str">
        <f>TEXT(Table1[[#This Row],[Order_Date]],"mmm")</f>
        <v>Feb</v>
      </c>
      <c r="D167" t="s">
        <v>391</v>
      </c>
      <c r="E167" t="s">
        <v>38</v>
      </c>
      <c r="F167">
        <v>2</v>
      </c>
      <c r="G167">
        <v>2419.5500000000002</v>
      </c>
      <c r="H167">
        <v>4839.1000000000004</v>
      </c>
      <c r="I167" t="s">
        <v>13</v>
      </c>
      <c r="J167" t="s">
        <v>24</v>
      </c>
    </row>
    <row r="168" spans="1:10" x14ac:dyDescent="0.35">
      <c r="A168" t="s">
        <v>392</v>
      </c>
      <c r="B168" t="s">
        <v>390</v>
      </c>
      <c r="C168" t="str">
        <f>TEXT(Table1[[#This Row],[Order_Date]],"mmm")</f>
        <v>Feb</v>
      </c>
      <c r="D168" t="s">
        <v>393</v>
      </c>
      <c r="E168" t="s">
        <v>47</v>
      </c>
      <c r="F168">
        <v>4</v>
      </c>
      <c r="G168">
        <v>46400.98</v>
      </c>
      <c r="H168">
        <v>185603.92</v>
      </c>
      <c r="I168" t="s">
        <v>23</v>
      </c>
      <c r="J168" t="s">
        <v>19</v>
      </c>
    </row>
    <row r="169" spans="1:10" x14ac:dyDescent="0.35">
      <c r="A169" t="s">
        <v>394</v>
      </c>
      <c r="B169" t="s">
        <v>390</v>
      </c>
      <c r="C169" t="str">
        <f>TEXT(Table1[[#This Row],[Order_Date]],"mmm")</f>
        <v>Feb</v>
      </c>
      <c r="D169" t="s">
        <v>395</v>
      </c>
      <c r="E169" t="s">
        <v>53</v>
      </c>
      <c r="F169">
        <v>1</v>
      </c>
      <c r="G169">
        <v>32253.27</v>
      </c>
      <c r="H169">
        <v>32253.27</v>
      </c>
      <c r="I169" t="s">
        <v>13</v>
      </c>
      <c r="J169" t="s">
        <v>24</v>
      </c>
    </row>
    <row r="170" spans="1:10" x14ac:dyDescent="0.35">
      <c r="A170" t="s">
        <v>396</v>
      </c>
      <c r="B170" t="s">
        <v>390</v>
      </c>
      <c r="C170" t="str">
        <f>TEXT(Table1[[#This Row],[Order_Date]],"mmm")</f>
        <v>Feb</v>
      </c>
      <c r="D170" t="s">
        <v>397</v>
      </c>
      <c r="E170" t="s">
        <v>22</v>
      </c>
      <c r="F170">
        <v>3</v>
      </c>
      <c r="G170">
        <v>47094.75</v>
      </c>
      <c r="H170">
        <v>141284.25</v>
      </c>
      <c r="I170" t="s">
        <v>42</v>
      </c>
      <c r="J170" t="s">
        <v>19</v>
      </c>
    </row>
    <row r="171" spans="1:10" x14ac:dyDescent="0.35">
      <c r="A171" t="s">
        <v>398</v>
      </c>
      <c r="B171" t="s">
        <v>390</v>
      </c>
      <c r="C171" t="str">
        <f>TEXT(Table1[[#This Row],[Order_Date]],"mmm")</f>
        <v>Feb</v>
      </c>
      <c r="D171" t="s">
        <v>399</v>
      </c>
      <c r="E171" t="s">
        <v>72</v>
      </c>
      <c r="F171">
        <v>2</v>
      </c>
      <c r="G171">
        <v>9146.35</v>
      </c>
      <c r="H171">
        <v>18292.7</v>
      </c>
      <c r="I171" t="s">
        <v>13</v>
      </c>
      <c r="J171" t="s">
        <v>35</v>
      </c>
    </row>
    <row r="172" spans="1:10" x14ac:dyDescent="0.35">
      <c r="A172" t="s">
        <v>400</v>
      </c>
      <c r="B172" t="s">
        <v>401</v>
      </c>
      <c r="C172" t="str">
        <f>TEXT(Table1[[#This Row],[Order_Date]],"mmm")</f>
        <v>Feb</v>
      </c>
      <c r="D172" t="s">
        <v>402</v>
      </c>
      <c r="E172" t="s">
        <v>75</v>
      </c>
      <c r="F172">
        <v>3</v>
      </c>
      <c r="G172">
        <v>37295.83</v>
      </c>
      <c r="H172">
        <v>111887.49</v>
      </c>
      <c r="I172" t="s">
        <v>23</v>
      </c>
      <c r="J172" t="s">
        <v>14</v>
      </c>
    </row>
    <row r="173" spans="1:10" x14ac:dyDescent="0.35">
      <c r="A173" t="s">
        <v>403</v>
      </c>
      <c r="B173" t="s">
        <v>401</v>
      </c>
      <c r="C173" t="str">
        <f>TEXT(Table1[[#This Row],[Order_Date]],"mmm")</f>
        <v>Feb</v>
      </c>
      <c r="D173" t="s">
        <v>404</v>
      </c>
      <c r="E173" t="s">
        <v>47</v>
      </c>
      <c r="F173">
        <v>1</v>
      </c>
      <c r="G173">
        <v>44205.16</v>
      </c>
      <c r="H173">
        <v>44205.16</v>
      </c>
      <c r="I173" t="s">
        <v>18</v>
      </c>
      <c r="J173" t="s">
        <v>24</v>
      </c>
    </row>
    <row r="174" spans="1:10" x14ac:dyDescent="0.35">
      <c r="A174" t="s">
        <v>405</v>
      </c>
      <c r="B174" t="s">
        <v>401</v>
      </c>
      <c r="C174" t="str">
        <f>TEXT(Table1[[#This Row],[Order_Date]],"mmm")</f>
        <v>Feb</v>
      </c>
      <c r="D174" t="s">
        <v>406</v>
      </c>
      <c r="E174" t="s">
        <v>22</v>
      </c>
      <c r="F174">
        <v>2</v>
      </c>
      <c r="G174">
        <v>44675.98</v>
      </c>
      <c r="H174">
        <v>89351.96</v>
      </c>
      <c r="I174" t="s">
        <v>23</v>
      </c>
      <c r="J174" t="s">
        <v>35</v>
      </c>
    </row>
    <row r="175" spans="1:10" x14ac:dyDescent="0.35">
      <c r="A175" t="s">
        <v>407</v>
      </c>
      <c r="B175" t="s">
        <v>401</v>
      </c>
      <c r="C175" t="str">
        <f>TEXT(Table1[[#This Row],[Order_Date]],"mmm")</f>
        <v>Feb</v>
      </c>
      <c r="D175" t="s">
        <v>408</v>
      </c>
      <c r="E175" t="s">
        <v>53</v>
      </c>
      <c r="F175">
        <v>3</v>
      </c>
      <c r="G175">
        <v>15264.63</v>
      </c>
      <c r="H175">
        <v>45793.89</v>
      </c>
      <c r="I175" t="s">
        <v>23</v>
      </c>
      <c r="J175" t="s">
        <v>35</v>
      </c>
    </row>
    <row r="176" spans="1:10" x14ac:dyDescent="0.35">
      <c r="A176" t="s">
        <v>409</v>
      </c>
      <c r="B176" t="s">
        <v>410</v>
      </c>
      <c r="C176" t="str">
        <f>TEXT(Table1[[#This Row],[Order_Date]],"mmm")</f>
        <v>Feb</v>
      </c>
      <c r="D176" t="s">
        <v>411</v>
      </c>
      <c r="E176" t="s">
        <v>38</v>
      </c>
      <c r="F176">
        <v>1</v>
      </c>
      <c r="G176">
        <v>44582.01</v>
      </c>
      <c r="H176">
        <v>44582.01</v>
      </c>
      <c r="I176" t="s">
        <v>23</v>
      </c>
      <c r="J176" t="s">
        <v>19</v>
      </c>
    </row>
    <row r="177" spans="1:10" x14ac:dyDescent="0.35">
      <c r="A177" t="s">
        <v>412</v>
      </c>
      <c r="B177" t="s">
        <v>410</v>
      </c>
      <c r="C177" t="str">
        <f>TEXT(Table1[[#This Row],[Order_Date]],"mmm")</f>
        <v>Feb</v>
      </c>
      <c r="D177" t="s">
        <v>413</v>
      </c>
      <c r="E177" t="s">
        <v>12</v>
      </c>
      <c r="F177">
        <v>4</v>
      </c>
      <c r="G177">
        <v>5705.66</v>
      </c>
      <c r="H177">
        <v>22822.639999999999</v>
      </c>
      <c r="I177" t="s">
        <v>42</v>
      </c>
      <c r="J177" t="s">
        <v>14</v>
      </c>
    </row>
    <row r="178" spans="1:10" x14ac:dyDescent="0.35">
      <c r="A178" t="s">
        <v>414</v>
      </c>
      <c r="B178" t="s">
        <v>410</v>
      </c>
      <c r="C178" t="str">
        <f>TEXT(Table1[[#This Row],[Order_Date]],"mmm")</f>
        <v>Feb</v>
      </c>
      <c r="D178" t="s">
        <v>415</v>
      </c>
      <c r="E178" t="s">
        <v>72</v>
      </c>
      <c r="F178">
        <v>4</v>
      </c>
      <c r="G178">
        <v>18356.84</v>
      </c>
      <c r="H178">
        <v>73427.360000000001</v>
      </c>
      <c r="I178" t="s">
        <v>23</v>
      </c>
      <c r="J178" t="s">
        <v>24</v>
      </c>
    </row>
    <row r="179" spans="1:10" x14ac:dyDescent="0.35">
      <c r="A179" t="s">
        <v>416</v>
      </c>
      <c r="B179" t="s">
        <v>410</v>
      </c>
      <c r="C179" t="str">
        <f>TEXT(Table1[[#This Row],[Order_Date]],"mmm")</f>
        <v>Feb</v>
      </c>
      <c r="D179" t="s">
        <v>417</v>
      </c>
      <c r="E179" t="s">
        <v>17</v>
      </c>
      <c r="F179">
        <v>1</v>
      </c>
      <c r="G179">
        <v>21911.21</v>
      </c>
      <c r="H179">
        <v>21911.21</v>
      </c>
      <c r="I179" t="s">
        <v>18</v>
      </c>
      <c r="J179" t="s">
        <v>19</v>
      </c>
    </row>
    <row r="180" spans="1:10" x14ac:dyDescent="0.35">
      <c r="A180" t="s">
        <v>418</v>
      </c>
      <c r="B180" t="s">
        <v>410</v>
      </c>
      <c r="C180" t="str">
        <f>TEXT(Table1[[#This Row],[Order_Date]],"mmm")</f>
        <v>Feb</v>
      </c>
      <c r="D180" t="s">
        <v>419</v>
      </c>
      <c r="E180" t="s">
        <v>38</v>
      </c>
      <c r="F180">
        <v>4</v>
      </c>
      <c r="G180">
        <v>23093.46</v>
      </c>
      <c r="H180">
        <v>92373.84</v>
      </c>
      <c r="I180" t="s">
        <v>18</v>
      </c>
      <c r="J180" t="s">
        <v>19</v>
      </c>
    </row>
    <row r="181" spans="1:10" x14ac:dyDescent="0.35">
      <c r="A181" t="s">
        <v>420</v>
      </c>
      <c r="B181" t="s">
        <v>410</v>
      </c>
      <c r="C181" t="str">
        <f>TEXT(Table1[[#This Row],[Order_Date]],"mmm")</f>
        <v>Feb</v>
      </c>
      <c r="D181" t="s">
        <v>421</v>
      </c>
      <c r="E181" t="s">
        <v>17</v>
      </c>
      <c r="F181">
        <v>3</v>
      </c>
      <c r="G181">
        <v>4292.6499999999996</v>
      </c>
      <c r="H181">
        <v>12877.95</v>
      </c>
      <c r="I181" t="s">
        <v>23</v>
      </c>
      <c r="J181" t="s">
        <v>35</v>
      </c>
    </row>
    <row r="182" spans="1:10" x14ac:dyDescent="0.35">
      <c r="A182" t="s">
        <v>422</v>
      </c>
      <c r="B182" t="s">
        <v>410</v>
      </c>
      <c r="C182" t="str">
        <f>TEXT(Table1[[#This Row],[Order_Date]],"mmm")</f>
        <v>Feb</v>
      </c>
      <c r="D182" t="s">
        <v>423</v>
      </c>
      <c r="E182" t="s">
        <v>53</v>
      </c>
      <c r="F182">
        <v>5</v>
      </c>
      <c r="G182">
        <v>28487.16</v>
      </c>
      <c r="H182">
        <v>142435.79999999999</v>
      </c>
      <c r="I182" t="s">
        <v>42</v>
      </c>
      <c r="J182" t="s">
        <v>24</v>
      </c>
    </row>
    <row r="183" spans="1:10" x14ac:dyDescent="0.35">
      <c r="A183" t="s">
        <v>424</v>
      </c>
      <c r="B183" t="s">
        <v>410</v>
      </c>
      <c r="C183" t="str">
        <f>TEXT(Table1[[#This Row],[Order_Date]],"mmm")</f>
        <v>Feb</v>
      </c>
      <c r="D183" t="s">
        <v>425</v>
      </c>
      <c r="E183" t="s">
        <v>17</v>
      </c>
      <c r="F183">
        <v>2</v>
      </c>
      <c r="G183">
        <v>47407.68</v>
      </c>
      <c r="H183">
        <v>94815.360000000001</v>
      </c>
      <c r="I183" t="s">
        <v>42</v>
      </c>
      <c r="J183" t="s">
        <v>14</v>
      </c>
    </row>
    <row r="184" spans="1:10" x14ac:dyDescent="0.35">
      <c r="A184" t="s">
        <v>426</v>
      </c>
      <c r="B184" t="s">
        <v>427</v>
      </c>
      <c r="C184" t="str">
        <f>TEXT(Table1[[#This Row],[Order_Date]],"mmm")</f>
        <v>Feb</v>
      </c>
      <c r="D184" t="s">
        <v>428</v>
      </c>
      <c r="E184" t="s">
        <v>12</v>
      </c>
      <c r="F184">
        <v>4</v>
      </c>
      <c r="G184">
        <v>6200.6</v>
      </c>
      <c r="H184">
        <v>24802.400000000001</v>
      </c>
      <c r="I184" t="s">
        <v>13</v>
      </c>
      <c r="J184" t="s">
        <v>19</v>
      </c>
    </row>
    <row r="185" spans="1:10" x14ac:dyDescent="0.35">
      <c r="A185" t="s">
        <v>429</v>
      </c>
      <c r="B185" t="s">
        <v>427</v>
      </c>
      <c r="C185" t="str">
        <f>TEXT(Table1[[#This Row],[Order_Date]],"mmm")</f>
        <v>Feb</v>
      </c>
      <c r="D185" t="s">
        <v>430</v>
      </c>
      <c r="E185" t="s">
        <v>56</v>
      </c>
      <c r="F185">
        <v>5</v>
      </c>
      <c r="G185">
        <v>15769.55</v>
      </c>
      <c r="H185">
        <v>78847.75</v>
      </c>
      <c r="I185" t="s">
        <v>23</v>
      </c>
      <c r="J185" t="s">
        <v>24</v>
      </c>
    </row>
    <row r="186" spans="1:10" x14ac:dyDescent="0.35">
      <c r="A186" t="s">
        <v>431</v>
      </c>
      <c r="B186" t="s">
        <v>427</v>
      </c>
      <c r="C186" t="str">
        <f>TEXT(Table1[[#This Row],[Order_Date]],"mmm")</f>
        <v>Feb</v>
      </c>
      <c r="D186" t="s">
        <v>432</v>
      </c>
      <c r="E186" t="s">
        <v>47</v>
      </c>
      <c r="F186">
        <v>4</v>
      </c>
      <c r="G186">
        <v>15351.75</v>
      </c>
      <c r="H186">
        <v>61407</v>
      </c>
      <c r="I186" t="s">
        <v>18</v>
      </c>
      <c r="J186" t="s">
        <v>35</v>
      </c>
    </row>
    <row r="187" spans="1:10" x14ac:dyDescent="0.35">
      <c r="A187" t="s">
        <v>433</v>
      </c>
      <c r="B187" t="s">
        <v>427</v>
      </c>
      <c r="C187" t="str">
        <f>TEXT(Table1[[#This Row],[Order_Date]],"mmm")</f>
        <v>Feb</v>
      </c>
      <c r="D187" t="s">
        <v>434</v>
      </c>
      <c r="E187" t="s">
        <v>56</v>
      </c>
      <c r="F187">
        <v>5</v>
      </c>
      <c r="G187">
        <v>6944.48</v>
      </c>
      <c r="H187">
        <v>34722.400000000001</v>
      </c>
      <c r="I187" t="s">
        <v>23</v>
      </c>
      <c r="J187" t="s">
        <v>14</v>
      </c>
    </row>
    <row r="188" spans="1:10" x14ac:dyDescent="0.35">
      <c r="A188" t="s">
        <v>435</v>
      </c>
      <c r="B188" t="s">
        <v>427</v>
      </c>
      <c r="C188" t="str">
        <f>TEXT(Table1[[#This Row],[Order_Date]],"mmm")</f>
        <v>Feb</v>
      </c>
      <c r="D188" t="s">
        <v>436</v>
      </c>
      <c r="E188" t="s">
        <v>32</v>
      </c>
      <c r="F188">
        <v>4</v>
      </c>
      <c r="G188">
        <v>23258.67</v>
      </c>
      <c r="H188">
        <v>93034.68</v>
      </c>
      <c r="I188" t="s">
        <v>18</v>
      </c>
      <c r="J188" t="s">
        <v>19</v>
      </c>
    </row>
    <row r="189" spans="1:10" x14ac:dyDescent="0.35">
      <c r="A189" t="s">
        <v>437</v>
      </c>
      <c r="B189" t="s">
        <v>438</v>
      </c>
      <c r="C189" t="str">
        <f>TEXT(Table1[[#This Row],[Order_Date]],"mmm")</f>
        <v>Feb</v>
      </c>
      <c r="D189" t="s">
        <v>439</v>
      </c>
      <c r="E189" t="s">
        <v>17</v>
      </c>
      <c r="F189">
        <v>1</v>
      </c>
      <c r="G189">
        <v>10646.52</v>
      </c>
      <c r="H189">
        <v>10646.52</v>
      </c>
      <c r="I189" t="s">
        <v>18</v>
      </c>
      <c r="J189" t="s">
        <v>14</v>
      </c>
    </row>
    <row r="190" spans="1:10" x14ac:dyDescent="0.35">
      <c r="A190" t="s">
        <v>440</v>
      </c>
      <c r="B190" t="s">
        <v>438</v>
      </c>
      <c r="C190" t="str">
        <f>TEXT(Table1[[#This Row],[Order_Date]],"mmm")</f>
        <v>Feb</v>
      </c>
      <c r="D190" t="s">
        <v>441</v>
      </c>
      <c r="E190" t="s">
        <v>56</v>
      </c>
      <c r="F190">
        <v>5</v>
      </c>
      <c r="G190">
        <v>10889.46</v>
      </c>
      <c r="H190">
        <v>54447.3</v>
      </c>
      <c r="I190" t="s">
        <v>23</v>
      </c>
      <c r="J190" t="s">
        <v>24</v>
      </c>
    </row>
    <row r="191" spans="1:10" x14ac:dyDescent="0.35">
      <c r="A191" t="s">
        <v>442</v>
      </c>
      <c r="B191" t="s">
        <v>438</v>
      </c>
      <c r="C191" t="str">
        <f>TEXT(Table1[[#This Row],[Order_Date]],"mmm")</f>
        <v>Feb</v>
      </c>
      <c r="D191" t="s">
        <v>443</v>
      </c>
      <c r="E191" t="s">
        <v>22</v>
      </c>
      <c r="F191">
        <v>5</v>
      </c>
      <c r="G191">
        <v>30448.36</v>
      </c>
      <c r="H191">
        <v>152241.79999999999</v>
      </c>
      <c r="I191" t="s">
        <v>13</v>
      </c>
      <c r="J191" t="s">
        <v>19</v>
      </c>
    </row>
    <row r="192" spans="1:10" x14ac:dyDescent="0.35">
      <c r="A192" t="s">
        <v>444</v>
      </c>
      <c r="B192" t="s">
        <v>438</v>
      </c>
      <c r="C192" t="str">
        <f>TEXT(Table1[[#This Row],[Order_Date]],"mmm")</f>
        <v>Feb</v>
      </c>
      <c r="D192" t="s">
        <v>445</v>
      </c>
      <c r="E192" t="s">
        <v>75</v>
      </c>
      <c r="F192">
        <v>2</v>
      </c>
      <c r="G192">
        <v>20086.02</v>
      </c>
      <c r="H192">
        <v>40172.04</v>
      </c>
      <c r="I192" t="s">
        <v>23</v>
      </c>
      <c r="J192" t="s">
        <v>19</v>
      </c>
    </row>
    <row r="193" spans="1:10" x14ac:dyDescent="0.35">
      <c r="A193" t="s">
        <v>446</v>
      </c>
      <c r="B193" t="s">
        <v>447</v>
      </c>
      <c r="C193" t="str">
        <f>TEXT(Table1[[#This Row],[Order_Date]],"mmm")</f>
        <v>Feb</v>
      </c>
      <c r="D193" t="s">
        <v>448</v>
      </c>
      <c r="E193" t="s">
        <v>47</v>
      </c>
      <c r="F193">
        <v>5</v>
      </c>
      <c r="G193">
        <v>47498.09</v>
      </c>
      <c r="H193">
        <v>237490.45</v>
      </c>
      <c r="I193" t="s">
        <v>13</v>
      </c>
      <c r="J193" t="s">
        <v>24</v>
      </c>
    </row>
    <row r="194" spans="1:10" x14ac:dyDescent="0.35">
      <c r="A194" t="s">
        <v>449</v>
      </c>
      <c r="B194" t="s">
        <v>447</v>
      </c>
      <c r="C194" t="str">
        <f>TEXT(Table1[[#This Row],[Order_Date]],"mmm")</f>
        <v>Feb</v>
      </c>
      <c r="D194" t="s">
        <v>450</v>
      </c>
      <c r="E194" t="s">
        <v>75</v>
      </c>
      <c r="F194">
        <v>5</v>
      </c>
      <c r="G194">
        <v>20019.919999999998</v>
      </c>
      <c r="H194">
        <v>100099.6</v>
      </c>
      <c r="I194" t="s">
        <v>42</v>
      </c>
      <c r="J194" t="s">
        <v>24</v>
      </c>
    </row>
    <row r="195" spans="1:10" x14ac:dyDescent="0.35">
      <c r="A195" t="s">
        <v>451</v>
      </c>
      <c r="B195" t="s">
        <v>447</v>
      </c>
      <c r="C195" t="str">
        <f>TEXT(Table1[[#This Row],[Order_Date]],"mmm")</f>
        <v>Feb</v>
      </c>
      <c r="D195" t="s">
        <v>452</v>
      </c>
      <c r="E195" t="s">
        <v>32</v>
      </c>
      <c r="F195">
        <v>5</v>
      </c>
      <c r="G195">
        <v>28209.58</v>
      </c>
      <c r="H195">
        <v>141047.9</v>
      </c>
      <c r="I195" t="s">
        <v>23</v>
      </c>
      <c r="J195" t="s">
        <v>19</v>
      </c>
    </row>
    <row r="196" spans="1:10" x14ac:dyDescent="0.35">
      <c r="A196" t="s">
        <v>453</v>
      </c>
      <c r="B196" t="s">
        <v>447</v>
      </c>
      <c r="C196" t="str">
        <f>TEXT(Table1[[#This Row],[Order_Date]],"mmm")</f>
        <v>Feb</v>
      </c>
      <c r="D196" t="s">
        <v>454</v>
      </c>
      <c r="E196" t="s">
        <v>12</v>
      </c>
      <c r="F196">
        <v>5</v>
      </c>
      <c r="G196">
        <v>7812.52</v>
      </c>
      <c r="H196">
        <v>39062.6</v>
      </c>
      <c r="I196" t="s">
        <v>23</v>
      </c>
      <c r="J196" t="s">
        <v>24</v>
      </c>
    </row>
    <row r="197" spans="1:10" x14ac:dyDescent="0.35">
      <c r="A197" t="s">
        <v>455</v>
      </c>
      <c r="B197" t="s">
        <v>447</v>
      </c>
      <c r="C197" t="str">
        <f>TEXT(Table1[[#This Row],[Order_Date]],"mmm")</f>
        <v>Feb</v>
      </c>
      <c r="D197" t="s">
        <v>456</v>
      </c>
      <c r="E197" t="s">
        <v>32</v>
      </c>
      <c r="F197">
        <v>3</v>
      </c>
      <c r="G197">
        <v>17365.02</v>
      </c>
      <c r="H197">
        <v>52095.06</v>
      </c>
      <c r="I197" t="s">
        <v>13</v>
      </c>
      <c r="J197" t="s">
        <v>24</v>
      </c>
    </row>
    <row r="198" spans="1:10" x14ac:dyDescent="0.35">
      <c r="A198" t="s">
        <v>457</v>
      </c>
      <c r="B198" t="s">
        <v>458</v>
      </c>
      <c r="C198" t="str">
        <f>TEXT(Table1[[#This Row],[Order_Date]],"mmm")</f>
        <v>Feb</v>
      </c>
      <c r="D198" t="s">
        <v>459</v>
      </c>
      <c r="E198" t="s">
        <v>56</v>
      </c>
      <c r="F198">
        <v>4</v>
      </c>
      <c r="G198">
        <v>30035.19</v>
      </c>
      <c r="H198">
        <v>120140.76</v>
      </c>
      <c r="I198" t="s">
        <v>42</v>
      </c>
      <c r="J198" t="s">
        <v>19</v>
      </c>
    </row>
    <row r="199" spans="1:10" x14ac:dyDescent="0.35">
      <c r="A199" t="s">
        <v>460</v>
      </c>
      <c r="B199" t="s">
        <v>458</v>
      </c>
      <c r="C199" t="str">
        <f>TEXT(Table1[[#This Row],[Order_Date]],"mmm")</f>
        <v>Feb</v>
      </c>
      <c r="D199" t="s">
        <v>461</v>
      </c>
      <c r="E199" t="s">
        <v>75</v>
      </c>
      <c r="F199">
        <v>3</v>
      </c>
      <c r="G199">
        <v>46969.88</v>
      </c>
      <c r="H199">
        <v>140909.64000000001</v>
      </c>
      <c r="I199" t="s">
        <v>13</v>
      </c>
      <c r="J199" t="s">
        <v>14</v>
      </c>
    </row>
    <row r="200" spans="1:10" x14ac:dyDescent="0.35">
      <c r="A200" t="s">
        <v>462</v>
      </c>
      <c r="B200" t="s">
        <v>458</v>
      </c>
      <c r="C200" t="str">
        <f>TEXT(Table1[[#This Row],[Order_Date]],"mmm")</f>
        <v>Feb</v>
      </c>
      <c r="D200" t="s">
        <v>463</v>
      </c>
      <c r="E200" t="s">
        <v>12</v>
      </c>
      <c r="F200">
        <v>4</v>
      </c>
      <c r="G200">
        <v>43692.54</v>
      </c>
      <c r="H200">
        <v>174770.16</v>
      </c>
      <c r="I200" t="s">
        <v>42</v>
      </c>
      <c r="J200" t="s">
        <v>19</v>
      </c>
    </row>
    <row r="201" spans="1:10" x14ac:dyDescent="0.35">
      <c r="A201" t="s">
        <v>464</v>
      </c>
      <c r="B201" t="s">
        <v>458</v>
      </c>
      <c r="C201" t="str">
        <f>TEXT(Table1[[#This Row],[Order_Date]],"mmm")</f>
        <v>Feb</v>
      </c>
      <c r="D201" t="s">
        <v>465</v>
      </c>
      <c r="E201" t="s">
        <v>32</v>
      </c>
      <c r="F201">
        <v>1</v>
      </c>
      <c r="G201">
        <v>22118.99</v>
      </c>
      <c r="H201">
        <v>22118.99</v>
      </c>
      <c r="I201" t="s">
        <v>42</v>
      </c>
      <c r="J201" t="s">
        <v>24</v>
      </c>
    </row>
    <row r="202" spans="1:10" x14ac:dyDescent="0.35">
      <c r="A202" t="s">
        <v>466</v>
      </c>
      <c r="B202" t="s">
        <v>458</v>
      </c>
      <c r="C202" t="str">
        <f>TEXT(Table1[[#This Row],[Order_Date]],"mmm")</f>
        <v>Feb</v>
      </c>
      <c r="D202" t="s">
        <v>467</v>
      </c>
      <c r="E202" t="s">
        <v>38</v>
      </c>
      <c r="F202">
        <v>4</v>
      </c>
      <c r="G202">
        <v>41023.18</v>
      </c>
      <c r="H202">
        <v>164092.72</v>
      </c>
      <c r="I202" t="s">
        <v>18</v>
      </c>
      <c r="J202" t="s">
        <v>14</v>
      </c>
    </row>
    <row r="203" spans="1:10" x14ac:dyDescent="0.35">
      <c r="A203" t="s">
        <v>468</v>
      </c>
      <c r="B203" t="s">
        <v>458</v>
      </c>
      <c r="C203" t="str">
        <f>TEXT(Table1[[#This Row],[Order_Date]],"mmm")</f>
        <v>Feb</v>
      </c>
      <c r="D203" t="s">
        <v>469</v>
      </c>
      <c r="E203" t="s">
        <v>47</v>
      </c>
      <c r="F203">
        <v>5</v>
      </c>
      <c r="G203">
        <v>4352.17</v>
      </c>
      <c r="H203">
        <v>21760.85</v>
      </c>
      <c r="I203" t="s">
        <v>23</v>
      </c>
      <c r="J203" t="s">
        <v>19</v>
      </c>
    </row>
    <row r="204" spans="1:10" x14ac:dyDescent="0.35">
      <c r="A204" t="s">
        <v>470</v>
      </c>
      <c r="B204" t="s">
        <v>471</v>
      </c>
      <c r="C204" t="str">
        <f>TEXT(Table1[[#This Row],[Order_Date]],"mmm")</f>
        <v>Feb</v>
      </c>
      <c r="D204" t="s">
        <v>472</v>
      </c>
      <c r="E204" t="s">
        <v>12</v>
      </c>
      <c r="F204">
        <v>5</v>
      </c>
      <c r="G204">
        <v>13420.79</v>
      </c>
      <c r="H204">
        <v>67103.95</v>
      </c>
      <c r="I204" t="s">
        <v>42</v>
      </c>
      <c r="J204" t="s">
        <v>35</v>
      </c>
    </row>
    <row r="205" spans="1:10" x14ac:dyDescent="0.35">
      <c r="A205" t="s">
        <v>473</v>
      </c>
      <c r="B205" t="s">
        <v>471</v>
      </c>
      <c r="C205" t="str">
        <f>TEXT(Table1[[#This Row],[Order_Date]],"mmm")</f>
        <v>Feb</v>
      </c>
      <c r="D205" t="s">
        <v>474</v>
      </c>
      <c r="E205" t="s">
        <v>72</v>
      </c>
      <c r="F205">
        <v>5</v>
      </c>
      <c r="G205">
        <v>41444.400000000001</v>
      </c>
      <c r="H205">
        <v>207222</v>
      </c>
      <c r="I205" t="s">
        <v>13</v>
      </c>
      <c r="J205" t="s">
        <v>14</v>
      </c>
    </row>
    <row r="206" spans="1:10" x14ac:dyDescent="0.35">
      <c r="A206" t="s">
        <v>475</v>
      </c>
      <c r="B206" t="s">
        <v>471</v>
      </c>
      <c r="C206" t="str">
        <f>TEXT(Table1[[#This Row],[Order_Date]],"mmm")</f>
        <v>Feb</v>
      </c>
      <c r="D206" t="s">
        <v>476</v>
      </c>
      <c r="E206" t="s">
        <v>38</v>
      </c>
      <c r="F206">
        <v>4</v>
      </c>
      <c r="G206">
        <v>49149.69</v>
      </c>
      <c r="H206">
        <v>196598.76</v>
      </c>
      <c r="I206" t="s">
        <v>42</v>
      </c>
      <c r="J206" t="s">
        <v>24</v>
      </c>
    </row>
    <row r="207" spans="1:10" x14ac:dyDescent="0.35">
      <c r="A207" t="s">
        <v>477</v>
      </c>
      <c r="B207" t="s">
        <v>478</v>
      </c>
      <c r="C207" t="str">
        <f>TEXT(Table1[[#This Row],[Order_Date]],"mmm")</f>
        <v>Feb</v>
      </c>
      <c r="D207" t="s">
        <v>479</v>
      </c>
      <c r="E207" t="s">
        <v>75</v>
      </c>
      <c r="F207">
        <v>3</v>
      </c>
      <c r="G207">
        <v>3190.61</v>
      </c>
      <c r="H207">
        <v>9571.83</v>
      </c>
      <c r="I207" t="s">
        <v>42</v>
      </c>
      <c r="J207" t="s">
        <v>14</v>
      </c>
    </row>
    <row r="208" spans="1:10" x14ac:dyDescent="0.35">
      <c r="A208" t="s">
        <v>480</v>
      </c>
      <c r="B208" t="s">
        <v>478</v>
      </c>
      <c r="C208" t="str">
        <f>TEXT(Table1[[#This Row],[Order_Date]],"mmm")</f>
        <v>Feb</v>
      </c>
      <c r="D208" t="s">
        <v>481</v>
      </c>
      <c r="E208" t="s">
        <v>53</v>
      </c>
      <c r="F208">
        <v>4</v>
      </c>
      <c r="G208">
        <v>31920.71</v>
      </c>
      <c r="H208">
        <v>127682.84</v>
      </c>
      <c r="I208" t="s">
        <v>18</v>
      </c>
      <c r="J208" t="s">
        <v>24</v>
      </c>
    </row>
    <row r="209" spans="1:10" x14ac:dyDescent="0.35">
      <c r="A209" t="s">
        <v>482</v>
      </c>
      <c r="B209" t="s">
        <v>478</v>
      </c>
      <c r="C209" t="str">
        <f>TEXT(Table1[[#This Row],[Order_Date]],"mmm")</f>
        <v>Feb</v>
      </c>
      <c r="D209" t="s">
        <v>483</v>
      </c>
      <c r="E209" t="s">
        <v>47</v>
      </c>
      <c r="F209">
        <v>5</v>
      </c>
      <c r="G209">
        <v>39463.800000000003</v>
      </c>
      <c r="H209">
        <v>197319</v>
      </c>
      <c r="I209" t="s">
        <v>13</v>
      </c>
      <c r="J209" t="s">
        <v>19</v>
      </c>
    </row>
    <row r="210" spans="1:10" x14ac:dyDescent="0.35">
      <c r="A210" t="s">
        <v>484</v>
      </c>
      <c r="B210" t="s">
        <v>485</v>
      </c>
      <c r="C210" t="str">
        <f>TEXT(Table1[[#This Row],[Order_Date]],"mmm")</f>
        <v>Feb</v>
      </c>
      <c r="D210" t="s">
        <v>486</v>
      </c>
      <c r="E210" t="s">
        <v>12</v>
      </c>
      <c r="F210">
        <v>3</v>
      </c>
      <c r="G210">
        <v>44737.34</v>
      </c>
      <c r="H210">
        <v>134212.01999999999</v>
      </c>
      <c r="I210" t="s">
        <v>42</v>
      </c>
      <c r="J210" t="s">
        <v>19</v>
      </c>
    </row>
    <row r="211" spans="1:10" x14ac:dyDescent="0.35">
      <c r="A211" t="s">
        <v>487</v>
      </c>
      <c r="B211" t="s">
        <v>485</v>
      </c>
      <c r="C211" t="str">
        <f>TEXT(Table1[[#This Row],[Order_Date]],"mmm")</f>
        <v>Feb</v>
      </c>
      <c r="D211" t="s">
        <v>488</v>
      </c>
      <c r="E211" t="s">
        <v>17</v>
      </c>
      <c r="F211">
        <v>5</v>
      </c>
      <c r="G211">
        <v>25754.240000000002</v>
      </c>
      <c r="H211">
        <v>128771.2</v>
      </c>
      <c r="I211" t="s">
        <v>23</v>
      </c>
      <c r="J211" t="s">
        <v>19</v>
      </c>
    </row>
    <row r="212" spans="1:10" x14ac:dyDescent="0.35">
      <c r="A212" t="s">
        <v>489</v>
      </c>
      <c r="B212" t="s">
        <v>485</v>
      </c>
      <c r="C212" t="str">
        <f>TEXT(Table1[[#This Row],[Order_Date]],"mmm")</f>
        <v>Feb</v>
      </c>
      <c r="D212" t="s">
        <v>490</v>
      </c>
      <c r="E212" t="s">
        <v>75</v>
      </c>
      <c r="F212">
        <v>4</v>
      </c>
      <c r="G212">
        <v>20629.7</v>
      </c>
      <c r="H212">
        <v>82518.8</v>
      </c>
      <c r="I212" t="s">
        <v>23</v>
      </c>
      <c r="J212" t="s">
        <v>19</v>
      </c>
    </row>
    <row r="213" spans="1:10" x14ac:dyDescent="0.35">
      <c r="A213" t="s">
        <v>491</v>
      </c>
      <c r="B213" t="s">
        <v>485</v>
      </c>
      <c r="C213" t="str">
        <f>TEXT(Table1[[#This Row],[Order_Date]],"mmm")</f>
        <v>Feb</v>
      </c>
      <c r="D213" t="s">
        <v>29</v>
      </c>
      <c r="E213" t="s">
        <v>56</v>
      </c>
      <c r="F213">
        <v>3</v>
      </c>
      <c r="G213">
        <v>40315.599999999999</v>
      </c>
      <c r="H213">
        <v>120946.8</v>
      </c>
      <c r="I213" t="s">
        <v>13</v>
      </c>
      <c r="J213" t="s">
        <v>24</v>
      </c>
    </row>
    <row r="214" spans="1:10" x14ac:dyDescent="0.35">
      <c r="A214" t="s">
        <v>492</v>
      </c>
      <c r="B214" t="s">
        <v>485</v>
      </c>
      <c r="C214" t="str">
        <f>TEXT(Table1[[#This Row],[Order_Date]],"mmm")</f>
        <v>Feb</v>
      </c>
      <c r="D214" t="s">
        <v>274</v>
      </c>
      <c r="E214" t="s">
        <v>72</v>
      </c>
      <c r="F214">
        <v>1</v>
      </c>
      <c r="G214">
        <v>24817.48</v>
      </c>
      <c r="H214">
        <v>24817.48</v>
      </c>
      <c r="I214" t="s">
        <v>13</v>
      </c>
      <c r="J214" t="s">
        <v>19</v>
      </c>
    </row>
    <row r="215" spans="1:10" x14ac:dyDescent="0.35">
      <c r="A215" t="s">
        <v>493</v>
      </c>
      <c r="B215" t="s">
        <v>485</v>
      </c>
      <c r="C215" t="str">
        <f>TEXT(Table1[[#This Row],[Order_Date]],"mmm")</f>
        <v>Feb</v>
      </c>
      <c r="D215" t="s">
        <v>494</v>
      </c>
      <c r="E215" t="s">
        <v>47</v>
      </c>
      <c r="F215">
        <v>2</v>
      </c>
      <c r="G215">
        <v>16108.2</v>
      </c>
      <c r="H215">
        <v>32216.400000000001</v>
      </c>
      <c r="I215" t="s">
        <v>18</v>
      </c>
      <c r="J215" t="s">
        <v>19</v>
      </c>
    </row>
    <row r="216" spans="1:10" x14ac:dyDescent="0.35">
      <c r="A216" t="s">
        <v>495</v>
      </c>
      <c r="B216" t="s">
        <v>485</v>
      </c>
      <c r="C216" t="str">
        <f>TEXT(Table1[[#This Row],[Order_Date]],"mmm")</f>
        <v>Feb</v>
      </c>
      <c r="D216" t="s">
        <v>496</v>
      </c>
      <c r="E216" t="s">
        <v>12</v>
      </c>
      <c r="F216">
        <v>3</v>
      </c>
      <c r="G216">
        <v>22619.77</v>
      </c>
      <c r="H216">
        <v>67859.31</v>
      </c>
      <c r="I216" t="s">
        <v>42</v>
      </c>
      <c r="J216" t="s">
        <v>35</v>
      </c>
    </row>
    <row r="217" spans="1:10" x14ac:dyDescent="0.35">
      <c r="A217" t="s">
        <v>497</v>
      </c>
      <c r="B217" t="s">
        <v>498</v>
      </c>
      <c r="C217" t="str">
        <f>TEXT(Table1[[#This Row],[Order_Date]],"mmm")</f>
        <v>Feb</v>
      </c>
      <c r="D217" t="s">
        <v>499</v>
      </c>
      <c r="E217" t="s">
        <v>38</v>
      </c>
      <c r="F217">
        <v>3</v>
      </c>
      <c r="G217">
        <v>37883.54</v>
      </c>
      <c r="H217">
        <v>113650.62</v>
      </c>
      <c r="I217" t="s">
        <v>23</v>
      </c>
      <c r="J217" t="s">
        <v>24</v>
      </c>
    </row>
    <row r="218" spans="1:10" x14ac:dyDescent="0.35">
      <c r="A218" t="s">
        <v>500</v>
      </c>
      <c r="B218" t="s">
        <v>498</v>
      </c>
      <c r="C218" t="str">
        <f>TEXT(Table1[[#This Row],[Order_Date]],"mmm")</f>
        <v>Feb</v>
      </c>
      <c r="D218" t="s">
        <v>501</v>
      </c>
      <c r="E218" t="s">
        <v>38</v>
      </c>
      <c r="F218">
        <v>1</v>
      </c>
      <c r="G218">
        <v>24383.03</v>
      </c>
      <c r="H218">
        <v>24383.03</v>
      </c>
      <c r="I218" t="s">
        <v>13</v>
      </c>
      <c r="J218" t="s">
        <v>19</v>
      </c>
    </row>
    <row r="219" spans="1:10" x14ac:dyDescent="0.35">
      <c r="A219" t="s">
        <v>502</v>
      </c>
      <c r="B219" t="s">
        <v>498</v>
      </c>
      <c r="C219" t="str">
        <f>TEXT(Table1[[#This Row],[Order_Date]],"mmm")</f>
        <v>Feb</v>
      </c>
      <c r="D219" t="s">
        <v>503</v>
      </c>
      <c r="E219" t="s">
        <v>75</v>
      </c>
      <c r="F219">
        <v>4</v>
      </c>
      <c r="G219">
        <v>29808.01</v>
      </c>
      <c r="H219">
        <v>119232.04</v>
      </c>
      <c r="I219" t="s">
        <v>23</v>
      </c>
      <c r="J219" t="s">
        <v>14</v>
      </c>
    </row>
    <row r="220" spans="1:10" x14ac:dyDescent="0.35">
      <c r="A220" t="s">
        <v>504</v>
      </c>
      <c r="B220" t="s">
        <v>498</v>
      </c>
      <c r="C220" t="str">
        <f>TEXT(Table1[[#This Row],[Order_Date]],"mmm")</f>
        <v>Feb</v>
      </c>
      <c r="D220" t="s">
        <v>505</v>
      </c>
      <c r="E220" t="s">
        <v>32</v>
      </c>
      <c r="F220">
        <v>3</v>
      </c>
      <c r="G220">
        <v>31723.7</v>
      </c>
      <c r="H220">
        <v>95171.1</v>
      </c>
      <c r="I220" t="s">
        <v>18</v>
      </c>
      <c r="J220" t="s">
        <v>35</v>
      </c>
    </row>
    <row r="221" spans="1:10" x14ac:dyDescent="0.35">
      <c r="A221" t="s">
        <v>506</v>
      </c>
      <c r="B221" t="s">
        <v>498</v>
      </c>
      <c r="C221" t="str">
        <f>TEXT(Table1[[#This Row],[Order_Date]],"mmm")</f>
        <v>Feb</v>
      </c>
      <c r="D221" t="s">
        <v>507</v>
      </c>
      <c r="E221" t="s">
        <v>75</v>
      </c>
      <c r="F221">
        <v>4</v>
      </c>
      <c r="G221">
        <v>29102.25</v>
      </c>
      <c r="H221">
        <v>116409</v>
      </c>
      <c r="I221" t="s">
        <v>23</v>
      </c>
      <c r="J221" t="s">
        <v>24</v>
      </c>
    </row>
    <row r="222" spans="1:10" x14ac:dyDescent="0.35">
      <c r="A222" t="s">
        <v>508</v>
      </c>
      <c r="B222" t="s">
        <v>498</v>
      </c>
      <c r="C222" t="str">
        <f>TEXT(Table1[[#This Row],[Order_Date]],"mmm")</f>
        <v>Feb</v>
      </c>
      <c r="D222" t="s">
        <v>166</v>
      </c>
      <c r="E222" t="s">
        <v>53</v>
      </c>
      <c r="F222">
        <v>1</v>
      </c>
      <c r="G222">
        <v>23412.5</v>
      </c>
      <c r="H222">
        <v>23412.5</v>
      </c>
      <c r="I222" t="s">
        <v>23</v>
      </c>
      <c r="J222" t="s">
        <v>14</v>
      </c>
    </row>
    <row r="223" spans="1:10" x14ac:dyDescent="0.35">
      <c r="A223" t="s">
        <v>509</v>
      </c>
      <c r="B223" t="s">
        <v>510</v>
      </c>
      <c r="C223" t="str">
        <f>TEXT(Table1[[#This Row],[Order_Date]],"mmm")</f>
        <v>Feb</v>
      </c>
      <c r="D223" t="s">
        <v>511</v>
      </c>
      <c r="E223" t="s">
        <v>75</v>
      </c>
      <c r="F223">
        <v>2</v>
      </c>
      <c r="G223">
        <v>4407.0200000000004</v>
      </c>
      <c r="H223">
        <v>8814.0400000000009</v>
      </c>
      <c r="I223" t="s">
        <v>23</v>
      </c>
      <c r="J223" t="s">
        <v>24</v>
      </c>
    </row>
    <row r="224" spans="1:10" x14ac:dyDescent="0.35">
      <c r="A224" t="s">
        <v>512</v>
      </c>
      <c r="B224" t="s">
        <v>510</v>
      </c>
      <c r="C224" t="str">
        <f>TEXT(Table1[[#This Row],[Order_Date]],"mmm")</f>
        <v>Feb</v>
      </c>
      <c r="D224" t="s">
        <v>513</v>
      </c>
      <c r="E224" t="s">
        <v>12</v>
      </c>
      <c r="F224">
        <v>1</v>
      </c>
      <c r="G224">
        <v>35077.279999999999</v>
      </c>
      <c r="H224">
        <v>35077.279999999999</v>
      </c>
      <c r="I224" t="s">
        <v>42</v>
      </c>
      <c r="J224" t="s">
        <v>19</v>
      </c>
    </row>
    <row r="225" spans="1:10" x14ac:dyDescent="0.35">
      <c r="A225" t="s">
        <v>514</v>
      </c>
      <c r="B225" t="s">
        <v>510</v>
      </c>
      <c r="C225" t="str">
        <f>TEXT(Table1[[#This Row],[Order_Date]],"mmm")</f>
        <v>Feb</v>
      </c>
      <c r="D225" t="s">
        <v>515</v>
      </c>
      <c r="E225" t="s">
        <v>17</v>
      </c>
      <c r="F225">
        <v>4</v>
      </c>
      <c r="G225">
        <v>17163.080000000002</v>
      </c>
      <c r="H225">
        <v>68652.320000000007</v>
      </c>
      <c r="I225" t="s">
        <v>18</v>
      </c>
      <c r="J225" t="s">
        <v>24</v>
      </c>
    </row>
    <row r="226" spans="1:10" x14ac:dyDescent="0.35">
      <c r="A226" t="s">
        <v>516</v>
      </c>
      <c r="B226" t="s">
        <v>517</v>
      </c>
      <c r="C226" t="str">
        <f>TEXT(Table1[[#This Row],[Order_Date]],"mmm")</f>
        <v>Feb</v>
      </c>
      <c r="D226" t="s">
        <v>518</v>
      </c>
      <c r="E226" t="s">
        <v>53</v>
      </c>
      <c r="F226">
        <v>5</v>
      </c>
      <c r="G226">
        <v>15358.68</v>
      </c>
      <c r="H226">
        <v>76793.399999999994</v>
      </c>
      <c r="I226" t="s">
        <v>13</v>
      </c>
      <c r="J226" t="s">
        <v>24</v>
      </c>
    </row>
    <row r="227" spans="1:10" x14ac:dyDescent="0.35">
      <c r="A227" t="s">
        <v>519</v>
      </c>
      <c r="B227" t="s">
        <v>517</v>
      </c>
      <c r="C227" t="str">
        <f>TEXT(Table1[[#This Row],[Order_Date]],"mmm")</f>
        <v>Feb</v>
      </c>
      <c r="D227" t="s">
        <v>520</v>
      </c>
      <c r="E227" t="s">
        <v>22</v>
      </c>
      <c r="F227">
        <v>4</v>
      </c>
      <c r="G227">
        <v>38536.42</v>
      </c>
      <c r="H227">
        <v>154145.68</v>
      </c>
      <c r="I227" t="s">
        <v>18</v>
      </c>
      <c r="J227" t="s">
        <v>24</v>
      </c>
    </row>
    <row r="228" spans="1:10" x14ac:dyDescent="0.35">
      <c r="A228" t="s">
        <v>521</v>
      </c>
      <c r="B228" t="s">
        <v>517</v>
      </c>
      <c r="C228" t="str">
        <f>TEXT(Table1[[#This Row],[Order_Date]],"mmm")</f>
        <v>Feb</v>
      </c>
      <c r="D228" t="s">
        <v>522</v>
      </c>
      <c r="E228" t="s">
        <v>38</v>
      </c>
      <c r="F228">
        <v>5</v>
      </c>
      <c r="G228">
        <v>17899.02</v>
      </c>
      <c r="H228">
        <v>89495.1</v>
      </c>
      <c r="I228" t="s">
        <v>13</v>
      </c>
      <c r="J228" t="s">
        <v>24</v>
      </c>
    </row>
    <row r="229" spans="1:10" x14ac:dyDescent="0.35">
      <c r="A229" t="s">
        <v>523</v>
      </c>
      <c r="B229" t="s">
        <v>517</v>
      </c>
      <c r="C229" t="str">
        <f>TEXT(Table1[[#This Row],[Order_Date]],"mmm")</f>
        <v>Feb</v>
      </c>
      <c r="D229" t="s">
        <v>524</v>
      </c>
      <c r="E229" t="s">
        <v>38</v>
      </c>
      <c r="F229">
        <v>4</v>
      </c>
      <c r="G229">
        <v>16152.29</v>
      </c>
      <c r="H229">
        <v>64609.16</v>
      </c>
      <c r="I229" t="s">
        <v>13</v>
      </c>
      <c r="J229" t="s">
        <v>24</v>
      </c>
    </row>
    <row r="230" spans="1:10" x14ac:dyDescent="0.35">
      <c r="A230" t="s">
        <v>525</v>
      </c>
      <c r="B230" t="s">
        <v>526</v>
      </c>
      <c r="C230" t="str">
        <f>TEXT(Table1[[#This Row],[Order_Date]],"mmm")</f>
        <v>Feb</v>
      </c>
      <c r="D230" t="s">
        <v>527</v>
      </c>
      <c r="E230" t="s">
        <v>56</v>
      </c>
      <c r="F230">
        <v>4</v>
      </c>
      <c r="G230">
        <v>41314.400000000001</v>
      </c>
      <c r="H230">
        <v>165257.60000000001</v>
      </c>
      <c r="I230" t="s">
        <v>18</v>
      </c>
      <c r="J230" t="s">
        <v>35</v>
      </c>
    </row>
    <row r="231" spans="1:10" x14ac:dyDescent="0.35">
      <c r="A231" t="s">
        <v>528</v>
      </c>
      <c r="B231" t="s">
        <v>526</v>
      </c>
      <c r="C231" t="str">
        <f>TEXT(Table1[[#This Row],[Order_Date]],"mmm")</f>
        <v>Feb</v>
      </c>
      <c r="D231" t="s">
        <v>529</v>
      </c>
      <c r="E231" t="s">
        <v>56</v>
      </c>
      <c r="F231">
        <v>3</v>
      </c>
      <c r="G231">
        <v>18322.849999999999</v>
      </c>
      <c r="H231">
        <v>54968.55</v>
      </c>
      <c r="I231" t="s">
        <v>42</v>
      </c>
      <c r="J231" t="s">
        <v>35</v>
      </c>
    </row>
    <row r="232" spans="1:10" x14ac:dyDescent="0.35">
      <c r="A232" t="s">
        <v>530</v>
      </c>
      <c r="B232" t="s">
        <v>526</v>
      </c>
      <c r="C232" t="str">
        <f>TEXT(Table1[[#This Row],[Order_Date]],"mmm")</f>
        <v>Feb</v>
      </c>
      <c r="D232" t="s">
        <v>531</v>
      </c>
      <c r="E232" t="s">
        <v>47</v>
      </c>
      <c r="F232">
        <v>5</v>
      </c>
      <c r="G232">
        <v>18431.689999999999</v>
      </c>
      <c r="H232">
        <v>92158.45</v>
      </c>
      <c r="I232" t="s">
        <v>23</v>
      </c>
      <c r="J232" t="s">
        <v>14</v>
      </c>
    </row>
    <row r="233" spans="1:10" x14ac:dyDescent="0.35">
      <c r="A233" t="s">
        <v>532</v>
      </c>
      <c r="B233" t="s">
        <v>533</v>
      </c>
      <c r="C233" t="str">
        <f>TEXT(Table1[[#This Row],[Order_Date]],"mmm")</f>
        <v>Feb</v>
      </c>
      <c r="D233" t="s">
        <v>534</v>
      </c>
      <c r="E233" t="s">
        <v>22</v>
      </c>
      <c r="F233">
        <v>5</v>
      </c>
      <c r="G233">
        <v>3889.74</v>
      </c>
      <c r="H233">
        <v>19448.7</v>
      </c>
      <c r="I233" t="s">
        <v>23</v>
      </c>
      <c r="J233" t="s">
        <v>19</v>
      </c>
    </row>
    <row r="234" spans="1:10" x14ac:dyDescent="0.35">
      <c r="A234" t="s">
        <v>535</v>
      </c>
      <c r="B234" t="s">
        <v>533</v>
      </c>
      <c r="C234" t="str">
        <f>TEXT(Table1[[#This Row],[Order_Date]],"mmm")</f>
        <v>Feb</v>
      </c>
      <c r="D234" t="s">
        <v>536</v>
      </c>
      <c r="E234" t="s">
        <v>22</v>
      </c>
      <c r="F234">
        <v>2</v>
      </c>
      <c r="G234">
        <v>31964.62</v>
      </c>
      <c r="H234">
        <v>63929.24</v>
      </c>
      <c r="I234" t="s">
        <v>18</v>
      </c>
      <c r="J234" t="s">
        <v>14</v>
      </c>
    </row>
    <row r="235" spans="1:10" x14ac:dyDescent="0.35">
      <c r="A235" t="s">
        <v>537</v>
      </c>
      <c r="B235" t="s">
        <v>533</v>
      </c>
      <c r="C235" t="str">
        <f>TEXT(Table1[[#This Row],[Order_Date]],"mmm")</f>
        <v>Feb</v>
      </c>
      <c r="D235" t="s">
        <v>538</v>
      </c>
      <c r="E235" t="s">
        <v>72</v>
      </c>
      <c r="F235">
        <v>5</v>
      </c>
      <c r="G235">
        <v>11130.15</v>
      </c>
      <c r="H235">
        <v>55650.75</v>
      </c>
      <c r="I235" t="s">
        <v>23</v>
      </c>
      <c r="J235" t="s">
        <v>14</v>
      </c>
    </row>
    <row r="236" spans="1:10" x14ac:dyDescent="0.35">
      <c r="A236" t="s">
        <v>539</v>
      </c>
      <c r="B236" t="s">
        <v>533</v>
      </c>
      <c r="C236" t="str">
        <f>TEXT(Table1[[#This Row],[Order_Date]],"mmm")</f>
        <v>Feb</v>
      </c>
      <c r="D236" t="s">
        <v>540</v>
      </c>
      <c r="E236" t="s">
        <v>38</v>
      </c>
      <c r="F236">
        <v>4</v>
      </c>
      <c r="G236">
        <v>36639.519999999997</v>
      </c>
      <c r="H236">
        <v>146558.07999999999</v>
      </c>
      <c r="I236" t="s">
        <v>23</v>
      </c>
      <c r="J236" t="s">
        <v>35</v>
      </c>
    </row>
    <row r="237" spans="1:10" x14ac:dyDescent="0.35">
      <c r="A237" t="s">
        <v>541</v>
      </c>
      <c r="B237" t="s">
        <v>533</v>
      </c>
      <c r="C237" t="str">
        <f>TEXT(Table1[[#This Row],[Order_Date]],"mmm")</f>
        <v>Feb</v>
      </c>
      <c r="D237" t="s">
        <v>542</v>
      </c>
      <c r="E237" t="s">
        <v>38</v>
      </c>
      <c r="F237">
        <v>3</v>
      </c>
      <c r="G237">
        <v>16856.11</v>
      </c>
      <c r="H237">
        <v>50568.33</v>
      </c>
      <c r="I237" t="s">
        <v>18</v>
      </c>
      <c r="J237" t="s">
        <v>14</v>
      </c>
    </row>
    <row r="238" spans="1:10" x14ac:dyDescent="0.35">
      <c r="A238" t="s">
        <v>543</v>
      </c>
      <c r="B238" t="s">
        <v>544</v>
      </c>
      <c r="C238" t="str">
        <f>TEXT(Table1[[#This Row],[Order_Date]],"mmm")</f>
        <v>Feb</v>
      </c>
      <c r="D238" t="s">
        <v>545</v>
      </c>
      <c r="E238" t="s">
        <v>53</v>
      </c>
      <c r="F238">
        <v>4</v>
      </c>
      <c r="G238">
        <v>22496.91</v>
      </c>
      <c r="H238">
        <v>89987.64</v>
      </c>
      <c r="I238" t="s">
        <v>23</v>
      </c>
      <c r="J238" t="s">
        <v>14</v>
      </c>
    </row>
    <row r="239" spans="1:10" x14ac:dyDescent="0.35">
      <c r="A239" t="s">
        <v>546</v>
      </c>
      <c r="B239" t="s">
        <v>544</v>
      </c>
      <c r="C239" t="str">
        <f>TEXT(Table1[[#This Row],[Order_Date]],"mmm")</f>
        <v>Feb</v>
      </c>
      <c r="D239" t="s">
        <v>547</v>
      </c>
      <c r="E239" t="s">
        <v>22</v>
      </c>
      <c r="F239">
        <v>3</v>
      </c>
      <c r="G239">
        <v>22126.86</v>
      </c>
      <c r="H239">
        <v>66380.58</v>
      </c>
      <c r="I239" t="s">
        <v>23</v>
      </c>
      <c r="J239" t="s">
        <v>19</v>
      </c>
    </row>
    <row r="240" spans="1:10" x14ac:dyDescent="0.35">
      <c r="A240" t="s">
        <v>548</v>
      </c>
      <c r="B240" t="s">
        <v>544</v>
      </c>
      <c r="C240" t="str">
        <f>TEXT(Table1[[#This Row],[Order_Date]],"mmm")</f>
        <v>Feb</v>
      </c>
      <c r="D240" t="s">
        <v>549</v>
      </c>
      <c r="E240" t="s">
        <v>12</v>
      </c>
      <c r="F240">
        <v>5</v>
      </c>
      <c r="G240">
        <v>32354.28</v>
      </c>
      <c r="H240">
        <v>161771.4</v>
      </c>
      <c r="I240" t="s">
        <v>18</v>
      </c>
      <c r="J240" t="s">
        <v>24</v>
      </c>
    </row>
    <row r="241" spans="1:10" x14ac:dyDescent="0.35">
      <c r="A241" t="s">
        <v>550</v>
      </c>
      <c r="B241" t="s">
        <v>544</v>
      </c>
      <c r="C241" t="str">
        <f>TEXT(Table1[[#This Row],[Order_Date]],"mmm")</f>
        <v>Feb</v>
      </c>
      <c r="D241" t="s">
        <v>551</v>
      </c>
      <c r="E241" t="s">
        <v>47</v>
      </c>
      <c r="F241">
        <v>3</v>
      </c>
      <c r="G241">
        <v>4999.43</v>
      </c>
      <c r="H241">
        <v>14998.29</v>
      </c>
      <c r="I241" t="s">
        <v>13</v>
      </c>
      <c r="J241" t="s">
        <v>24</v>
      </c>
    </row>
    <row r="242" spans="1:10" x14ac:dyDescent="0.35">
      <c r="A242" t="s">
        <v>552</v>
      </c>
      <c r="B242" t="s">
        <v>544</v>
      </c>
      <c r="C242" t="str">
        <f>TEXT(Table1[[#This Row],[Order_Date]],"mmm")</f>
        <v>Feb</v>
      </c>
      <c r="D242" t="s">
        <v>553</v>
      </c>
      <c r="E242" t="s">
        <v>32</v>
      </c>
      <c r="F242">
        <v>1</v>
      </c>
      <c r="G242">
        <v>43519.5</v>
      </c>
      <c r="H242">
        <v>43519.5</v>
      </c>
      <c r="I242" t="s">
        <v>42</v>
      </c>
      <c r="J242" t="s">
        <v>14</v>
      </c>
    </row>
    <row r="243" spans="1:10" x14ac:dyDescent="0.35">
      <c r="A243" t="s">
        <v>554</v>
      </c>
      <c r="B243" t="s">
        <v>555</v>
      </c>
      <c r="C243" t="str">
        <f>TEXT(Table1[[#This Row],[Order_Date]],"mmm")</f>
        <v>Feb</v>
      </c>
      <c r="D243" t="s">
        <v>556</v>
      </c>
      <c r="E243" t="s">
        <v>72</v>
      </c>
      <c r="F243">
        <v>3</v>
      </c>
      <c r="G243">
        <v>43848.480000000003</v>
      </c>
      <c r="H243">
        <v>131545.44</v>
      </c>
      <c r="I243" t="s">
        <v>42</v>
      </c>
      <c r="J243" t="s">
        <v>14</v>
      </c>
    </row>
    <row r="244" spans="1:10" x14ac:dyDescent="0.35">
      <c r="A244" t="s">
        <v>557</v>
      </c>
      <c r="B244" t="s">
        <v>555</v>
      </c>
      <c r="C244" t="str">
        <f>TEXT(Table1[[#This Row],[Order_Date]],"mmm")</f>
        <v>Feb</v>
      </c>
      <c r="D244" t="s">
        <v>558</v>
      </c>
      <c r="E244" t="s">
        <v>17</v>
      </c>
      <c r="F244">
        <v>4</v>
      </c>
      <c r="G244">
        <v>44422.559999999998</v>
      </c>
      <c r="H244">
        <v>177690.23999999999</v>
      </c>
      <c r="I244" t="s">
        <v>18</v>
      </c>
      <c r="J244" t="s">
        <v>19</v>
      </c>
    </row>
    <row r="245" spans="1:10" x14ac:dyDescent="0.35">
      <c r="A245" t="s">
        <v>559</v>
      </c>
      <c r="B245" t="s">
        <v>555</v>
      </c>
      <c r="C245" t="str">
        <f>TEXT(Table1[[#This Row],[Order_Date]],"mmm")</f>
        <v>Feb</v>
      </c>
      <c r="D245" t="s">
        <v>560</v>
      </c>
      <c r="E245" t="s">
        <v>22</v>
      </c>
      <c r="F245">
        <v>5</v>
      </c>
      <c r="G245">
        <v>37251.14</v>
      </c>
      <c r="H245">
        <v>186255.7</v>
      </c>
      <c r="I245" t="s">
        <v>13</v>
      </c>
      <c r="J245" t="s">
        <v>19</v>
      </c>
    </row>
    <row r="246" spans="1:10" x14ac:dyDescent="0.35">
      <c r="A246" t="s">
        <v>561</v>
      </c>
      <c r="B246" t="s">
        <v>555</v>
      </c>
      <c r="C246" t="str">
        <f>TEXT(Table1[[#This Row],[Order_Date]],"mmm")</f>
        <v>Feb</v>
      </c>
      <c r="D246" t="s">
        <v>562</v>
      </c>
      <c r="E246" t="s">
        <v>22</v>
      </c>
      <c r="F246">
        <v>5</v>
      </c>
      <c r="G246">
        <v>13288.19</v>
      </c>
      <c r="H246">
        <v>66440.95</v>
      </c>
      <c r="I246" t="s">
        <v>18</v>
      </c>
      <c r="J246" t="s">
        <v>19</v>
      </c>
    </row>
    <row r="247" spans="1:10" x14ac:dyDescent="0.35">
      <c r="A247" t="s">
        <v>563</v>
      </c>
      <c r="B247" t="s">
        <v>555</v>
      </c>
      <c r="C247" t="str">
        <f>TEXT(Table1[[#This Row],[Order_Date]],"mmm")</f>
        <v>Feb</v>
      </c>
      <c r="D247" t="s">
        <v>564</v>
      </c>
      <c r="E247" t="s">
        <v>72</v>
      </c>
      <c r="F247">
        <v>5</v>
      </c>
      <c r="G247">
        <v>15576.91</v>
      </c>
      <c r="H247">
        <v>77884.55</v>
      </c>
      <c r="I247" t="s">
        <v>23</v>
      </c>
      <c r="J247" t="s">
        <v>24</v>
      </c>
    </row>
    <row r="248" spans="1:10" x14ac:dyDescent="0.35">
      <c r="A248" t="s">
        <v>565</v>
      </c>
      <c r="B248" t="s">
        <v>555</v>
      </c>
      <c r="C248" t="str">
        <f>TEXT(Table1[[#This Row],[Order_Date]],"mmm")</f>
        <v>Feb</v>
      </c>
      <c r="D248" t="s">
        <v>566</v>
      </c>
      <c r="E248" t="s">
        <v>75</v>
      </c>
      <c r="F248">
        <v>5</v>
      </c>
      <c r="G248">
        <v>14026.27</v>
      </c>
      <c r="H248">
        <v>70131.350000000006</v>
      </c>
      <c r="I248" t="s">
        <v>42</v>
      </c>
      <c r="J248" t="s">
        <v>24</v>
      </c>
    </row>
    <row r="249" spans="1:10" x14ac:dyDescent="0.35">
      <c r="A249" t="s">
        <v>567</v>
      </c>
      <c r="B249" t="s">
        <v>555</v>
      </c>
      <c r="C249" t="str">
        <f>TEXT(Table1[[#This Row],[Order_Date]],"mmm")</f>
        <v>Feb</v>
      </c>
      <c r="D249" t="s">
        <v>568</v>
      </c>
      <c r="E249" t="s">
        <v>56</v>
      </c>
      <c r="F249">
        <v>4</v>
      </c>
      <c r="G249">
        <v>39239.86</v>
      </c>
      <c r="H249">
        <v>156959.44</v>
      </c>
      <c r="I249" t="s">
        <v>13</v>
      </c>
      <c r="J249" t="s">
        <v>14</v>
      </c>
    </row>
    <row r="250" spans="1:10" x14ac:dyDescent="0.35">
      <c r="A250" t="s">
        <v>569</v>
      </c>
      <c r="B250" t="s">
        <v>570</v>
      </c>
      <c r="C250" t="str">
        <f>TEXT(Table1[[#This Row],[Order_Date]],"mmm")</f>
        <v>Feb</v>
      </c>
      <c r="D250" t="s">
        <v>571</v>
      </c>
      <c r="E250" t="s">
        <v>17</v>
      </c>
      <c r="F250">
        <v>3</v>
      </c>
      <c r="G250">
        <v>48838.720000000001</v>
      </c>
      <c r="H250">
        <v>146516.16</v>
      </c>
      <c r="I250" t="s">
        <v>42</v>
      </c>
      <c r="J250" t="s">
        <v>19</v>
      </c>
    </row>
    <row r="251" spans="1:10" x14ac:dyDescent="0.35">
      <c r="A251" t="s">
        <v>572</v>
      </c>
      <c r="B251" t="s">
        <v>570</v>
      </c>
      <c r="C251" t="str">
        <f>TEXT(Table1[[#This Row],[Order_Date]],"mmm")</f>
        <v>Feb</v>
      </c>
      <c r="D251" t="s">
        <v>573</v>
      </c>
      <c r="E251" t="s">
        <v>47</v>
      </c>
      <c r="F251">
        <v>1</v>
      </c>
      <c r="G251">
        <v>1390.72</v>
      </c>
      <c r="H251">
        <v>1390.72</v>
      </c>
      <c r="I251" t="s">
        <v>42</v>
      </c>
      <c r="J251" t="s">
        <v>35</v>
      </c>
    </row>
    <row r="252" spans="1:10" x14ac:dyDescent="0.35">
      <c r="A252" t="s">
        <v>574</v>
      </c>
      <c r="B252" t="s">
        <v>570</v>
      </c>
      <c r="C252" t="str">
        <f>TEXT(Table1[[#This Row],[Order_Date]],"mmm")</f>
        <v>Feb</v>
      </c>
      <c r="D252" t="s">
        <v>575</v>
      </c>
      <c r="E252" t="s">
        <v>12</v>
      </c>
      <c r="F252">
        <v>4</v>
      </c>
      <c r="G252">
        <v>28506.12</v>
      </c>
      <c r="H252">
        <v>114024.48</v>
      </c>
      <c r="I252" t="s">
        <v>23</v>
      </c>
      <c r="J252" t="s">
        <v>14</v>
      </c>
    </row>
    <row r="253" spans="1:10" x14ac:dyDescent="0.35">
      <c r="A253" t="s">
        <v>576</v>
      </c>
      <c r="B253" t="s">
        <v>570</v>
      </c>
      <c r="C253" t="str">
        <f>TEXT(Table1[[#This Row],[Order_Date]],"mmm")</f>
        <v>Feb</v>
      </c>
      <c r="D253" t="s">
        <v>577</v>
      </c>
      <c r="E253" t="s">
        <v>72</v>
      </c>
      <c r="F253">
        <v>4</v>
      </c>
      <c r="G253">
        <v>16087.63</v>
      </c>
      <c r="H253">
        <v>64350.52</v>
      </c>
      <c r="I253" t="s">
        <v>13</v>
      </c>
      <c r="J253" t="s">
        <v>14</v>
      </c>
    </row>
    <row r="254" spans="1:10" x14ac:dyDescent="0.35">
      <c r="A254" t="s">
        <v>578</v>
      </c>
      <c r="B254" t="s">
        <v>570</v>
      </c>
      <c r="C254" t="str">
        <f>TEXT(Table1[[#This Row],[Order_Date]],"mmm")</f>
        <v>Feb</v>
      </c>
      <c r="D254" t="s">
        <v>579</v>
      </c>
      <c r="E254" t="s">
        <v>22</v>
      </c>
      <c r="F254">
        <v>4</v>
      </c>
      <c r="G254">
        <v>38457.46</v>
      </c>
      <c r="H254">
        <v>153829.84</v>
      </c>
      <c r="I254" t="s">
        <v>18</v>
      </c>
      <c r="J254" t="s">
        <v>19</v>
      </c>
    </row>
    <row r="255" spans="1:10" x14ac:dyDescent="0.35">
      <c r="A255" t="s">
        <v>580</v>
      </c>
      <c r="B255" t="s">
        <v>570</v>
      </c>
      <c r="C255" t="str">
        <f>TEXT(Table1[[#This Row],[Order_Date]],"mmm")</f>
        <v>Feb</v>
      </c>
      <c r="D255" t="s">
        <v>581</v>
      </c>
      <c r="E255" t="s">
        <v>17</v>
      </c>
      <c r="F255">
        <v>1</v>
      </c>
      <c r="G255">
        <v>44058.57</v>
      </c>
      <c r="H255">
        <v>44058.57</v>
      </c>
      <c r="I255" t="s">
        <v>23</v>
      </c>
      <c r="J255" t="s">
        <v>35</v>
      </c>
    </row>
    <row r="256" spans="1:10" x14ac:dyDescent="0.35">
      <c r="A256" t="s">
        <v>582</v>
      </c>
      <c r="B256" t="s">
        <v>570</v>
      </c>
      <c r="C256" t="str">
        <f>TEXT(Table1[[#This Row],[Order_Date]],"mmm")</f>
        <v>Feb</v>
      </c>
      <c r="D256" t="s">
        <v>583</v>
      </c>
      <c r="E256" t="s">
        <v>32</v>
      </c>
      <c r="F256">
        <v>2</v>
      </c>
      <c r="G256">
        <v>14128.07</v>
      </c>
      <c r="H256">
        <v>28256.14</v>
      </c>
      <c r="I256" t="s">
        <v>13</v>
      </c>
      <c r="J256" t="s">
        <v>14</v>
      </c>
    </row>
    <row r="257" spans="1:10" x14ac:dyDescent="0.35">
      <c r="A257" t="s">
        <v>584</v>
      </c>
      <c r="B257" t="s">
        <v>585</v>
      </c>
      <c r="C257" t="str">
        <f>TEXT(Table1[[#This Row],[Order_Date]],"mmm")</f>
        <v>Feb</v>
      </c>
      <c r="D257" t="s">
        <v>586</v>
      </c>
      <c r="E257" t="s">
        <v>53</v>
      </c>
      <c r="F257">
        <v>1</v>
      </c>
      <c r="G257">
        <v>37865.64</v>
      </c>
      <c r="H257">
        <v>37865.64</v>
      </c>
      <c r="I257" t="s">
        <v>18</v>
      </c>
      <c r="J257" t="s">
        <v>24</v>
      </c>
    </row>
    <row r="258" spans="1:10" x14ac:dyDescent="0.35">
      <c r="A258" t="s">
        <v>587</v>
      </c>
      <c r="B258" t="s">
        <v>585</v>
      </c>
      <c r="C258" t="str">
        <f>TEXT(Table1[[#This Row],[Order_Date]],"mmm")</f>
        <v>Feb</v>
      </c>
      <c r="D258" t="s">
        <v>588</v>
      </c>
      <c r="E258" t="s">
        <v>75</v>
      </c>
      <c r="F258">
        <v>2</v>
      </c>
      <c r="G258">
        <v>29413.32</v>
      </c>
      <c r="H258">
        <v>58826.64</v>
      </c>
      <c r="I258" t="s">
        <v>13</v>
      </c>
      <c r="J258" t="s">
        <v>19</v>
      </c>
    </row>
    <row r="259" spans="1:10" x14ac:dyDescent="0.35">
      <c r="A259" t="s">
        <v>589</v>
      </c>
      <c r="B259" t="s">
        <v>585</v>
      </c>
      <c r="C259" t="str">
        <f>TEXT(Table1[[#This Row],[Order_Date]],"mmm")</f>
        <v>Feb</v>
      </c>
      <c r="D259" t="s">
        <v>590</v>
      </c>
      <c r="E259" t="s">
        <v>12</v>
      </c>
      <c r="F259">
        <v>1</v>
      </c>
      <c r="G259">
        <v>2736.4</v>
      </c>
      <c r="H259">
        <v>2736.4</v>
      </c>
      <c r="I259" t="s">
        <v>42</v>
      </c>
      <c r="J259" t="s">
        <v>19</v>
      </c>
    </row>
    <row r="260" spans="1:10" x14ac:dyDescent="0.35">
      <c r="A260" t="s">
        <v>591</v>
      </c>
      <c r="B260" t="s">
        <v>585</v>
      </c>
      <c r="C260" t="str">
        <f>TEXT(Table1[[#This Row],[Order_Date]],"mmm")</f>
        <v>Feb</v>
      </c>
      <c r="D260" t="s">
        <v>592</v>
      </c>
      <c r="E260" t="s">
        <v>12</v>
      </c>
      <c r="F260">
        <v>1</v>
      </c>
      <c r="G260">
        <v>42929.34</v>
      </c>
      <c r="H260">
        <v>42929.34</v>
      </c>
      <c r="I260" t="s">
        <v>23</v>
      </c>
      <c r="J260" t="s">
        <v>35</v>
      </c>
    </row>
    <row r="261" spans="1:10" x14ac:dyDescent="0.35">
      <c r="A261" t="s">
        <v>593</v>
      </c>
      <c r="B261" t="s">
        <v>585</v>
      </c>
      <c r="C261" t="str">
        <f>TEXT(Table1[[#This Row],[Order_Date]],"mmm")</f>
        <v>Feb</v>
      </c>
      <c r="D261" t="s">
        <v>594</v>
      </c>
      <c r="E261" t="s">
        <v>38</v>
      </c>
      <c r="F261">
        <v>2</v>
      </c>
      <c r="G261">
        <v>39492.39</v>
      </c>
      <c r="H261">
        <v>78984.78</v>
      </c>
      <c r="I261" t="s">
        <v>23</v>
      </c>
      <c r="J261" t="s">
        <v>14</v>
      </c>
    </row>
    <row r="262" spans="1:10" x14ac:dyDescent="0.35">
      <c r="A262" t="s">
        <v>595</v>
      </c>
      <c r="B262" t="s">
        <v>585</v>
      </c>
      <c r="C262" t="str">
        <f>TEXT(Table1[[#This Row],[Order_Date]],"mmm")</f>
        <v>Feb</v>
      </c>
      <c r="D262" t="s">
        <v>596</v>
      </c>
      <c r="E262" t="s">
        <v>32</v>
      </c>
      <c r="F262">
        <v>2</v>
      </c>
      <c r="G262">
        <v>10701.19</v>
      </c>
      <c r="H262">
        <v>21402.38</v>
      </c>
      <c r="I262" t="s">
        <v>18</v>
      </c>
      <c r="J262" t="s">
        <v>19</v>
      </c>
    </row>
    <row r="263" spans="1:10" x14ac:dyDescent="0.35">
      <c r="A263" t="s">
        <v>597</v>
      </c>
      <c r="B263" t="s">
        <v>585</v>
      </c>
      <c r="C263" t="str">
        <f>TEXT(Table1[[#This Row],[Order_Date]],"mmm")</f>
        <v>Feb</v>
      </c>
      <c r="D263" t="s">
        <v>598</v>
      </c>
      <c r="E263" t="s">
        <v>22</v>
      </c>
      <c r="F263">
        <v>4</v>
      </c>
      <c r="G263">
        <v>22509.040000000001</v>
      </c>
      <c r="H263">
        <v>90036.160000000003</v>
      </c>
      <c r="I263" t="s">
        <v>23</v>
      </c>
      <c r="J263" t="s">
        <v>14</v>
      </c>
    </row>
    <row r="264" spans="1:10" x14ac:dyDescent="0.35">
      <c r="A264" t="s">
        <v>599</v>
      </c>
      <c r="B264" t="s">
        <v>585</v>
      </c>
      <c r="C264" t="str">
        <f>TEXT(Table1[[#This Row],[Order_Date]],"mmm")</f>
        <v>Feb</v>
      </c>
      <c r="D264" t="s">
        <v>600</v>
      </c>
      <c r="E264" t="s">
        <v>75</v>
      </c>
      <c r="F264">
        <v>1</v>
      </c>
      <c r="G264">
        <v>10503.36</v>
      </c>
      <c r="H264">
        <v>10503.36</v>
      </c>
      <c r="I264" t="s">
        <v>18</v>
      </c>
      <c r="J264" t="s">
        <v>14</v>
      </c>
    </row>
    <row r="265" spans="1:10" x14ac:dyDescent="0.35">
      <c r="A265" t="s">
        <v>601</v>
      </c>
      <c r="B265" t="s">
        <v>602</v>
      </c>
      <c r="C265" t="str">
        <f>TEXT(Table1[[#This Row],[Order_Date]],"mmm")</f>
        <v>Feb</v>
      </c>
      <c r="D265" t="s">
        <v>603</v>
      </c>
      <c r="E265" t="s">
        <v>17</v>
      </c>
      <c r="F265">
        <v>4</v>
      </c>
      <c r="G265">
        <v>14160.38</v>
      </c>
      <c r="H265">
        <v>56641.52</v>
      </c>
      <c r="I265" t="s">
        <v>18</v>
      </c>
      <c r="J265" t="s">
        <v>14</v>
      </c>
    </row>
    <row r="266" spans="1:10" x14ac:dyDescent="0.35">
      <c r="A266" t="s">
        <v>604</v>
      </c>
      <c r="B266" t="s">
        <v>602</v>
      </c>
      <c r="C266" t="str">
        <f>TEXT(Table1[[#This Row],[Order_Date]],"mmm")</f>
        <v>Feb</v>
      </c>
      <c r="D266" t="s">
        <v>605</v>
      </c>
      <c r="E266" t="s">
        <v>47</v>
      </c>
      <c r="F266">
        <v>1</v>
      </c>
      <c r="G266">
        <v>20973.82</v>
      </c>
      <c r="H266">
        <v>20973.82</v>
      </c>
      <c r="I266" t="s">
        <v>23</v>
      </c>
      <c r="J266" t="s">
        <v>19</v>
      </c>
    </row>
    <row r="267" spans="1:10" x14ac:dyDescent="0.35">
      <c r="A267" t="s">
        <v>606</v>
      </c>
      <c r="B267" t="s">
        <v>602</v>
      </c>
      <c r="C267" t="str">
        <f>TEXT(Table1[[#This Row],[Order_Date]],"mmm")</f>
        <v>Feb</v>
      </c>
      <c r="D267" t="s">
        <v>607</v>
      </c>
      <c r="E267" t="s">
        <v>38</v>
      </c>
      <c r="F267">
        <v>2</v>
      </c>
      <c r="G267">
        <v>28864.74</v>
      </c>
      <c r="H267">
        <v>57729.48</v>
      </c>
      <c r="I267" t="s">
        <v>13</v>
      </c>
      <c r="J267" t="s">
        <v>14</v>
      </c>
    </row>
    <row r="268" spans="1:10" x14ac:dyDescent="0.35">
      <c r="A268" t="s">
        <v>608</v>
      </c>
      <c r="B268" t="s">
        <v>602</v>
      </c>
      <c r="C268" t="str">
        <f>TEXT(Table1[[#This Row],[Order_Date]],"mmm")</f>
        <v>Feb</v>
      </c>
      <c r="D268" t="s">
        <v>609</v>
      </c>
      <c r="E268" t="s">
        <v>47</v>
      </c>
      <c r="F268">
        <v>1</v>
      </c>
      <c r="G268">
        <v>22570.21</v>
      </c>
      <c r="H268">
        <v>22570.21</v>
      </c>
      <c r="I268" t="s">
        <v>18</v>
      </c>
      <c r="J268" t="s">
        <v>19</v>
      </c>
    </row>
    <row r="269" spans="1:10" x14ac:dyDescent="0.35">
      <c r="A269" t="s">
        <v>610</v>
      </c>
      <c r="B269" t="s">
        <v>602</v>
      </c>
      <c r="C269" t="str">
        <f>TEXT(Table1[[#This Row],[Order_Date]],"mmm")</f>
        <v>Feb</v>
      </c>
      <c r="D269" t="s">
        <v>611</v>
      </c>
      <c r="E269" t="s">
        <v>17</v>
      </c>
      <c r="F269">
        <v>2</v>
      </c>
      <c r="G269">
        <v>40825.43</v>
      </c>
      <c r="H269">
        <v>81650.86</v>
      </c>
      <c r="I269" t="s">
        <v>13</v>
      </c>
      <c r="J269" t="s">
        <v>14</v>
      </c>
    </row>
    <row r="270" spans="1:10" x14ac:dyDescent="0.35">
      <c r="A270" t="s">
        <v>612</v>
      </c>
      <c r="B270" t="s">
        <v>613</v>
      </c>
      <c r="C270" t="str">
        <f>TEXT(Table1[[#This Row],[Order_Date]],"mmm")</f>
        <v>Feb</v>
      </c>
      <c r="D270" t="s">
        <v>614</v>
      </c>
      <c r="E270" t="s">
        <v>38</v>
      </c>
      <c r="F270">
        <v>4</v>
      </c>
      <c r="G270">
        <v>3327.81</v>
      </c>
      <c r="H270">
        <v>13311.24</v>
      </c>
      <c r="I270" t="s">
        <v>13</v>
      </c>
      <c r="J270" t="s">
        <v>14</v>
      </c>
    </row>
    <row r="271" spans="1:10" x14ac:dyDescent="0.35">
      <c r="A271" t="s">
        <v>615</v>
      </c>
      <c r="B271" t="s">
        <v>613</v>
      </c>
      <c r="C271" t="str">
        <f>TEXT(Table1[[#This Row],[Order_Date]],"mmm")</f>
        <v>Feb</v>
      </c>
      <c r="D271" t="s">
        <v>616</v>
      </c>
      <c r="E271" t="s">
        <v>17</v>
      </c>
      <c r="F271">
        <v>2</v>
      </c>
      <c r="G271">
        <v>29866.74</v>
      </c>
      <c r="H271">
        <v>59733.48</v>
      </c>
      <c r="I271" t="s">
        <v>42</v>
      </c>
      <c r="J271" t="s">
        <v>35</v>
      </c>
    </row>
    <row r="272" spans="1:10" x14ac:dyDescent="0.35">
      <c r="A272" t="s">
        <v>617</v>
      </c>
      <c r="B272" t="s">
        <v>613</v>
      </c>
      <c r="C272" t="str">
        <f>TEXT(Table1[[#This Row],[Order_Date]],"mmm")</f>
        <v>Feb</v>
      </c>
      <c r="D272" t="s">
        <v>618</v>
      </c>
      <c r="E272" t="s">
        <v>32</v>
      </c>
      <c r="F272">
        <v>1</v>
      </c>
      <c r="G272">
        <v>41043.379999999997</v>
      </c>
      <c r="H272">
        <v>41043.379999999997</v>
      </c>
      <c r="I272" t="s">
        <v>42</v>
      </c>
      <c r="J272" t="s">
        <v>24</v>
      </c>
    </row>
    <row r="273" spans="1:10" x14ac:dyDescent="0.35">
      <c r="A273" t="s">
        <v>619</v>
      </c>
      <c r="B273" t="s">
        <v>613</v>
      </c>
      <c r="C273" t="str">
        <f>TEXT(Table1[[#This Row],[Order_Date]],"mmm")</f>
        <v>Feb</v>
      </c>
      <c r="D273" t="s">
        <v>620</v>
      </c>
      <c r="E273" t="s">
        <v>32</v>
      </c>
      <c r="F273">
        <v>2</v>
      </c>
      <c r="G273">
        <v>17043.32</v>
      </c>
      <c r="H273">
        <v>34086.639999999999</v>
      </c>
      <c r="I273" t="s">
        <v>13</v>
      </c>
      <c r="J273" t="s">
        <v>35</v>
      </c>
    </row>
    <row r="274" spans="1:10" x14ac:dyDescent="0.35">
      <c r="A274" t="s">
        <v>621</v>
      </c>
      <c r="B274" t="s">
        <v>622</v>
      </c>
      <c r="C274" t="str">
        <f>TEXT(Table1[[#This Row],[Order_Date]],"mmm")</f>
        <v>Feb</v>
      </c>
      <c r="D274" t="s">
        <v>623</v>
      </c>
      <c r="E274" t="s">
        <v>22</v>
      </c>
      <c r="F274">
        <v>2</v>
      </c>
      <c r="G274">
        <v>31552.11</v>
      </c>
      <c r="H274">
        <v>63104.22</v>
      </c>
      <c r="I274" t="s">
        <v>23</v>
      </c>
      <c r="J274" t="s">
        <v>35</v>
      </c>
    </row>
    <row r="275" spans="1:10" x14ac:dyDescent="0.35">
      <c r="A275" t="s">
        <v>624</v>
      </c>
      <c r="B275" t="s">
        <v>622</v>
      </c>
      <c r="C275" t="str">
        <f>TEXT(Table1[[#This Row],[Order_Date]],"mmm")</f>
        <v>Feb</v>
      </c>
      <c r="D275" t="s">
        <v>625</v>
      </c>
      <c r="E275" t="s">
        <v>75</v>
      </c>
      <c r="F275">
        <v>4</v>
      </c>
      <c r="G275">
        <v>552.54</v>
      </c>
      <c r="H275">
        <v>2210.16</v>
      </c>
      <c r="I275" t="s">
        <v>13</v>
      </c>
      <c r="J275" t="s">
        <v>35</v>
      </c>
    </row>
    <row r="276" spans="1:10" x14ac:dyDescent="0.35">
      <c r="A276" t="s">
        <v>626</v>
      </c>
      <c r="B276" t="s">
        <v>622</v>
      </c>
      <c r="C276" t="str">
        <f>TEXT(Table1[[#This Row],[Order_Date]],"mmm")</f>
        <v>Feb</v>
      </c>
      <c r="D276" t="s">
        <v>627</v>
      </c>
      <c r="E276" t="s">
        <v>17</v>
      </c>
      <c r="F276">
        <v>3</v>
      </c>
      <c r="G276">
        <v>25789.26</v>
      </c>
      <c r="H276">
        <v>77367.78</v>
      </c>
      <c r="I276" t="s">
        <v>13</v>
      </c>
      <c r="J276" t="s">
        <v>14</v>
      </c>
    </row>
    <row r="277" spans="1:10" x14ac:dyDescent="0.35">
      <c r="A277" t="s">
        <v>628</v>
      </c>
      <c r="B277" t="s">
        <v>629</v>
      </c>
      <c r="C277" t="str">
        <f>TEXT(Table1[[#This Row],[Order_Date]],"mmm")</f>
        <v>Feb</v>
      </c>
      <c r="D277" t="s">
        <v>630</v>
      </c>
      <c r="E277" t="s">
        <v>17</v>
      </c>
      <c r="F277">
        <v>1</v>
      </c>
      <c r="G277">
        <v>15545.88</v>
      </c>
      <c r="H277">
        <v>15545.88</v>
      </c>
      <c r="I277" t="s">
        <v>23</v>
      </c>
      <c r="J277" t="s">
        <v>19</v>
      </c>
    </row>
    <row r="278" spans="1:10" x14ac:dyDescent="0.35">
      <c r="A278" t="s">
        <v>631</v>
      </c>
      <c r="B278" t="s">
        <v>629</v>
      </c>
      <c r="C278" t="str">
        <f>TEXT(Table1[[#This Row],[Order_Date]],"mmm")</f>
        <v>Feb</v>
      </c>
      <c r="D278" t="s">
        <v>632</v>
      </c>
      <c r="E278" t="s">
        <v>32</v>
      </c>
      <c r="F278">
        <v>2</v>
      </c>
      <c r="G278">
        <v>32712.16</v>
      </c>
      <c r="H278">
        <v>65424.32</v>
      </c>
      <c r="I278" t="s">
        <v>23</v>
      </c>
      <c r="J278" t="s">
        <v>19</v>
      </c>
    </row>
    <row r="279" spans="1:10" x14ac:dyDescent="0.35">
      <c r="A279" t="s">
        <v>633</v>
      </c>
      <c r="B279" t="s">
        <v>629</v>
      </c>
      <c r="C279" t="str">
        <f>TEXT(Table1[[#This Row],[Order_Date]],"mmm")</f>
        <v>Feb</v>
      </c>
      <c r="D279" t="s">
        <v>634</v>
      </c>
      <c r="E279" t="s">
        <v>12</v>
      </c>
      <c r="F279">
        <v>1</v>
      </c>
      <c r="G279">
        <v>640.54</v>
      </c>
      <c r="H279">
        <v>640.54</v>
      </c>
      <c r="I279" t="s">
        <v>42</v>
      </c>
      <c r="J279" t="s">
        <v>35</v>
      </c>
    </row>
    <row r="280" spans="1:10" x14ac:dyDescent="0.35">
      <c r="A280" t="s">
        <v>635</v>
      </c>
      <c r="B280" t="s">
        <v>629</v>
      </c>
      <c r="C280" t="str">
        <f>TEXT(Table1[[#This Row],[Order_Date]],"mmm")</f>
        <v>Feb</v>
      </c>
      <c r="D280" t="s">
        <v>636</v>
      </c>
      <c r="E280" t="s">
        <v>22</v>
      </c>
      <c r="F280">
        <v>4</v>
      </c>
      <c r="G280">
        <v>10090.81</v>
      </c>
      <c r="H280">
        <v>40363.24</v>
      </c>
      <c r="I280" t="s">
        <v>18</v>
      </c>
      <c r="J280" t="s">
        <v>24</v>
      </c>
    </row>
    <row r="281" spans="1:10" x14ac:dyDescent="0.35">
      <c r="A281" t="s">
        <v>637</v>
      </c>
      <c r="B281" t="s">
        <v>629</v>
      </c>
      <c r="C281" t="str">
        <f>TEXT(Table1[[#This Row],[Order_Date]],"mmm")</f>
        <v>Feb</v>
      </c>
      <c r="D281" t="s">
        <v>638</v>
      </c>
      <c r="E281" t="s">
        <v>53</v>
      </c>
      <c r="F281">
        <v>3</v>
      </c>
      <c r="G281">
        <v>35176.65</v>
      </c>
      <c r="H281">
        <v>105529.95</v>
      </c>
      <c r="I281" t="s">
        <v>18</v>
      </c>
      <c r="J281" t="s">
        <v>24</v>
      </c>
    </row>
    <row r="282" spans="1:10" x14ac:dyDescent="0.35">
      <c r="A282" t="s">
        <v>639</v>
      </c>
      <c r="B282" t="s">
        <v>629</v>
      </c>
      <c r="C282" t="str">
        <f>TEXT(Table1[[#This Row],[Order_Date]],"mmm")</f>
        <v>Feb</v>
      </c>
      <c r="D282" t="s">
        <v>640</v>
      </c>
      <c r="E282" t="s">
        <v>32</v>
      </c>
      <c r="F282">
        <v>4</v>
      </c>
      <c r="G282">
        <v>38933.85</v>
      </c>
      <c r="H282">
        <v>155735.4</v>
      </c>
      <c r="I282" t="s">
        <v>23</v>
      </c>
      <c r="J282" t="s">
        <v>19</v>
      </c>
    </row>
    <row r="283" spans="1:10" x14ac:dyDescent="0.35">
      <c r="A283" t="s">
        <v>641</v>
      </c>
      <c r="B283" t="s">
        <v>629</v>
      </c>
      <c r="C283" t="str">
        <f>TEXT(Table1[[#This Row],[Order_Date]],"mmm")</f>
        <v>Feb</v>
      </c>
      <c r="D283" t="s">
        <v>642</v>
      </c>
      <c r="E283" t="s">
        <v>38</v>
      </c>
      <c r="F283">
        <v>5</v>
      </c>
      <c r="G283">
        <v>35427.78</v>
      </c>
      <c r="H283">
        <v>177138.9</v>
      </c>
      <c r="I283" t="s">
        <v>18</v>
      </c>
      <c r="J283" t="s">
        <v>35</v>
      </c>
    </row>
    <row r="284" spans="1:10" x14ac:dyDescent="0.35">
      <c r="A284" t="s">
        <v>643</v>
      </c>
      <c r="B284" t="s">
        <v>629</v>
      </c>
      <c r="C284" t="str">
        <f>TEXT(Table1[[#This Row],[Order_Date]],"mmm")</f>
        <v>Feb</v>
      </c>
      <c r="D284" t="s">
        <v>644</v>
      </c>
      <c r="E284" t="s">
        <v>22</v>
      </c>
      <c r="F284">
        <v>3</v>
      </c>
      <c r="G284">
        <v>25565.54</v>
      </c>
      <c r="H284">
        <v>76696.62</v>
      </c>
      <c r="I284" t="s">
        <v>42</v>
      </c>
      <c r="J284" t="s">
        <v>14</v>
      </c>
    </row>
    <row r="285" spans="1:10" x14ac:dyDescent="0.35">
      <c r="A285" t="s">
        <v>645</v>
      </c>
      <c r="B285" t="s">
        <v>646</v>
      </c>
      <c r="C285" t="str">
        <f>TEXT(Table1[[#This Row],[Order_Date]],"mmm")</f>
        <v>Feb</v>
      </c>
      <c r="D285" t="s">
        <v>647</v>
      </c>
      <c r="E285" t="s">
        <v>56</v>
      </c>
      <c r="F285">
        <v>5</v>
      </c>
      <c r="G285">
        <v>8699.36</v>
      </c>
      <c r="H285">
        <v>43496.800000000003</v>
      </c>
      <c r="I285" t="s">
        <v>42</v>
      </c>
      <c r="J285" t="s">
        <v>35</v>
      </c>
    </row>
    <row r="286" spans="1:10" x14ac:dyDescent="0.35">
      <c r="A286" t="s">
        <v>648</v>
      </c>
      <c r="B286" t="s">
        <v>646</v>
      </c>
      <c r="C286" t="str">
        <f>TEXT(Table1[[#This Row],[Order_Date]],"mmm")</f>
        <v>Feb</v>
      </c>
      <c r="D286" t="s">
        <v>649</v>
      </c>
      <c r="E286" t="s">
        <v>22</v>
      </c>
      <c r="F286">
        <v>5</v>
      </c>
      <c r="G286">
        <v>49230.59</v>
      </c>
      <c r="H286">
        <v>246152.95</v>
      </c>
      <c r="I286" t="s">
        <v>42</v>
      </c>
      <c r="J286" t="s">
        <v>14</v>
      </c>
    </row>
    <row r="287" spans="1:10" x14ac:dyDescent="0.35">
      <c r="A287" t="s">
        <v>650</v>
      </c>
      <c r="B287" t="s">
        <v>646</v>
      </c>
      <c r="C287" t="str">
        <f>TEXT(Table1[[#This Row],[Order_Date]],"mmm")</f>
        <v>Feb</v>
      </c>
      <c r="D287" t="s">
        <v>651</v>
      </c>
      <c r="E287" t="s">
        <v>38</v>
      </c>
      <c r="F287">
        <v>2</v>
      </c>
      <c r="G287">
        <v>24188.45</v>
      </c>
      <c r="H287">
        <v>48376.9</v>
      </c>
      <c r="I287" t="s">
        <v>23</v>
      </c>
      <c r="J287" t="s">
        <v>35</v>
      </c>
    </row>
    <row r="288" spans="1:10" x14ac:dyDescent="0.35">
      <c r="A288" t="s">
        <v>652</v>
      </c>
      <c r="B288" t="s">
        <v>646</v>
      </c>
      <c r="C288" t="str">
        <f>TEXT(Table1[[#This Row],[Order_Date]],"mmm")</f>
        <v>Feb</v>
      </c>
      <c r="D288" t="s">
        <v>653</v>
      </c>
      <c r="E288" t="s">
        <v>56</v>
      </c>
      <c r="F288">
        <v>3</v>
      </c>
      <c r="G288">
        <v>46559.92</v>
      </c>
      <c r="H288">
        <v>139679.76</v>
      </c>
      <c r="I288" t="s">
        <v>42</v>
      </c>
      <c r="J288" t="s">
        <v>19</v>
      </c>
    </row>
    <row r="289" spans="1:10" x14ac:dyDescent="0.35">
      <c r="A289" t="s">
        <v>654</v>
      </c>
      <c r="B289" t="s">
        <v>655</v>
      </c>
      <c r="C289" t="str">
        <f>TEXT(Table1[[#This Row],[Order_Date]],"mmm")</f>
        <v>Feb</v>
      </c>
      <c r="D289" t="s">
        <v>656</v>
      </c>
      <c r="E289" t="s">
        <v>12</v>
      </c>
      <c r="F289">
        <v>2</v>
      </c>
      <c r="G289">
        <v>49270.28</v>
      </c>
      <c r="H289">
        <v>98540.56</v>
      </c>
      <c r="I289" t="s">
        <v>18</v>
      </c>
      <c r="J289" t="s">
        <v>14</v>
      </c>
    </row>
    <row r="290" spans="1:10" x14ac:dyDescent="0.35">
      <c r="A290" t="s">
        <v>657</v>
      </c>
      <c r="B290" t="s">
        <v>655</v>
      </c>
      <c r="C290" t="str">
        <f>TEXT(Table1[[#This Row],[Order_Date]],"mmm")</f>
        <v>Feb</v>
      </c>
      <c r="D290" t="s">
        <v>658</v>
      </c>
      <c r="E290" t="s">
        <v>75</v>
      </c>
      <c r="F290">
        <v>1</v>
      </c>
      <c r="G290">
        <v>36769.07</v>
      </c>
      <c r="H290">
        <v>36769.07</v>
      </c>
      <c r="I290" t="s">
        <v>18</v>
      </c>
      <c r="J290" t="s">
        <v>35</v>
      </c>
    </row>
    <row r="291" spans="1:10" x14ac:dyDescent="0.35">
      <c r="A291" t="s">
        <v>659</v>
      </c>
      <c r="B291" t="s">
        <v>655</v>
      </c>
      <c r="C291" t="str">
        <f>TEXT(Table1[[#This Row],[Order_Date]],"mmm")</f>
        <v>Feb</v>
      </c>
      <c r="D291" t="s">
        <v>660</v>
      </c>
      <c r="E291" t="s">
        <v>12</v>
      </c>
      <c r="F291">
        <v>1</v>
      </c>
      <c r="G291">
        <v>15940.31</v>
      </c>
      <c r="H291">
        <v>15940.31</v>
      </c>
      <c r="I291" t="s">
        <v>23</v>
      </c>
      <c r="J291" t="s">
        <v>14</v>
      </c>
    </row>
    <row r="292" spans="1:10" x14ac:dyDescent="0.35">
      <c r="A292" t="s">
        <v>661</v>
      </c>
      <c r="B292" t="s">
        <v>655</v>
      </c>
      <c r="C292" t="str">
        <f>TEXT(Table1[[#This Row],[Order_Date]],"mmm")</f>
        <v>Feb</v>
      </c>
      <c r="D292" t="s">
        <v>662</v>
      </c>
      <c r="E292" t="s">
        <v>17</v>
      </c>
      <c r="F292">
        <v>2</v>
      </c>
      <c r="G292">
        <v>32085.279999999999</v>
      </c>
      <c r="H292">
        <v>64170.559999999998</v>
      </c>
      <c r="I292" t="s">
        <v>18</v>
      </c>
      <c r="J292" t="s">
        <v>24</v>
      </c>
    </row>
    <row r="293" spans="1:10" x14ac:dyDescent="0.35">
      <c r="A293" t="s">
        <v>663</v>
      </c>
      <c r="B293" t="s">
        <v>664</v>
      </c>
      <c r="C293" t="str">
        <f>TEXT(Table1[[#This Row],[Order_Date]],"mmm")</f>
        <v>Feb</v>
      </c>
      <c r="D293" t="s">
        <v>665</v>
      </c>
      <c r="E293" t="s">
        <v>17</v>
      </c>
      <c r="F293">
        <v>5</v>
      </c>
      <c r="G293">
        <v>39270.699999999997</v>
      </c>
      <c r="H293">
        <v>196353.5</v>
      </c>
      <c r="I293" t="s">
        <v>42</v>
      </c>
      <c r="J293" t="s">
        <v>35</v>
      </c>
    </row>
    <row r="294" spans="1:10" x14ac:dyDescent="0.35">
      <c r="A294" t="s">
        <v>666</v>
      </c>
      <c r="B294" t="s">
        <v>664</v>
      </c>
      <c r="C294" t="str">
        <f>TEXT(Table1[[#This Row],[Order_Date]],"mmm")</f>
        <v>Feb</v>
      </c>
      <c r="D294" t="s">
        <v>667</v>
      </c>
      <c r="E294" t="s">
        <v>53</v>
      </c>
      <c r="F294">
        <v>2</v>
      </c>
      <c r="G294">
        <v>27795.82</v>
      </c>
      <c r="H294">
        <v>55591.64</v>
      </c>
      <c r="I294" t="s">
        <v>23</v>
      </c>
      <c r="J294" t="s">
        <v>24</v>
      </c>
    </row>
    <row r="295" spans="1:10" x14ac:dyDescent="0.35">
      <c r="A295" t="s">
        <v>668</v>
      </c>
      <c r="B295" t="s">
        <v>664</v>
      </c>
      <c r="C295" t="str">
        <f>TEXT(Table1[[#This Row],[Order_Date]],"mmm")</f>
        <v>Feb</v>
      </c>
      <c r="D295" t="s">
        <v>669</v>
      </c>
      <c r="E295" t="s">
        <v>17</v>
      </c>
      <c r="F295">
        <v>2</v>
      </c>
      <c r="G295">
        <v>40678.980000000003</v>
      </c>
      <c r="H295">
        <v>81357.960000000006</v>
      </c>
      <c r="I295" t="s">
        <v>18</v>
      </c>
      <c r="J295" t="s">
        <v>24</v>
      </c>
    </row>
    <row r="296" spans="1:10" x14ac:dyDescent="0.35">
      <c r="A296" t="s">
        <v>670</v>
      </c>
      <c r="B296" t="s">
        <v>664</v>
      </c>
      <c r="C296" t="str">
        <f>TEXT(Table1[[#This Row],[Order_Date]],"mmm")</f>
        <v>Feb</v>
      </c>
      <c r="D296" t="s">
        <v>671</v>
      </c>
      <c r="E296" t="s">
        <v>32</v>
      </c>
      <c r="F296">
        <v>2</v>
      </c>
      <c r="G296">
        <v>29413.86</v>
      </c>
      <c r="H296">
        <v>58827.72</v>
      </c>
      <c r="I296" t="s">
        <v>42</v>
      </c>
      <c r="J296" t="s">
        <v>19</v>
      </c>
    </row>
    <row r="297" spans="1:10" x14ac:dyDescent="0.35">
      <c r="A297" t="s">
        <v>672</v>
      </c>
      <c r="B297" t="s">
        <v>673</v>
      </c>
      <c r="C297" t="str">
        <f>TEXT(Table1[[#This Row],[Order_Date]],"mmm")</f>
        <v>Feb</v>
      </c>
      <c r="D297" t="s">
        <v>674</v>
      </c>
      <c r="E297" t="s">
        <v>72</v>
      </c>
      <c r="F297">
        <v>3</v>
      </c>
      <c r="G297">
        <v>36372.089999999997</v>
      </c>
      <c r="H297">
        <v>109116.27</v>
      </c>
      <c r="I297" t="s">
        <v>42</v>
      </c>
      <c r="J297" t="s">
        <v>19</v>
      </c>
    </row>
    <row r="298" spans="1:10" x14ac:dyDescent="0.35">
      <c r="A298" t="s">
        <v>675</v>
      </c>
      <c r="B298" t="s">
        <v>673</v>
      </c>
      <c r="C298" t="str">
        <f>TEXT(Table1[[#This Row],[Order_Date]],"mmm")</f>
        <v>Feb</v>
      </c>
      <c r="D298" t="s">
        <v>676</v>
      </c>
      <c r="E298" t="s">
        <v>75</v>
      </c>
      <c r="F298">
        <v>1</v>
      </c>
      <c r="G298">
        <v>39168.870000000003</v>
      </c>
      <c r="H298">
        <v>39168.870000000003</v>
      </c>
      <c r="I298" t="s">
        <v>42</v>
      </c>
      <c r="J298" t="s">
        <v>19</v>
      </c>
    </row>
    <row r="299" spans="1:10" x14ac:dyDescent="0.35">
      <c r="A299" t="s">
        <v>677</v>
      </c>
      <c r="B299" t="s">
        <v>673</v>
      </c>
      <c r="C299" t="str">
        <f>TEXT(Table1[[#This Row],[Order_Date]],"mmm")</f>
        <v>Feb</v>
      </c>
      <c r="D299" t="s">
        <v>678</v>
      </c>
      <c r="E299" t="s">
        <v>72</v>
      </c>
      <c r="F299">
        <v>4</v>
      </c>
      <c r="G299">
        <v>4888.82</v>
      </c>
      <c r="H299">
        <v>19555.28</v>
      </c>
      <c r="I299" t="s">
        <v>18</v>
      </c>
      <c r="J299" t="s">
        <v>14</v>
      </c>
    </row>
    <row r="300" spans="1:10" x14ac:dyDescent="0.35">
      <c r="A300" t="s">
        <v>679</v>
      </c>
      <c r="B300" t="s">
        <v>673</v>
      </c>
      <c r="C300" t="str">
        <f>TEXT(Table1[[#This Row],[Order_Date]],"mmm")</f>
        <v>Feb</v>
      </c>
      <c r="D300" t="s">
        <v>680</v>
      </c>
      <c r="E300" t="s">
        <v>53</v>
      </c>
      <c r="F300">
        <v>5</v>
      </c>
      <c r="G300">
        <v>45665.23</v>
      </c>
      <c r="H300">
        <v>228326.15</v>
      </c>
      <c r="I300" t="s">
        <v>13</v>
      </c>
      <c r="J300" t="s">
        <v>35</v>
      </c>
    </row>
    <row r="301" spans="1:10" x14ac:dyDescent="0.35">
      <c r="A301" t="s">
        <v>681</v>
      </c>
      <c r="B301" t="s">
        <v>673</v>
      </c>
      <c r="C301" t="str">
        <f>TEXT(Table1[[#This Row],[Order_Date]],"mmm")</f>
        <v>Feb</v>
      </c>
      <c r="D301" t="s">
        <v>682</v>
      </c>
      <c r="E301" t="s">
        <v>56</v>
      </c>
      <c r="F301">
        <v>4</v>
      </c>
      <c r="G301">
        <v>30615.07</v>
      </c>
      <c r="H301">
        <v>122460.28</v>
      </c>
      <c r="I301" t="s">
        <v>13</v>
      </c>
      <c r="J301" t="s">
        <v>19</v>
      </c>
    </row>
    <row r="302" spans="1:10" x14ac:dyDescent="0.35">
      <c r="A302" t="s">
        <v>683</v>
      </c>
      <c r="B302" t="s">
        <v>673</v>
      </c>
      <c r="C302" t="str">
        <f>TEXT(Table1[[#This Row],[Order_Date]],"mmm")</f>
        <v>Feb</v>
      </c>
      <c r="D302" t="s">
        <v>684</v>
      </c>
      <c r="E302" t="s">
        <v>53</v>
      </c>
      <c r="F302">
        <v>1</v>
      </c>
      <c r="G302">
        <v>12178.6</v>
      </c>
      <c r="H302">
        <v>12178.6</v>
      </c>
      <c r="I302" t="s">
        <v>23</v>
      </c>
      <c r="J302" t="s">
        <v>19</v>
      </c>
    </row>
    <row r="303" spans="1:10" x14ac:dyDescent="0.35">
      <c r="A303" t="s">
        <v>685</v>
      </c>
      <c r="B303" t="s">
        <v>673</v>
      </c>
      <c r="C303" t="str">
        <f>TEXT(Table1[[#This Row],[Order_Date]],"mmm")</f>
        <v>Feb</v>
      </c>
      <c r="D303" t="s">
        <v>686</v>
      </c>
      <c r="E303" t="s">
        <v>47</v>
      </c>
      <c r="F303">
        <v>4</v>
      </c>
      <c r="G303">
        <v>32259.759999999998</v>
      </c>
      <c r="H303">
        <v>129039.03999999999</v>
      </c>
      <c r="I303" t="s">
        <v>13</v>
      </c>
      <c r="J303" t="s">
        <v>35</v>
      </c>
    </row>
    <row r="304" spans="1:10" x14ac:dyDescent="0.35">
      <c r="A304" t="s">
        <v>687</v>
      </c>
      <c r="B304" t="s">
        <v>688</v>
      </c>
      <c r="C304" t="str">
        <f>TEXT(Table1[[#This Row],[Order_Date]],"mmm")</f>
        <v>Mar</v>
      </c>
      <c r="D304" t="s">
        <v>689</v>
      </c>
      <c r="E304" t="s">
        <v>53</v>
      </c>
      <c r="F304">
        <v>4</v>
      </c>
      <c r="G304">
        <v>38492.5</v>
      </c>
      <c r="H304">
        <v>153970</v>
      </c>
      <c r="I304" t="s">
        <v>42</v>
      </c>
      <c r="J304" t="s">
        <v>19</v>
      </c>
    </row>
    <row r="305" spans="1:10" x14ac:dyDescent="0.35">
      <c r="A305" t="s">
        <v>690</v>
      </c>
      <c r="B305" t="s">
        <v>688</v>
      </c>
      <c r="C305" t="str">
        <f>TEXT(Table1[[#This Row],[Order_Date]],"mmm")</f>
        <v>Mar</v>
      </c>
      <c r="D305" t="s">
        <v>691</v>
      </c>
      <c r="E305" t="s">
        <v>53</v>
      </c>
      <c r="F305">
        <v>4</v>
      </c>
      <c r="G305">
        <v>927.18</v>
      </c>
      <c r="H305">
        <v>3708.72</v>
      </c>
      <c r="I305" t="s">
        <v>23</v>
      </c>
      <c r="J305" t="s">
        <v>14</v>
      </c>
    </row>
    <row r="306" spans="1:10" x14ac:dyDescent="0.35">
      <c r="A306" t="s">
        <v>692</v>
      </c>
      <c r="B306" t="s">
        <v>688</v>
      </c>
      <c r="C306" t="str">
        <f>TEXT(Table1[[#This Row],[Order_Date]],"mmm")</f>
        <v>Mar</v>
      </c>
      <c r="D306" t="s">
        <v>693</v>
      </c>
      <c r="E306" t="s">
        <v>72</v>
      </c>
      <c r="F306">
        <v>4</v>
      </c>
      <c r="G306">
        <v>42501.98</v>
      </c>
      <c r="H306">
        <v>170007.92</v>
      </c>
      <c r="I306" t="s">
        <v>42</v>
      </c>
      <c r="J306" t="s">
        <v>14</v>
      </c>
    </row>
    <row r="307" spans="1:10" x14ac:dyDescent="0.35">
      <c r="A307" t="s">
        <v>694</v>
      </c>
      <c r="B307" t="s">
        <v>688</v>
      </c>
      <c r="C307" t="str">
        <f>TEXT(Table1[[#This Row],[Order_Date]],"mmm")</f>
        <v>Mar</v>
      </c>
      <c r="D307" t="s">
        <v>346</v>
      </c>
      <c r="E307" t="s">
        <v>38</v>
      </c>
      <c r="F307">
        <v>5</v>
      </c>
      <c r="G307">
        <v>11580.35</v>
      </c>
      <c r="H307">
        <v>57901.75</v>
      </c>
      <c r="I307" t="s">
        <v>23</v>
      </c>
      <c r="J307" t="s">
        <v>19</v>
      </c>
    </row>
    <row r="308" spans="1:10" x14ac:dyDescent="0.35">
      <c r="A308" t="s">
        <v>695</v>
      </c>
      <c r="B308" t="s">
        <v>688</v>
      </c>
      <c r="C308" t="str">
        <f>TEXT(Table1[[#This Row],[Order_Date]],"mmm")</f>
        <v>Mar</v>
      </c>
      <c r="D308" t="s">
        <v>696</v>
      </c>
      <c r="E308" t="s">
        <v>56</v>
      </c>
      <c r="F308">
        <v>1</v>
      </c>
      <c r="G308">
        <v>32013.97</v>
      </c>
      <c r="H308">
        <v>32013.97</v>
      </c>
      <c r="I308" t="s">
        <v>42</v>
      </c>
      <c r="J308" t="s">
        <v>19</v>
      </c>
    </row>
    <row r="309" spans="1:10" x14ac:dyDescent="0.35">
      <c r="A309" t="s">
        <v>697</v>
      </c>
      <c r="B309" t="s">
        <v>688</v>
      </c>
      <c r="C309" t="str">
        <f>TEXT(Table1[[#This Row],[Order_Date]],"mmm")</f>
        <v>Mar</v>
      </c>
      <c r="D309" t="s">
        <v>698</v>
      </c>
      <c r="E309" t="s">
        <v>72</v>
      </c>
      <c r="F309">
        <v>1</v>
      </c>
      <c r="G309">
        <v>17719.07</v>
      </c>
      <c r="H309">
        <v>17719.07</v>
      </c>
      <c r="I309" t="s">
        <v>23</v>
      </c>
      <c r="J309" t="s">
        <v>35</v>
      </c>
    </row>
    <row r="310" spans="1:10" x14ac:dyDescent="0.35">
      <c r="A310" t="s">
        <v>699</v>
      </c>
      <c r="B310" t="s">
        <v>688</v>
      </c>
      <c r="C310" t="str">
        <f>TEXT(Table1[[#This Row],[Order_Date]],"mmm")</f>
        <v>Mar</v>
      </c>
      <c r="D310" t="s">
        <v>700</v>
      </c>
      <c r="E310" t="s">
        <v>72</v>
      </c>
      <c r="F310">
        <v>5</v>
      </c>
      <c r="G310">
        <v>15752.46</v>
      </c>
      <c r="H310">
        <v>78762.3</v>
      </c>
      <c r="I310" t="s">
        <v>13</v>
      </c>
      <c r="J310" t="s">
        <v>24</v>
      </c>
    </row>
    <row r="311" spans="1:10" x14ac:dyDescent="0.35">
      <c r="A311" t="s">
        <v>701</v>
      </c>
      <c r="B311" t="s">
        <v>688</v>
      </c>
      <c r="C311" t="str">
        <f>TEXT(Table1[[#This Row],[Order_Date]],"mmm")</f>
        <v>Mar</v>
      </c>
      <c r="D311" t="s">
        <v>702</v>
      </c>
      <c r="E311" t="s">
        <v>56</v>
      </c>
      <c r="F311">
        <v>3</v>
      </c>
      <c r="G311">
        <v>48024.71</v>
      </c>
      <c r="H311">
        <v>144074.13</v>
      </c>
      <c r="I311" t="s">
        <v>13</v>
      </c>
      <c r="J311" t="s">
        <v>14</v>
      </c>
    </row>
    <row r="312" spans="1:10" x14ac:dyDescent="0.35">
      <c r="A312" t="s">
        <v>703</v>
      </c>
      <c r="B312" t="s">
        <v>704</v>
      </c>
      <c r="C312" t="str">
        <f>TEXT(Table1[[#This Row],[Order_Date]],"mmm")</f>
        <v>Mar</v>
      </c>
      <c r="D312" t="s">
        <v>705</v>
      </c>
      <c r="E312" t="s">
        <v>22</v>
      </c>
      <c r="F312">
        <v>1</v>
      </c>
      <c r="G312">
        <v>10271.620000000001</v>
      </c>
      <c r="H312">
        <v>10271.620000000001</v>
      </c>
      <c r="I312" t="s">
        <v>42</v>
      </c>
      <c r="J312" t="s">
        <v>24</v>
      </c>
    </row>
    <row r="313" spans="1:10" x14ac:dyDescent="0.35">
      <c r="A313" t="s">
        <v>706</v>
      </c>
      <c r="B313" t="s">
        <v>704</v>
      </c>
      <c r="C313" t="str">
        <f>TEXT(Table1[[#This Row],[Order_Date]],"mmm")</f>
        <v>Mar</v>
      </c>
      <c r="D313" t="s">
        <v>707</v>
      </c>
      <c r="E313" t="s">
        <v>56</v>
      </c>
      <c r="F313">
        <v>1</v>
      </c>
      <c r="G313">
        <v>39808.800000000003</v>
      </c>
      <c r="H313">
        <v>39808.800000000003</v>
      </c>
      <c r="I313" t="s">
        <v>42</v>
      </c>
      <c r="J313" t="s">
        <v>24</v>
      </c>
    </row>
    <row r="314" spans="1:10" x14ac:dyDescent="0.35">
      <c r="A314" t="s">
        <v>708</v>
      </c>
      <c r="B314" t="s">
        <v>704</v>
      </c>
      <c r="C314" t="str">
        <f>TEXT(Table1[[#This Row],[Order_Date]],"mmm")</f>
        <v>Mar</v>
      </c>
      <c r="D314" t="s">
        <v>709</v>
      </c>
      <c r="E314" t="s">
        <v>75</v>
      </c>
      <c r="F314">
        <v>4</v>
      </c>
      <c r="G314">
        <v>42251.58</v>
      </c>
      <c r="H314">
        <v>169006.32</v>
      </c>
      <c r="I314" t="s">
        <v>42</v>
      </c>
      <c r="J314" t="s">
        <v>14</v>
      </c>
    </row>
    <row r="315" spans="1:10" x14ac:dyDescent="0.35">
      <c r="A315" t="s">
        <v>710</v>
      </c>
      <c r="B315" t="s">
        <v>704</v>
      </c>
      <c r="C315" t="str">
        <f>TEXT(Table1[[#This Row],[Order_Date]],"mmm")</f>
        <v>Mar</v>
      </c>
      <c r="D315" t="s">
        <v>711</v>
      </c>
      <c r="E315" t="s">
        <v>56</v>
      </c>
      <c r="F315">
        <v>2</v>
      </c>
      <c r="G315">
        <v>36665.379999999997</v>
      </c>
      <c r="H315">
        <v>73330.759999999995</v>
      </c>
      <c r="I315" t="s">
        <v>42</v>
      </c>
      <c r="J315" t="s">
        <v>35</v>
      </c>
    </row>
    <row r="316" spans="1:10" x14ac:dyDescent="0.35">
      <c r="A316" t="s">
        <v>712</v>
      </c>
      <c r="B316" t="s">
        <v>704</v>
      </c>
      <c r="C316" t="str">
        <f>TEXT(Table1[[#This Row],[Order_Date]],"mmm")</f>
        <v>Mar</v>
      </c>
      <c r="D316" t="s">
        <v>713</v>
      </c>
      <c r="E316" t="s">
        <v>47</v>
      </c>
      <c r="F316">
        <v>3</v>
      </c>
      <c r="G316">
        <v>13837.38</v>
      </c>
      <c r="H316">
        <v>41512.14</v>
      </c>
      <c r="I316" t="s">
        <v>13</v>
      </c>
      <c r="J316" t="s">
        <v>19</v>
      </c>
    </row>
    <row r="317" spans="1:10" x14ac:dyDescent="0.35">
      <c r="A317" t="s">
        <v>714</v>
      </c>
      <c r="B317" t="s">
        <v>704</v>
      </c>
      <c r="C317" t="str">
        <f>TEXT(Table1[[#This Row],[Order_Date]],"mmm")</f>
        <v>Mar</v>
      </c>
      <c r="D317" t="s">
        <v>715</v>
      </c>
      <c r="E317" t="s">
        <v>38</v>
      </c>
      <c r="F317">
        <v>3</v>
      </c>
      <c r="G317">
        <v>37511.39</v>
      </c>
      <c r="H317">
        <v>112534.17</v>
      </c>
      <c r="I317" t="s">
        <v>18</v>
      </c>
      <c r="J317" t="s">
        <v>19</v>
      </c>
    </row>
    <row r="318" spans="1:10" x14ac:dyDescent="0.35">
      <c r="A318" t="s">
        <v>716</v>
      </c>
      <c r="B318" t="s">
        <v>717</v>
      </c>
      <c r="C318" t="str">
        <f>TEXT(Table1[[#This Row],[Order_Date]],"mmm")</f>
        <v>Mar</v>
      </c>
      <c r="D318" t="s">
        <v>718</v>
      </c>
      <c r="E318" t="s">
        <v>72</v>
      </c>
      <c r="F318">
        <v>2</v>
      </c>
      <c r="G318">
        <v>25546.98</v>
      </c>
      <c r="H318">
        <v>51093.96</v>
      </c>
      <c r="I318" t="s">
        <v>13</v>
      </c>
      <c r="J318" t="s">
        <v>19</v>
      </c>
    </row>
    <row r="319" spans="1:10" x14ac:dyDescent="0.35">
      <c r="A319" t="s">
        <v>719</v>
      </c>
      <c r="B319" t="s">
        <v>717</v>
      </c>
      <c r="C319" t="str">
        <f>TEXT(Table1[[#This Row],[Order_Date]],"mmm")</f>
        <v>Mar</v>
      </c>
      <c r="D319" t="s">
        <v>720</v>
      </c>
      <c r="E319" t="s">
        <v>22</v>
      </c>
      <c r="F319">
        <v>3</v>
      </c>
      <c r="G319">
        <v>36446.43</v>
      </c>
      <c r="H319">
        <v>109339.29</v>
      </c>
      <c r="I319" t="s">
        <v>23</v>
      </c>
      <c r="J319" t="s">
        <v>14</v>
      </c>
    </row>
    <row r="320" spans="1:10" x14ac:dyDescent="0.35">
      <c r="A320" t="s">
        <v>721</v>
      </c>
      <c r="B320" t="s">
        <v>717</v>
      </c>
      <c r="C320" t="str">
        <f>TEXT(Table1[[#This Row],[Order_Date]],"mmm")</f>
        <v>Mar</v>
      </c>
      <c r="D320" t="s">
        <v>722</v>
      </c>
      <c r="E320" t="s">
        <v>56</v>
      </c>
      <c r="F320">
        <v>2</v>
      </c>
      <c r="G320">
        <v>5548.95</v>
      </c>
      <c r="H320">
        <v>11097.9</v>
      </c>
      <c r="I320" t="s">
        <v>23</v>
      </c>
      <c r="J320" t="s">
        <v>24</v>
      </c>
    </row>
    <row r="321" spans="1:10" x14ac:dyDescent="0.35">
      <c r="A321" t="s">
        <v>723</v>
      </c>
      <c r="B321" t="s">
        <v>717</v>
      </c>
      <c r="C321" t="str">
        <f>TEXT(Table1[[#This Row],[Order_Date]],"mmm")</f>
        <v>Mar</v>
      </c>
      <c r="D321" t="s">
        <v>724</v>
      </c>
      <c r="E321" t="s">
        <v>32</v>
      </c>
      <c r="F321">
        <v>5</v>
      </c>
      <c r="G321">
        <v>48121.88</v>
      </c>
      <c r="H321">
        <v>240609.4</v>
      </c>
      <c r="I321" t="s">
        <v>42</v>
      </c>
      <c r="J321" t="s">
        <v>19</v>
      </c>
    </row>
    <row r="322" spans="1:10" x14ac:dyDescent="0.35">
      <c r="A322" t="s">
        <v>725</v>
      </c>
      <c r="B322" t="s">
        <v>717</v>
      </c>
      <c r="C322" t="str">
        <f>TEXT(Table1[[#This Row],[Order_Date]],"mmm")</f>
        <v>Mar</v>
      </c>
      <c r="D322" t="s">
        <v>726</v>
      </c>
      <c r="E322" t="s">
        <v>38</v>
      </c>
      <c r="F322">
        <v>1</v>
      </c>
      <c r="G322">
        <v>10126.51</v>
      </c>
      <c r="H322">
        <v>10126.51</v>
      </c>
      <c r="I322" t="s">
        <v>42</v>
      </c>
      <c r="J322" t="s">
        <v>24</v>
      </c>
    </row>
    <row r="323" spans="1:10" x14ac:dyDescent="0.35">
      <c r="A323" t="s">
        <v>727</v>
      </c>
      <c r="B323" t="s">
        <v>717</v>
      </c>
      <c r="C323" t="str">
        <f>TEXT(Table1[[#This Row],[Order_Date]],"mmm")</f>
        <v>Mar</v>
      </c>
      <c r="D323" t="s">
        <v>728</v>
      </c>
      <c r="E323" t="s">
        <v>75</v>
      </c>
      <c r="F323">
        <v>4</v>
      </c>
      <c r="G323">
        <v>12917.08</v>
      </c>
      <c r="H323">
        <v>51668.32</v>
      </c>
      <c r="I323" t="s">
        <v>13</v>
      </c>
      <c r="J323" t="s">
        <v>24</v>
      </c>
    </row>
    <row r="324" spans="1:10" x14ac:dyDescent="0.35">
      <c r="A324" t="s">
        <v>729</v>
      </c>
      <c r="B324" t="s">
        <v>717</v>
      </c>
      <c r="C324" t="str">
        <f>TEXT(Table1[[#This Row],[Order_Date]],"mmm")</f>
        <v>Mar</v>
      </c>
      <c r="D324" t="s">
        <v>730</v>
      </c>
      <c r="E324" t="s">
        <v>38</v>
      </c>
      <c r="F324">
        <v>4</v>
      </c>
      <c r="G324">
        <v>23762.79</v>
      </c>
      <c r="H324">
        <v>95051.16</v>
      </c>
      <c r="I324" t="s">
        <v>42</v>
      </c>
      <c r="J324" t="s">
        <v>24</v>
      </c>
    </row>
    <row r="325" spans="1:10" x14ac:dyDescent="0.35">
      <c r="A325" t="s">
        <v>731</v>
      </c>
      <c r="B325" t="s">
        <v>732</v>
      </c>
      <c r="C325" t="str">
        <f>TEXT(Table1[[#This Row],[Order_Date]],"mmm")</f>
        <v>Mar</v>
      </c>
      <c r="D325" t="s">
        <v>733</v>
      </c>
      <c r="E325" t="s">
        <v>72</v>
      </c>
      <c r="F325">
        <v>2</v>
      </c>
      <c r="G325">
        <v>6743.95</v>
      </c>
      <c r="H325">
        <v>13487.9</v>
      </c>
      <c r="I325" t="s">
        <v>42</v>
      </c>
      <c r="J325" t="s">
        <v>24</v>
      </c>
    </row>
    <row r="326" spans="1:10" x14ac:dyDescent="0.35">
      <c r="A326" t="s">
        <v>734</v>
      </c>
      <c r="B326" t="s">
        <v>732</v>
      </c>
      <c r="C326" t="str">
        <f>TEXT(Table1[[#This Row],[Order_Date]],"mmm")</f>
        <v>Mar</v>
      </c>
      <c r="D326" t="s">
        <v>735</v>
      </c>
      <c r="E326" t="s">
        <v>22</v>
      </c>
      <c r="F326">
        <v>5</v>
      </c>
      <c r="G326">
        <v>42587.12</v>
      </c>
      <c r="H326">
        <v>212935.6</v>
      </c>
      <c r="I326" t="s">
        <v>23</v>
      </c>
      <c r="J326" t="s">
        <v>14</v>
      </c>
    </row>
    <row r="327" spans="1:10" x14ac:dyDescent="0.35">
      <c r="A327" t="s">
        <v>736</v>
      </c>
      <c r="B327" t="s">
        <v>732</v>
      </c>
      <c r="C327" t="str">
        <f>TEXT(Table1[[#This Row],[Order_Date]],"mmm")</f>
        <v>Mar</v>
      </c>
      <c r="D327" t="s">
        <v>406</v>
      </c>
      <c r="E327" t="s">
        <v>75</v>
      </c>
      <c r="F327">
        <v>1</v>
      </c>
      <c r="G327">
        <v>35685.19</v>
      </c>
      <c r="H327">
        <v>35685.19</v>
      </c>
      <c r="I327" t="s">
        <v>42</v>
      </c>
      <c r="J327" t="s">
        <v>35</v>
      </c>
    </row>
    <row r="328" spans="1:10" x14ac:dyDescent="0.35">
      <c r="A328" t="s">
        <v>737</v>
      </c>
      <c r="B328" t="s">
        <v>732</v>
      </c>
      <c r="C328" t="str">
        <f>TEXT(Table1[[#This Row],[Order_Date]],"mmm")</f>
        <v>Mar</v>
      </c>
      <c r="D328" t="s">
        <v>738</v>
      </c>
      <c r="E328" t="s">
        <v>75</v>
      </c>
      <c r="F328">
        <v>2</v>
      </c>
      <c r="G328">
        <v>47268.54</v>
      </c>
      <c r="H328">
        <v>94537.08</v>
      </c>
      <c r="I328" t="s">
        <v>18</v>
      </c>
      <c r="J328" t="s">
        <v>24</v>
      </c>
    </row>
    <row r="329" spans="1:10" x14ac:dyDescent="0.35">
      <c r="A329" t="s">
        <v>739</v>
      </c>
      <c r="B329" t="s">
        <v>740</v>
      </c>
      <c r="C329" t="str">
        <f>TEXT(Table1[[#This Row],[Order_Date]],"mmm")</f>
        <v>Mar</v>
      </c>
      <c r="D329" t="s">
        <v>741</v>
      </c>
      <c r="E329" t="s">
        <v>72</v>
      </c>
      <c r="F329">
        <v>5</v>
      </c>
      <c r="G329">
        <v>44500.79</v>
      </c>
      <c r="H329">
        <v>222503.95</v>
      </c>
      <c r="I329" t="s">
        <v>23</v>
      </c>
      <c r="J329" t="s">
        <v>24</v>
      </c>
    </row>
    <row r="330" spans="1:10" x14ac:dyDescent="0.35">
      <c r="A330" t="s">
        <v>742</v>
      </c>
      <c r="B330" t="s">
        <v>740</v>
      </c>
      <c r="C330" t="str">
        <f>TEXT(Table1[[#This Row],[Order_Date]],"mmm")</f>
        <v>Mar</v>
      </c>
      <c r="D330" t="s">
        <v>743</v>
      </c>
      <c r="E330" t="s">
        <v>72</v>
      </c>
      <c r="F330">
        <v>3</v>
      </c>
      <c r="G330">
        <v>4595.21</v>
      </c>
      <c r="H330">
        <v>13785.63</v>
      </c>
      <c r="I330" t="s">
        <v>23</v>
      </c>
      <c r="J330" t="s">
        <v>14</v>
      </c>
    </row>
    <row r="331" spans="1:10" x14ac:dyDescent="0.35">
      <c r="A331" t="s">
        <v>744</v>
      </c>
      <c r="B331" t="s">
        <v>740</v>
      </c>
      <c r="C331" t="str">
        <f>TEXT(Table1[[#This Row],[Order_Date]],"mmm")</f>
        <v>Mar</v>
      </c>
      <c r="D331" t="s">
        <v>745</v>
      </c>
      <c r="E331" t="s">
        <v>32</v>
      </c>
      <c r="F331">
        <v>2</v>
      </c>
      <c r="G331">
        <v>30291.31</v>
      </c>
      <c r="H331">
        <v>60582.62</v>
      </c>
      <c r="I331" t="s">
        <v>23</v>
      </c>
      <c r="J331" t="s">
        <v>24</v>
      </c>
    </row>
    <row r="332" spans="1:10" x14ac:dyDescent="0.35">
      <c r="A332" t="s">
        <v>746</v>
      </c>
      <c r="B332" t="s">
        <v>740</v>
      </c>
      <c r="C332" t="str">
        <f>TEXT(Table1[[#This Row],[Order_Date]],"mmm")</f>
        <v>Mar</v>
      </c>
      <c r="D332" t="s">
        <v>747</v>
      </c>
      <c r="E332" t="s">
        <v>12</v>
      </c>
      <c r="F332">
        <v>4</v>
      </c>
      <c r="G332">
        <v>10616.28</v>
      </c>
      <c r="H332">
        <v>42465.120000000003</v>
      </c>
      <c r="I332" t="s">
        <v>42</v>
      </c>
      <c r="J332" t="s">
        <v>19</v>
      </c>
    </row>
    <row r="333" spans="1:10" x14ac:dyDescent="0.35">
      <c r="A333" t="s">
        <v>748</v>
      </c>
      <c r="B333" t="s">
        <v>740</v>
      </c>
      <c r="C333" t="str">
        <f>TEXT(Table1[[#This Row],[Order_Date]],"mmm")</f>
        <v>Mar</v>
      </c>
      <c r="D333" t="s">
        <v>749</v>
      </c>
      <c r="E333" t="s">
        <v>75</v>
      </c>
      <c r="F333">
        <v>4</v>
      </c>
      <c r="G333">
        <v>3248.56</v>
      </c>
      <c r="H333">
        <v>12994.24</v>
      </c>
      <c r="I333" t="s">
        <v>13</v>
      </c>
      <c r="J333" t="s">
        <v>14</v>
      </c>
    </row>
    <row r="334" spans="1:10" x14ac:dyDescent="0.35">
      <c r="A334" t="s">
        <v>750</v>
      </c>
      <c r="B334" t="s">
        <v>740</v>
      </c>
      <c r="C334" t="str">
        <f>TEXT(Table1[[#This Row],[Order_Date]],"mmm")</f>
        <v>Mar</v>
      </c>
      <c r="D334" t="s">
        <v>751</v>
      </c>
      <c r="E334" t="s">
        <v>47</v>
      </c>
      <c r="F334">
        <v>1</v>
      </c>
      <c r="G334">
        <v>49892.52</v>
      </c>
      <c r="H334">
        <v>49892.52</v>
      </c>
      <c r="I334" t="s">
        <v>13</v>
      </c>
      <c r="J334" t="s">
        <v>24</v>
      </c>
    </row>
    <row r="335" spans="1:10" x14ac:dyDescent="0.35">
      <c r="A335" t="s">
        <v>752</v>
      </c>
      <c r="B335" t="s">
        <v>740</v>
      </c>
      <c r="C335" t="str">
        <f>TEXT(Table1[[#This Row],[Order_Date]],"mmm")</f>
        <v>Mar</v>
      </c>
      <c r="D335" t="s">
        <v>753</v>
      </c>
      <c r="E335" t="s">
        <v>32</v>
      </c>
      <c r="F335">
        <v>3</v>
      </c>
      <c r="G335">
        <v>10720.33</v>
      </c>
      <c r="H335">
        <v>32160.99</v>
      </c>
      <c r="I335" t="s">
        <v>42</v>
      </c>
      <c r="J335" t="s">
        <v>19</v>
      </c>
    </row>
    <row r="336" spans="1:10" x14ac:dyDescent="0.35">
      <c r="A336" t="s">
        <v>754</v>
      </c>
      <c r="B336" t="s">
        <v>740</v>
      </c>
      <c r="C336" t="str">
        <f>TEXT(Table1[[#This Row],[Order_Date]],"mmm")</f>
        <v>Mar</v>
      </c>
      <c r="D336" t="s">
        <v>755</v>
      </c>
      <c r="E336" t="s">
        <v>75</v>
      </c>
      <c r="F336">
        <v>4</v>
      </c>
      <c r="G336">
        <v>29833.03</v>
      </c>
      <c r="H336">
        <v>119332.12</v>
      </c>
      <c r="I336" t="s">
        <v>23</v>
      </c>
      <c r="J336" t="s">
        <v>24</v>
      </c>
    </row>
    <row r="337" spans="1:10" x14ac:dyDescent="0.35">
      <c r="A337" t="s">
        <v>756</v>
      </c>
      <c r="B337" t="s">
        <v>757</v>
      </c>
      <c r="C337" t="str">
        <f>TEXT(Table1[[#This Row],[Order_Date]],"mmm")</f>
        <v>Mar</v>
      </c>
      <c r="D337" t="s">
        <v>758</v>
      </c>
      <c r="E337" t="s">
        <v>12</v>
      </c>
      <c r="F337">
        <v>1</v>
      </c>
      <c r="G337">
        <v>17513.23</v>
      </c>
      <c r="H337">
        <v>17513.23</v>
      </c>
      <c r="I337" t="s">
        <v>23</v>
      </c>
      <c r="J337" t="s">
        <v>14</v>
      </c>
    </row>
    <row r="338" spans="1:10" x14ac:dyDescent="0.35">
      <c r="A338" t="s">
        <v>759</v>
      </c>
      <c r="B338" t="s">
        <v>757</v>
      </c>
      <c r="C338" t="str">
        <f>TEXT(Table1[[#This Row],[Order_Date]],"mmm")</f>
        <v>Mar</v>
      </c>
      <c r="D338" t="s">
        <v>760</v>
      </c>
      <c r="E338" t="s">
        <v>72</v>
      </c>
      <c r="F338">
        <v>3</v>
      </c>
      <c r="G338">
        <v>6209.26</v>
      </c>
      <c r="H338">
        <v>18627.78</v>
      </c>
      <c r="I338" t="s">
        <v>42</v>
      </c>
      <c r="J338" t="s">
        <v>24</v>
      </c>
    </row>
    <row r="339" spans="1:10" x14ac:dyDescent="0.35">
      <c r="A339" t="s">
        <v>761</v>
      </c>
      <c r="B339" t="s">
        <v>757</v>
      </c>
      <c r="C339" t="str">
        <f>TEXT(Table1[[#This Row],[Order_Date]],"mmm")</f>
        <v>Mar</v>
      </c>
      <c r="D339" t="s">
        <v>762</v>
      </c>
      <c r="E339" t="s">
        <v>47</v>
      </c>
      <c r="F339">
        <v>1</v>
      </c>
      <c r="G339">
        <v>33386.49</v>
      </c>
      <c r="H339">
        <v>33386.49</v>
      </c>
      <c r="I339" t="s">
        <v>42</v>
      </c>
      <c r="J339" t="s">
        <v>14</v>
      </c>
    </row>
    <row r="340" spans="1:10" x14ac:dyDescent="0.35">
      <c r="A340" t="s">
        <v>763</v>
      </c>
      <c r="B340" t="s">
        <v>757</v>
      </c>
      <c r="C340" t="str">
        <f>TEXT(Table1[[#This Row],[Order_Date]],"mmm")</f>
        <v>Mar</v>
      </c>
      <c r="D340" t="s">
        <v>764</v>
      </c>
      <c r="E340" t="s">
        <v>12</v>
      </c>
      <c r="F340">
        <v>4</v>
      </c>
      <c r="G340">
        <v>46873.06</v>
      </c>
      <c r="H340">
        <v>187492.24</v>
      </c>
      <c r="I340" t="s">
        <v>13</v>
      </c>
      <c r="J340" t="s">
        <v>14</v>
      </c>
    </row>
    <row r="341" spans="1:10" x14ac:dyDescent="0.35">
      <c r="A341" t="s">
        <v>765</v>
      </c>
      <c r="B341" t="s">
        <v>757</v>
      </c>
      <c r="C341" t="str">
        <f>TEXT(Table1[[#This Row],[Order_Date]],"mmm")</f>
        <v>Mar</v>
      </c>
      <c r="D341" t="s">
        <v>766</v>
      </c>
      <c r="E341" t="s">
        <v>17</v>
      </c>
      <c r="F341">
        <v>3</v>
      </c>
      <c r="G341">
        <v>39357.620000000003</v>
      </c>
      <c r="H341">
        <v>118072.86</v>
      </c>
      <c r="I341" t="s">
        <v>18</v>
      </c>
      <c r="J341" t="s">
        <v>24</v>
      </c>
    </row>
    <row r="342" spans="1:10" x14ac:dyDescent="0.35">
      <c r="A342" t="s">
        <v>767</v>
      </c>
      <c r="B342" t="s">
        <v>757</v>
      </c>
      <c r="C342" t="str">
        <f>TEXT(Table1[[#This Row],[Order_Date]],"mmm")</f>
        <v>Mar</v>
      </c>
      <c r="D342" t="s">
        <v>768</v>
      </c>
      <c r="E342" t="s">
        <v>75</v>
      </c>
      <c r="F342">
        <v>4</v>
      </c>
      <c r="G342">
        <v>36382.36</v>
      </c>
      <c r="H342">
        <v>145529.44</v>
      </c>
      <c r="I342" t="s">
        <v>13</v>
      </c>
      <c r="J342" t="s">
        <v>24</v>
      </c>
    </row>
    <row r="343" spans="1:10" x14ac:dyDescent="0.35">
      <c r="A343" t="s">
        <v>769</v>
      </c>
      <c r="B343" t="s">
        <v>757</v>
      </c>
      <c r="C343" t="str">
        <f>TEXT(Table1[[#This Row],[Order_Date]],"mmm")</f>
        <v>Mar</v>
      </c>
      <c r="D343" t="s">
        <v>770</v>
      </c>
      <c r="E343" t="s">
        <v>47</v>
      </c>
      <c r="F343">
        <v>5</v>
      </c>
      <c r="G343">
        <v>46215.32</v>
      </c>
      <c r="H343">
        <v>231076.6</v>
      </c>
      <c r="I343" t="s">
        <v>42</v>
      </c>
      <c r="J343" t="s">
        <v>19</v>
      </c>
    </row>
    <row r="344" spans="1:10" x14ac:dyDescent="0.35">
      <c r="A344" t="s">
        <v>771</v>
      </c>
      <c r="B344" t="s">
        <v>757</v>
      </c>
      <c r="C344" t="str">
        <f>TEXT(Table1[[#This Row],[Order_Date]],"mmm")</f>
        <v>Mar</v>
      </c>
      <c r="D344" t="s">
        <v>772</v>
      </c>
      <c r="E344" t="s">
        <v>38</v>
      </c>
      <c r="F344">
        <v>2</v>
      </c>
      <c r="G344">
        <v>5032.3900000000003</v>
      </c>
      <c r="H344">
        <v>10064.780000000001</v>
      </c>
      <c r="I344" t="s">
        <v>23</v>
      </c>
      <c r="J344" t="s">
        <v>24</v>
      </c>
    </row>
    <row r="345" spans="1:10" x14ac:dyDescent="0.35">
      <c r="A345" t="s">
        <v>773</v>
      </c>
      <c r="B345" t="s">
        <v>774</v>
      </c>
      <c r="C345" t="str">
        <f>TEXT(Table1[[#This Row],[Order_Date]],"mmm")</f>
        <v>Mar</v>
      </c>
      <c r="D345" t="s">
        <v>775</v>
      </c>
      <c r="E345" t="s">
        <v>17</v>
      </c>
      <c r="F345">
        <v>2</v>
      </c>
      <c r="G345">
        <v>12445.27</v>
      </c>
      <c r="H345">
        <v>24890.54</v>
      </c>
      <c r="I345" t="s">
        <v>18</v>
      </c>
      <c r="J345" t="s">
        <v>19</v>
      </c>
    </row>
    <row r="346" spans="1:10" x14ac:dyDescent="0.35">
      <c r="A346" t="s">
        <v>776</v>
      </c>
      <c r="B346" t="s">
        <v>774</v>
      </c>
      <c r="C346" t="str">
        <f>TEXT(Table1[[#This Row],[Order_Date]],"mmm")</f>
        <v>Mar</v>
      </c>
      <c r="D346" t="s">
        <v>777</v>
      </c>
      <c r="E346" t="s">
        <v>17</v>
      </c>
      <c r="F346">
        <v>4</v>
      </c>
      <c r="G346">
        <v>45254.04</v>
      </c>
      <c r="H346">
        <v>181016.16</v>
      </c>
      <c r="I346" t="s">
        <v>13</v>
      </c>
      <c r="J346" t="s">
        <v>19</v>
      </c>
    </row>
    <row r="347" spans="1:10" x14ac:dyDescent="0.35">
      <c r="A347" t="s">
        <v>778</v>
      </c>
      <c r="B347" t="s">
        <v>774</v>
      </c>
      <c r="C347" t="str">
        <f>TEXT(Table1[[#This Row],[Order_Date]],"mmm")</f>
        <v>Mar</v>
      </c>
      <c r="D347" t="s">
        <v>779</v>
      </c>
      <c r="E347" t="s">
        <v>53</v>
      </c>
      <c r="F347">
        <v>2</v>
      </c>
      <c r="G347">
        <v>5363.49</v>
      </c>
      <c r="H347">
        <v>10726.98</v>
      </c>
      <c r="I347" t="s">
        <v>18</v>
      </c>
      <c r="J347" t="s">
        <v>24</v>
      </c>
    </row>
    <row r="348" spans="1:10" x14ac:dyDescent="0.35">
      <c r="A348" t="s">
        <v>780</v>
      </c>
      <c r="B348" t="s">
        <v>774</v>
      </c>
      <c r="C348" t="str">
        <f>TEXT(Table1[[#This Row],[Order_Date]],"mmm")</f>
        <v>Mar</v>
      </c>
      <c r="D348" t="s">
        <v>781</v>
      </c>
      <c r="E348" t="s">
        <v>53</v>
      </c>
      <c r="F348">
        <v>5</v>
      </c>
      <c r="G348">
        <v>48118.28</v>
      </c>
      <c r="H348">
        <v>240591.4</v>
      </c>
      <c r="I348" t="s">
        <v>42</v>
      </c>
      <c r="J348" t="s">
        <v>19</v>
      </c>
    </row>
    <row r="349" spans="1:10" x14ac:dyDescent="0.35">
      <c r="A349" t="s">
        <v>782</v>
      </c>
      <c r="B349" t="s">
        <v>774</v>
      </c>
      <c r="C349" t="str">
        <f>TEXT(Table1[[#This Row],[Order_Date]],"mmm")</f>
        <v>Mar</v>
      </c>
      <c r="D349" t="s">
        <v>783</v>
      </c>
      <c r="E349" t="s">
        <v>75</v>
      </c>
      <c r="F349">
        <v>1</v>
      </c>
      <c r="G349">
        <v>44835</v>
      </c>
      <c r="H349">
        <v>44835</v>
      </c>
      <c r="I349" t="s">
        <v>18</v>
      </c>
      <c r="J349" t="s">
        <v>14</v>
      </c>
    </row>
    <row r="350" spans="1:10" x14ac:dyDescent="0.35">
      <c r="A350" t="s">
        <v>784</v>
      </c>
      <c r="B350" t="s">
        <v>774</v>
      </c>
      <c r="C350" t="str">
        <f>TEXT(Table1[[#This Row],[Order_Date]],"mmm")</f>
        <v>Mar</v>
      </c>
      <c r="D350" t="s">
        <v>785</v>
      </c>
      <c r="E350" t="s">
        <v>72</v>
      </c>
      <c r="F350">
        <v>1</v>
      </c>
      <c r="G350">
        <v>14636.49</v>
      </c>
      <c r="H350">
        <v>14636.49</v>
      </c>
      <c r="I350" t="s">
        <v>23</v>
      </c>
      <c r="J350" t="s">
        <v>19</v>
      </c>
    </row>
    <row r="351" spans="1:10" x14ac:dyDescent="0.35">
      <c r="A351" t="s">
        <v>786</v>
      </c>
      <c r="B351" t="s">
        <v>787</v>
      </c>
      <c r="C351" t="str">
        <f>TEXT(Table1[[#This Row],[Order_Date]],"mmm")</f>
        <v>Mar</v>
      </c>
      <c r="D351" t="s">
        <v>788</v>
      </c>
      <c r="E351" t="s">
        <v>56</v>
      </c>
      <c r="F351">
        <v>1</v>
      </c>
      <c r="G351">
        <v>41393.300000000003</v>
      </c>
      <c r="H351">
        <v>41393.300000000003</v>
      </c>
      <c r="I351" t="s">
        <v>23</v>
      </c>
      <c r="J351" t="s">
        <v>14</v>
      </c>
    </row>
    <row r="352" spans="1:10" x14ac:dyDescent="0.35">
      <c r="A352" t="s">
        <v>789</v>
      </c>
      <c r="B352" t="s">
        <v>787</v>
      </c>
      <c r="C352" t="str">
        <f>TEXT(Table1[[#This Row],[Order_Date]],"mmm")</f>
        <v>Mar</v>
      </c>
      <c r="D352" t="s">
        <v>790</v>
      </c>
      <c r="E352" t="s">
        <v>22</v>
      </c>
      <c r="F352">
        <v>5</v>
      </c>
      <c r="G352">
        <v>22031.15</v>
      </c>
      <c r="H352">
        <v>110155.75</v>
      </c>
      <c r="I352" t="s">
        <v>13</v>
      </c>
      <c r="J352" t="s">
        <v>19</v>
      </c>
    </row>
    <row r="353" spans="1:10" x14ac:dyDescent="0.35">
      <c r="A353" t="s">
        <v>791</v>
      </c>
      <c r="B353" t="s">
        <v>787</v>
      </c>
      <c r="C353" t="str">
        <f>TEXT(Table1[[#This Row],[Order_Date]],"mmm")</f>
        <v>Mar</v>
      </c>
      <c r="D353" t="s">
        <v>792</v>
      </c>
      <c r="E353" t="s">
        <v>32</v>
      </c>
      <c r="F353">
        <v>4</v>
      </c>
      <c r="G353">
        <v>45933.62</v>
      </c>
      <c r="H353">
        <v>183734.48</v>
      </c>
      <c r="I353" t="s">
        <v>23</v>
      </c>
      <c r="J353" t="s">
        <v>35</v>
      </c>
    </row>
    <row r="354" spans="1:10" x14ac:dyDescent="0.35">
      <c r="A354" t="s">
        <v>793</v>
      </c>
      <c r="B354" t="s">
        <v>787</v>
      </c>
      <c r="C354" t="str">
        <f>TEXT(Table1[[#This Row],[Order_Date]],"mmm")</f>
        <v>Mar</v>
      </c>
      <c r="D354" t="s">
        <v>794</v>
      </c>
      <c r="E354" t="s">
        <v>53</v>
      </c>
      <c r="F354">
        <v>1</v>
      </c>
      <c r="G354">
        <v>8708.39</v>
      </c>
      <c r="H354">
        <v>8708.39</v>
      </c>
      <c r="I354" t="s">
        <v>18</v>
      </c>
      <c r="J354" t="s">
        <v>14</v>
      </c>
    </row>
    <row r="355" spans="1:10" x14ac:dyDescent="0.35">
      <c r="A355" t="s">
        <v>795</v>
      </c>
      <c r="B355" t="s">
        <v>787</v>
      </c>
      <c r="C355" t="str">
        <f>TEXT(Table1[[#This Row],[Order_Date]],"mmm")</f>
        <v>Mar</v>
      </c>
      <c r="D355" t="s">
        <v>796</v>
      </c>
      <c r="E355" t="s">
        <v>22</v>
      </c>
      <c r="F355">
        <v>5</v>
      </c>
      <c r="G355">
        <v>22796.65</v>
      </c>
      <c r="H355">
        <v>113983.25</v>
      </c>
      <c r="I355" t="s">
        <v>18</v>
      </c>
      <c r="J355" t="s">
        <v>35</v>
      </c>
    </row>
    <row r="356" spans="1:10" x14ac:dyDescent="0.35">
      <c r="A356" t="s">
        <v>797</v>
      </c>
      <c r="B356" t="s">
        <v>787</v>
      </c>
      <c r="C356" t="str">
        <f>TEXT(Table1[[#This Row],[Order_Date]],"mmm")</f>
        <v>Mar</v>
      </c>
      <c r="D356" t="s">
        <v>798</v>
      </c>
      <c r="E356" t="s">
        <v>75</v>
      </c>
      <c r="F356">
        <v>5</v>
      </c>
      <c r="G356">
        <v>25049.54</v>
      </c>
      <c r="H356">
        <v>125247.7</v>
      </c>
      <c r="I356" t="s">
        <v>42</v>
      </c>
      <c r="J356" t="s">
        <v>19</v>
      </c>
    </row>
    <row r="357" spans="1:10" x14ac:dyDescent="0.35">
      <c r="A357" t="s">
        <v>799</v>
      </c>
      <c r="B357" t="s">
        <v>787</v>
      </c>
      <c r="C357" t="str">
        <f>TEXT(Table1[[#This Row],[Order_Date]],"mmm")</f>
        <v>Mar</v>
      </c>
      <c r="D357" t="s">
        <v>800</v>
      </c>
      <c r="E357" t="s">
        <v>53</v>
      </c>
      <c r="F357">
        <v>2</v>
      </c>
      <c r="G357">
        <v>10012.02</v>
      </c>
      <c r="H357">
        <v>20024.04</v>
      </c>
      <c r="I357" t="s">
        <v>42</v>
      </c>
      <c r="J357" t="s">
        <v>19</v>
      </c>
    </row>
    <row r="358" spans="1:10" x14ac:dyDescent="0.35">
      <c r="A358" t="s">
        <v>801</v>
      </c>
      <c r="B358" t="s">
        <v>787</v>
      </c>
      <c r="C358" t="str">
        <f>TEXT(Table1[[#This Row],[Order_Date]],"mmm")</f>
        <v>Mar</v>
      </c>
      <c r="D358" t="s">
        <v>802</v>
      </c>
      <c r="E358" t="s">
        <v>12</v>
      </c>
      <c r="F358">
        <v>1</v>
      </c>
      <c r="G358">
        <v>14872.01</v>
      </c>
      <c r="H358">
        <v>14872.01</v>
      </c>
      <c r="I358" t="s">
        <v>13</v>
      </c>
      <c r="J358" t="s">
        <v>14</v>
      </c>
    </row>
    <row r="359" spans="1:10" x14ac:dyDescent="0.35">
      <c r="A359" t="s">
        <v>803</v>
      </c>
      <c r="B359" t="s">
        <v>804</v>
      </c>
      <c r="C359" t="str">
        <f>TEXT(Table1[[#This Row],[Order_Date]],"mmm")</f>
        <v>Mar</v>
      </c>
      <c r="D359" t="s">
        <v>805</v>
      </c>
      <c r="E359" t="s">
        <v>56</v>
      </c>
      <c r="F359">
        <v>4</v>
      </c>
      <c r="G359">
        <v>15402.55</v>
      </c>
      <c r="H359">
        <v>61610.2</v>
      </c>
      <c r="I359" t="s">
        <v>23</v>
      </c>
      <c r="J359" t="s">
        <v>19</v>
      </c>
    </row>
    <row r="360" spans="1:10" x14ac:dyDescent="0.35">
      <c r="A360" t="s">
        <v>806</v>
      </c>
      <c r="B360" t="s">
        <v>804</v>
      </c>
      <c r="C360" t="str">
        <f>TEXT(Table1[[#This Row],[Order_Date]],"mmm")</f>
        <v>Mar</v>
      </c>
      <c r="D360" t="s">
        <v>807</v>
      </c>
      <c r="E360" t="s">
        <v>75</v>
      </c>
      <c r="F360">
        <v>4</v>
      </c>
      <c r="G360">
        <v>20214.849999999999</v>
      </c>
      <c r="H360">
        <v>80859.399999999994</v>
      </c>
      <c r="I360" t="s">
        <v>18</v>
      </c>
      <c r="J360" t="s">
        <v>35</v>
      </c>
    </row>
    <row r="361" spans="1:10" x14ac:dyDescent="0.35">
      <c r="A361" t="s">
        <v>808</v>
      </c>
      <c r="B361" t="s">
        <v>804</v>
      </c>
      <c r="C361" t="str">
        <f>TEXT(Table1[[#This Row],[Order_Date]],"mmm")</f>
        <v>Mar</v>
      </c>
      <c r="D361" t="s">
        <v>809</v>
      </c>
      <c r="E361" t="s">
        <v>75</v>
      </c>
      <c r="F361">
        <v>4</v>
      </c>
      <c r="G361">
        <v>27979.11</v>
      </c>
      <c r="H361">
        <v>111916.44</v>
      </c>
      <c r="I361" t="s">
        <v>23</v>
      </c>
      <c r="J361" t="s">
        <v>14</v>
      </c>
    </row>
    <row r="362" spans="1:10" x14ac:dyDescent="0.35">
      <c r="A362" t="s">
        <v>810</v>
      </c>
      <c r="B362" t="s">
        <v>804</v>
      </c>
      <c r="C362" t="str">
        <f>TEXT(Table1[[#This Row],[Order_Date]],"mmm")</f>
        <v>Mar</v>
      </c>
      <c r="D362" t="s">
        <v>811</v>
      </c>
      <c r="E362" t="s">
        <v>12</v>
      </c>
      <c r="F362">
        <v>2</v>
      </c>
      <c r="G362">
        <v>31098.080000000002</v>
      </c>
      <c r="H362">
        <v>62196.160000000003</v>
      </c>
      <c r="I362" t="s">
        <v>23</v>
      </c>
      <c r="J362" t="s">
        <v>24</v>
      </c>
    </row>
    <row r="363" spans="1:10" x14ac:dyDescent="0.35">
      <c r="A363" t="s">
        <v>812</v>
      </c>
      <c r="B363" t="s">
        <v>804</v>
      </c>
      <c r="C363" t="str">
        <f>TEXT(Table1[[#This Row],[Order_Date]],"mmm")</f>
        <v>Mar</v>
      </c>
      <c r="D363" t="s">
        <v>813</v>
      </c>
      <c r="E363" t="s">
        <v>22</v>
      </c>
      <c r="F363">
        <v>1</v>
      </c>
      <c r="G363">
        <v>42883.78</v>
      </c>
      <c r="H363">
        <v>42883.78</v>
      </c>
      <c r="I363" t="s">
        <v>13</v>
      </c>
      <c r="J363" t="s">
        <v>24</v>
      </c>
    </row>
    <row r="364" spans="1:10" x14ac:dyDescent="0.35">
      <c r="A364" t="s">
        <v>814</v>
      </c>
      <c r="B364" t="s">
        <v>804</v>
      </c>
      <c r="C364" t="str">
        <f>TEXT(Table1[[#This Row],[Order_Date]],"mmm")</f>
        <v>Mar</v>
      </c>
      <c r="D364" t="s">
        <v>815</v>
      </c>
      <c r="E364" t="s">
        <v>53</v>
      </c>
      <c r="F364">
        <v>2</v>
      </c>
      <c r="G364">
        <v>21621.65</v>
      </c>
      <c r="H364">
        <v>43243.3</v>
      </c>
      <c r="I364" t="s">
        <v>42</v>
      </c>
      <c r="J364" t="s">
        <v>19</v>
      </c>
    </row>
    <row r="365" spans="1:10" x14ac:dyDescent="0.35">
      <c r="A365" t="s">
        <v>816</v>
      </c>
      <c r="B365" t="s">
        <v>804</v>
      </c>
      <c r="C365" t="str">
        <f>TEXT(Table1[[#This Row],[Order_Date]],"mmm")</f>
        <v>Mar</v>
      </c>
      <c r="D365" t="s">
        <v>817</v>
      </c>
      <c r="E365" t="s">
        <v>47</v>
      </c>
      <c r="F365">
        <v>1</v>
      </c>
      <c r="G365">
        <v>37793.78</v>
      </c>
      <c r="H365">
        <v>37793.78</v>
      </c>
      <c r="I365" t="s">
        <v>13</v>
      </c>
      <c r="J365" t="s">
        <v>19</v>
      </c>
    </row>
    <row r="366" spans="1:10" x14ac:dyDescent="0.35">
      <c r="A366" t="s">
        <v>818</v>
      </c>
      <c r="B366" t="s">
        <v>804</v>
      </c>
      <c r="C366" t="str">
        <f>TEXT(Table1[[#This Row],[Order_Date]],"mmm")</f>
        <v>Mar</v>
      </c>
      <c r="D366" t="s">
        <v>819</v>
      </c>
      <c r="E366" t="s">
        <v>75</v>
      </c>
      <c r="F366">
        <v>4</v>
      </c>
      <c r="G366">
        <v>28416.55</v>
      </c>
      <c r="H366">
        <v>113666.2</v>
      </c>
      <c r="I366" t="s">
        <v>13</v>
      </c>
      <c r="J366" t="s">
        <v>19</v>
      </c>
    </row>
    <row r="367" spans="1:10" x14ac:dyDescent="0.35">
      <c r="A367" t="s">
        <v>820</v>
      </c>
      <c r="B367" t="s">
        <v>821</v>
      </c>
      <c r="C367" t="str">
        <f>TEXT(Table1[[#This Row],[Order_Date]],"mmm")</f>
        <v>Mar</v>
      </c>
      <c r="D367" t="s">
        <v>822</v>
      </c>
      <c r="E367" t="s">
        <v>17</v>
      </c>
      <c r="F367">
        <v>3</v>
      </c>
      <c r="G367">
        <v>46229.48</v>
      </c>
      <c r="H367">
        <v>138688.44</v>
      </c>
      <c r="I367" t="s">
        <v>18</v>
      </c>
      <c r="J367" t="s">
        <v>24</v>
      </c>
    </row>
    <row r="368" spans="1:10" x14ac:dyDescent="0.35">
      <c r="A368" t="s">
        <v>823</v>
      </c>
      <c r="B368" t="s">
        <v>821</v>
      </c>
      <c r="C368" t="str">
        <f>TEXT(Table1[[#This Row],[Order_Date]],"mmm")</f>
        <v>Mar</v>
      </c>
      <c r="D368" t="s">
        <v>824</v>
      </c>
      <c r="E368" t="s">
        <v>38</v>
      </c>
      <c r="F368">
        <v>5</v>
      </c>
      <c r="G368">
        <v>46283.13</v>
      </c>
      <c r="H368">
        <v>231415.65</v>
      </c>
      <c r="I368" t="s">
        <v>13</v>
      </c>
      <c r="J368" t="s">
        <v>35</v>
      </c>
    </row>
    <row r="369" spans="1:10" x14ac:dyDescent="0.35">
      <c r="A369" t="s">
        <v>825</v>
      </c>
      <c r="B369" t="s">
        <v>821</v>
      </c>
      <c r="C369" t="str">
        <f>TEXT(Table1[[#This Row],[Order_Date]],"mmm")</f>
        <v>Mar</v>
      </c>
      <c r="D369" t="s">
        <v>826</v>
      </c>
      <c r="E369" t="s">
        <v>38</v>
      </c>
      <c r="F369">
        <v>3</v>
      </c>
      <c r="G369">
        <v>28119.78</v>
      </c>
      <c r="H369">
        <v>84359.34</v>
      </c>
      <c r="I369" t="s">
        <v>18</v>
      </c>
      <c r="J369" t="s">
        <v>14</v>
      </c>
    </row>
    <row r="370" spans="1:10" x14ac:dyDescent="0.35">
      <c r="A370" t="s">
        <v>827</v>
      </c>
      <c r="B370" t="s">
        <v>821</v>
      </c>
      <c r="C370" t="str">
        <f>TEXT(Table1[[#This Row],[Order_Date]],"mmm")</f>
        <v>Mar</v>
      </c>
      <c r="D370" t="s">
        <v>828</v>
      </c>
      <c r="E370" t="s">
        <v>75</v>
      </c>
      <c r="F370">
        <v>5</v>
      </c>
      <c r="G370">
        <v>7724.34</v>
      </c>
      <c r="H370">
        <v>38621.699999999997</v>
      </c>
      <c r="I370" t="s">
        <v>23</v>
      </c>
      <c r="J370" t="s">
        <v>14</v>
      </c>
    </row>
    <row r="371" spans="1:10" x14ac:dyDescent="0.35">
      <c r="A371" t="s">
        <v>829</v>
      </c>
      <c r="B371" t="s">
        <v>821</v>
      </c>
      <c r="C371" t="str">
        <f>TEXT(Table1[[#This Row],[Order_Date]],"mmm")</f>
        <v>Mar</v>
      </c>
      <c r="D371" t="s">
        <v>830</v>
      </c>
      <c r="E371" t="s">
        <v>12</v>
      </c>
      <c r="F371">
        <v>5</v>
      </c>
      <c r="G371">
        <v>37423.550000000003</v>
      </c>
      <c r="H371">
        <v>187117.75</v>
      </c>
      <c r="I371" t="s">
        <v>42</v>
      </c>
      <c r="J371" t="s">
        <v>35</v>
      </c>
    </row>
    <row r="372" spans="1:10" x14ac:dyDescent="0.35">
      <c r="A372" t="s">
        <v>831</v>
      </c>
      <c r="B372" t="s">
        <v>821</v>
      </c>
      <c r="C372" t="str">
        <f>TEXT(Table1[[#This Row],[Order_Date]],"mmm")</f>
        <v>Mar</v>
      </c>
      <c r="D372" t="s">
        <v>832</v>
      </c>
      <c r="E372" t="s">
        <v>72</v>
      </c>
      <c r="F372">
        <v>2</v>
      </c>
      <c r="G372">
        <v>21871.31</v>
      </c>
      <c r="H372">
        <v>43742.62</v>
      </c>
      <c r="I372" t="s">
        <v>42</v>
      </c>
      <c r="J372" t="s">
        <v>24</v>
      </c>
    </row>
    <row r="373" spans="1:10" x14ac:dyDescent="0.35">
      <c r="A373" t="s">
        <v>833</v>
      </c>
      <c r="B373" t="s">
        <v>821</v>
      </c>
      <c r="C373" t="str">
        <f>TEXT(Table1[[#This Row],[Order_Date]],"mmm")</f>
        <v>Mar</v>
      </c>
      <c r="D373" t="s">
        <v>834</v>
      </c>
      <c r="E373" t="s">
        <v>53</v>
      </c>
      <c r="F373">
        <v>3</v>
      </c>
      <c r="G373">
        <v>8980.2800000000007</v>
      </c>
      <c r="H373">
        <v>26940.84</v>
      </c>
      <c r="I373" t="s">
        <v>42</v>
      </c>
      <c r="J373" t="s">
        <v>35</v>
      </c>
    </row>
    <row r="374" spans="1:10" x14ac:dyDescent="0.35">
      <c r="A374" t="s">
        <v>835</v>
      </c>
      <c r="B374" t="s">
        <v>821</v>
      </c>
      <c r="C374" t="str">
        <f>TEXT(Table1[[#This Row],[Order_Date]],"mmm")</f>
        <v>Mar</v>
      </c>
      <c r="D374" t="s">
        <v>836</v>
      </c>
      <c r="E374" t="s">
        <v>22</v>
      </c>
      <c r="F374">
        <v>5</v>
      </c>
      <c r="G374">
        <v>2083.89</v>
      </c>
      <c r="H374">
        <v>10419.450000000001</v>
      </c>
      <c r="I374" t="s">
        <v>13</v>
      </c>
      <c r="J374" t="s">
        <v>14</v>
      </c>
    </row>
    <row r="375" spans="1:10" x14ac:dyDescent="0.35">
      <c r="A375" t="s">
        <v>837</v>
      </c>
      <c r="B375" t="s">
        <v>838</v>
      </c>
      <c r="C375" t="str">
        <f>TEXT(Table1[[#This Row],[Order_Date]],"mmm")</f>
        <v>Mar</v>
      </c>
      <c r="D375" t="s">
        <v>839</v>
      </c>
      <c r="E375" t="s">
        <v>53</v>
      </c>
      <c r="F375">
        <v>3</v>
      </c>
      <c r="G375">
        <v>3499.89</v>
      </c>
      <c r="H375">
        <v>10499.67</v>
      </c>
      <c r="I375" t="s">
        <v>18</v>
      </c>
      <c r="J375" t="s">
        <v>19</v>
      </c>
    </row>
    <row r="376" spans="1:10" x14ac:dyDescent="0.35">
      <c r="A376" t="s">
        <v>840</v>
      </c>
      <c r="B376" t="s">
        <v>838</v>
      </c>
      <c r="C376" t="str">
        <f>TEXT(Table1[[#This Row],[Order_Date]],"mmm")</f>
        <v>Mar</v>
      </c>
      <c r="D376" t="s">
        <v>841</v>
      </c>
      <c r="E376" t="s">
        <v>22</v>
      </c>
      <c r="F376">
        <v>1</v>
      </c>
      <c r="G376">
        <v>45989.33</v>
      </c>
      <c r="H376">
        <v>45989.33</v>
      </c>
      <c r="I376" t="s">
        <v>13</v>
      </c>
      <c r="J376" t="s">
        <v>24</v>
      </c>
    </row>
    <row r="377" spans="1:10" x14ac:dyDescent="0.35">
      <c r="A377" t="s">
        <v>842</v>
      </c>
      <c r="B377" t="s">
        <v>838</v>
      </c>
      <c r="C377" t="str">
        <f>TEXT(Table1[[#This Row],[Order_Date]],"mmm")</f>
        <v>Mar</v>
      </c>
      <c r="D377" t="s">
        <v>843</v>
      </c>
      <c r="E377" t="s">
        <v>12</v>
      </c>
      <c r="F377">
        <v>2</v>
      </c>
      <c r="G377">
        <v>49397.5</v>
      </c>
      <c r="H377">
        <v>98795</v>
      </c>
      <c r="I377" t="s">
        <v>42</v>
      </c>
      <c r="J377" t="s">
        <v>19</v>
      </c>
    </row>
    <row r="378" spans="1:10" x14ac:dyDescent="0.35">
      <c r="A378" t="s">
        <v>844</v>
      </c>
      <c r="B378" t="s">
        <v>838</v>
      </c>
      <c r="C378" t="str">
        <f>TEXT(Table1[[#This Row],[Order_Date]],"mmm")</f>
        <v>Mar</v>
      </c>
      <c r="D378" t="s">
        <v>845</v>
      </c>
      <c r="E378" t="s">
        <v>47</v>
      </c>
      <c r="F378">
        <v>5</v>
      </c>
      <c r="G378">
        <v>12506.81</v>
      </c>
      <c r="H378">
        <v>62534.05</v>
      </c>
      <c r="I378" t="s">
        <v>42</v>
      </c>
      <c r="J378" t="s">
        <v>19</v>
      </c>
    </row>
    <row r="379" spans="1:10" x14ac:dyDescent="0.35">
      <c r="A379" t="s">
        <v>846</v>
      </c>
      <c r="B379" t="s">
        <v>838</v>
      </c>
      <c r="C379" t="str">
        <f>TEXT(Table1[[#This Row],[Order_Date]],"mmm")</f>
        <v>Mar</v>
      </c>
      <c r="D379" t="s">
        <v>847</v>
      </c>
      <c r="E379" t="s">
        <v>53</v>
      </c>
      <c r="F379">
        <v>4</v>
      </c>
      <c r="G379">
        <v>31441.81</v>
      </c>
      <c r="H379">
        <v>125767.24</v>
      </c>
      <c r="I379" t="s">
        <v>13</v>
      </c>
      <c r="J379" t="s">
        <v>19</v>
      </c>
    </row>
    <row r="380" spans="1:10" x14ac:dyDescent="0.35">
      <c r="A380" t="s">
        <v>848</v>
      </c>
      <c r="B380" t="s">
        <v>838</v>
      </c>
      <c r="C380" t="str">
        <f>TEXT(Table1[[#This Row],[Order_Date]],"mmm")</f>
        <v>Mar</v>
      </c>
      <c r="D380" t="s">
        <v>849</v>
      </c>
      <c r="E380" t="s">
        <v>32</v>
      </c>
      <c r="F380">
        <v>4</v>
      </c>
      <c r="G380">
        <v>28043.09</v>
      </c>
      <c r="H380">
        <v>112172.36</v>
      </c>
      <c r="I380" t="s">
        <v>42</v>
      </c>
      <c r="J380" t="s">
        <v>19</v>
      </c>
    </row>
    <row r="381" spans="1:10" x14ac:dyDescent="0.35">
      <c r="A381" t="s">
        <v>850</v>
      </c>
      <c r="B381" t="s">
        <v>851</v>
      </c>
      <c r="C381" t="str">
        <f>TEXT(Table1[[#This Row],[Order_Date]],"mmm")</f>
        <v>Mar</v>
      </c>
      <c r="D381" t="s">
        <v>852</v>
      </c>
      <c r="E381" t="s">
        <v>12</v>
      </c>
      <c r="F381">
        <v>2</v>
      </c>
      <c r="G381">
        <v>40206.480000000003</v>
      </c>
      <c r="H381">
        <v>80412.960000000006</v>
      </c>
      <c r="I381" t="s">
        <v>18</v>
      </c>
      <c r="J381" t="s">
        <v>35</v>
      </c>
    </row>
    <row r="382" spans="1:10" x14ac:dyDescent="0.35">
      <c r="A382" t="s">
        <v>853</v>
      </c>
      <c r="B382" t="s">
        <v>851</v>
      </c>
      <c r="C382" t="str">
        <f>TEXT(Table1[[#This Row],[Order_Date]],"mmm")</f>
        <v>Mar</v>
      </c>
      <c r="D382" t="s">
        <v>854</v>
      </c>
      <c r="E382" t="s">
        <v>47</v>
      </c>
      <c r="F382">
        <v>2</v>
      </c>
      <c r="G382">
        <v>2477.27</v>
      </c>
      <c r="H382">
        <v>4954.54</v>
      </c>
      <c r="I382" t="s">
        <v>23</v>
      </c>
      <c r="J382" t="s">
        <v>14</v>
      </c>
    </row>
    <row r="383" spans="1:10" x14ac:dyDescent="0.35">
      <c r="A383" t="s">
        <v>855</v>
      </c>
      <c r="B383" t="s">
        <v>851</v>
      </c>
      <c r="C383" t="str">
        <f>TEXT(Table1[[#This Row],[Order_Date]],"mmm")</f>
        <v>Mar</v>
      </c>
      <c r="D383" t="s">
        <v>856</v>
      </c>
      <c r="E383" t="s">
        <v>75</v>
      </c>
      <c r="F383">
        <v>4</v>
      </c>
      <c r="G383">
        <v>9697.01</v>
      </c>
      <c r="H383">
        <v>38788.04</v>
      </c>
      <c r="I383" t="s">
        <v>42</v>
      </c>
      <c r="J383" t="s">
        <v>24</v>
      </c>
    </row>
    <row r="384" spans="1:10" x14ac:dyDescent="0.35">
      <c r="A384" t="s">
        <v>857</v>
      </c>
      <c r="B384" t="s">
        <v>851</v>
      </c>
      <c r="C384" t="str">
        <f>TEXT(Table1[[#This Row],[Order_Date]],"mmm")</f>
        <v>Mar</v>
      </c>
      <c r="D384" t="s">
        <v>858</v>
      </c>
      <c r="E384" t="s">
        <v>22</v>
      </c>
      <c r="F384">
        <v>3</v>
      </c>
      <c r="G384">
        <v>14067.41</v>
      </c>
      <c r="H384">
        <v>42202.23</v>
      </c>
      <c r="I384" t="s">
        <v>18</v>
      </c>
      <c r="J384" t="s">
        <v>19</v>
      </c>
    </row>
    <row r="385" spans="1:10" x14ac:dyDescent="0.35">
      <c r="A385" t="s">
        <v>859</v>
      </c>
      <c r="B385" t="s">
        <v>851</v>
      </c>
      <c r="C385" t="str">
        <f>TEXT(Table1[[#This Row],[Order_Date]],"mmm")</f>
        <v>Mar</v>
      </c>
      <c r="D385" t="s">
        <v>860</v>
      </c>
      <c r="E385" t="s">
        <v>38</v>
      </c>
      <c r="F385">
        <v>5</v>
      </c>
      <c r="G385">
        <v>28159.3</v>
      </c>
      <c r="H385">
        <v>140796.5</v>
      </c>
      <c r="I385" t="s">
        <v>18</v>
      </c>
      <c r="J385" t="s">
        <v>19</v>
      </c>
    </row>
    <row r="386" spans="1:10" x14ac:dyDescent="0.35">
      <c r="A386" t="s">
        <v>861</v>
      </c>
      <c r="B386" t="s">
        <v>851</v>
      </c>
      <c r="C386" t="str">
        <f>TEXT(Table1[[#This Row],[Order_Date]],"mmm")</f>
        <v>Mar</v>
      </c>
      <c r="D386" t="s">
        <v>862</v>
      </c>
      <c r="E386" t="s">
        <v>17</v>
      </c>
      <c r="F386">
        <v>2</v>
      </c>
      <c r="G386">
        <v>24921.23</v>
      </c>
      <c r="H386">
        <v>49842.46</v>
      </c>
      <c r="I386" t="s">
        <v>18</v>
      </c>
      <c r="J386" t="s">
        <v>19</v>
      </c>
    </row>
    <row r="387" spans="1:10" x14ac:dyDescent="0.35">
      <c r="A387" t="s">
        <v>863</v>
      </c>
      <c r="B387" t="s">
        <v>851</v>
      </c>
      <c r="C387" t="str">
        <f>TEXT(Table1[[#This Row],[Order_Date]],"mmm")</f>
        <v>Mar</v>
      </c>
      <c r="D387" t="s">
        <v>864</v>
      </c>
      <c r="E387" t="s">
        <v>53</v>
      </c>
      <c r="F387">
        <v>1</v>
      </c>
      <c r="G387">
        <v>44448.51</v>
      </c>
      <c r="H387">
        <v>44448.51</v>
      </c>
      <c r="I387" t="s">
        <v>42</v>
      </c>
      <c r="J387" t="s">
        <v>19</v>
      </c>
    </row>
    <row r="388" spans="1:10" x14ac:dyDescent="0.35">
      <c r="A388" t="s">
        <v>865</v>
      </c>
      <c r="B388" t="s">
        <v>866</v>
      </c>
      <c r="C388" t="str">
        <f>TEXT(Table1[[#This Row],[Order_Date]],"mmm")</f>
        <v>Mar</v>
      </c>
      <c r="D388" t="s">
        <v>867</v>
      </c>
      <c r="E388" t="s">
        <v>38</v>
      </c>
      <c r="F388">
        <v>5</v>
      </c>
      <c r="G388">
        <v>18334.57</v>
      </c>
      <c r="H388">
        <v>91672.85</v>
      </c>
      <c r="I388" t="s">
        <v>13</v>
      </c>
      <c r="J388" t="s">
        <v>19</v>
      </c>
    </row>
    <row r="389" spans="1:10" x14ac:dyDescent="0.35">
      <c r="A389" t="s">
        <v>868</v>
      </c>
      <c r="B389" t="s">
        <v>866</v>
      </c>
      <c r="C389" t="str">
        <f>TEXT(Table1[[#This Row],[Order_Date]],"mmm")</f>
        <v>Mar</v>
      </c>
      <c r="D389" t="s">
        <v>869</v>
      </c>
      <c r="E389" t="s">
        <v>17</v>
      </c>
      <c r="F389">
        <v>1</v>
      </c>
      <c r="G389">
        <v>11745.42</v>
      </c>
      <c r="H389">
        <v>11745.42</v>
      </c>
      <c r="I389" t="s">
        <v>23</v>
      </c>
      <c r="J389" t="s">
        <v>14</v>
      </c>
    </row>
    <row r="390" spans="1:10" x14ac:dyDescent="0.35">
      <c r="A390" t="s">
        <v>870</v>
      </c>
      <c r="B390" t="s">
        <v>866</v>
      </c>
      <c r="C390" t="str">
        <f>TEXT(Table1[[#This Row],[Order_Date]],"mmm")</f>
        <v>Mar</v>
      </c>
      <c r="D390" t="s">
        <v>871</v>
      </c>
      <c r="E390" t="s">
        <v>56</v>
      </c>
      <c r="F390">
        <v>5</v>
      </c>
      <c r="G390">
        <v>34134.75</v>
      </c>
      <c r="H390">
        <v>170673.75</v>
      </c>
      <c r="I390" t="s">
        <v>42</v>
      </c>
      <c r="J390" t="s">
        <v>35</v>
      </c>
    </row>
    <row r="391" spans="1:10" x14ac:dyDescent="0.35">
      <c r="A391" t="s">
        <v>872</v>
      </c>
      <c r="B391" t="s">
        <v>866</v>
      </c>
      <c r="C391" t="str">
        <f>TEXT(Table1[[#This Row],[Order_Date]],"mmm")</f>
        <v>Mar</v>
      </c>
      <c r="D391" t="s">
        <v>873</v>
      </c>
      <c r="E391" t="s">
        <v>32</v>
      </c>
      <c r="F391">
        <v>1</v>
      </c>
      <c r="G391">
        <v>12762.49</v>
      </c>
      <c r="H391">
        <v>12762.49</v>
      </c>
      <c r="I391" t="s">
        <v>42</v>
      </c>
      <c r="J391" t="s">
        <v>35</v>
      </c>
    </row>
    <row r="392" spans="1:10" x14ac:dyDescent="0.35">
      <c r="A392" t="s">
        <v>874</v>
      </c>
      <c r="B392" t="s">
        <v>875</v>
      </c>
      <c r="C392" t="str">
        <f>TEXT(Table1[[#This Row],[Order_Date]],"mmm")</f>
        <v>Mar</v>
      </c>
      <c r="D392" t="s">
        <v>876</v>
      </c>
      <c r="E392" t="s">
        <v>22</v>
      </c>
      <c r="F392">
        <v>5</v>
      </c>
      <c r="G392">
        <v>32210.29</v>
      </c>
      <c r="H392">
        <v>161051.45000000001</v>
      </c>
      <c r="I392" t="s">
        <v>18</v>
      </c>
      <c r="J392" t="s">
        <v>24</v>
      </c>
    </row>
    <row r="393" spans="1:10" x14ac:dyDescent="0.35">
      <c r="A393" t="s">
        <v>877</v>
      </c>
      <c r="B393" t="s">
        <v>875</v>
      </c>
      <c r="C393" t="str">
        <f>TEXT(Table1[[#This Row],[Order_Date]],"mmm")</f>
        <v>Mar</v>
      </c>
      <c r="D393" t="s">
        <v>878</v>
      </c>
      <c r="E393" t="s">
        <v>56</v>
      </c>
      <c r="F393">
        <v>5</v>
      </c>
      <c r="G393">
        <v>1588.37</v>
      </c>
      <c r="H393">
        <v>7941.85</v>
      </c>
      <c r="I393" t="s">
        <v>42</v>
      </c>
      <c r="J393" t="s">
        <v>19</v>
      </c>
    </row>
    <row r="394" spans="1:10" x14ac:dyDescent="0.35">
      <c r="A394" t="s">
        <v>879</v>
      </c>
      <c r="B394" t="s">
        <v>875</v>
      </c>
      <c r="C394" t="str">
        <f>TEXT(Table1[[#This Row],[Order_Date]],"mmm")</f>
        <v>Mar</v>
      </c>
      <c r="D394" t="s">
        <v>880</v>
      </c>
      <c r="E394" t="s">
        <v>32</v>
      </c>
      <c r="F394">
        <v>5</v>
      </c>
      <c r="G394">
        <v>37013.26</v>
      </c>
      <c r="H394">
        <v>185066.3</v>
      </c>
      <c r="I394" t="s">
        <v>13</v>
      </c>
      <c r="J394" t="s">
        <v>14</v>
      </c>
    </row>
    <row r="395" spans="1:10" x14ac:dyDescent="0.35">
      <c r="A395" t="s">
        <v>881</v>
      </c>
      <c r="B395" t="s">
        <v>875</v>
      </c>
      <c r="C395" t="str">
        <f>TEXT(Table1[[#This Row],[Order_Date]],"mmm")</f>
        <v>Mar</v>
      </c>
      <c r="D395" t="s">
        <v>882</v>
      </c>
      <c r="E395" t="s">
        <v>12</v>
      </c>
      <c r="F395">
        <v>2</v>
      </c>
      <c r="G395">
        <v>24539.99</v>
      </c>
      <c r="H395">
        <v>49079.98</v>
      </c>
      <c r="I395" t="s">
        <v>13</v>
      </c>
      <c r="J395" t="s">
        <v>14</v>
      </c>
    </row>
    <row r="396" spans="1:10" x14ac:dyDescent="0.35">
      <c r="A396" t="s">
        <v>883</v>
      </c>
      <c r="B396" t="s">
        <v>884</v>
      </c>
      <c r="C396" t="str">
        <f>TEXT(Table1[[#This Row],[Order_Date]],"mmm")</f>
        <v>Mar</v>
      </c>
      <c r="D396" t="s">
        <v>885</v>
      </c>
      <c r="E396" t="s">
        <v>47</v>
      </c>
      <c r="F396">
        <v>3</v>
      </c>
      <c r="G396">
        <v>23544.7</v>
      </c>
      <c r="H396">
        <v>70634.100000000006</v>
      </c>
      <c r="I396" t="s">
        <v>42</v>
      </c>
      <c r="J396" t="s">
        <v>14</v>
      </c>
    </row>
    <row r="397" spans="1:10" x14ac:dyDescent="0.35">
      <c r="A397" t="s">
        <v>886</v>
      </c>
      <c r="B397" t="s">
        <v>884</v>
      </c>
      <c r="C397" t="str">
        <f>TEXT(Table1[[#This Row],[Order_Date]],"mmm")</f>
        <v>Mar</v>
      </c>
      <c r="D397" t="s">
        <v>887</v>
      </c>
      <c r="E397" t="s">
        <v>17</v>
      </c>
      <c r="F397">
        <v>4</v>
      </c>
      <c r="G397">
        <v>11018.18</v>
      </c>
      <c r="H397">
        <v>44072.72</v>
      </c>
      <c r="I397" t="s">
        <v>18</v>
      </c>
      <c r="J397" t="s">
        <v>35</v>
      </c>
    </row>
    <row r="398" spans="1:10" x14ac:dyDescent="0.35">
      <c r="A398" t="s">
        <v>888</v>
      </c>
      <c r="B398" t="s">
        <v>884</v>
      </c>
      <c r="C398" t="str">
        <f>TEXT(Table1[[#This Row],[Order_Date]],"mmm")</f>
        <v>Mar</v>
      </c>
      <c r="D398" t="s">
        <v>889</v>
      </c>
      <c r="E398" t="s">
        <v>47</v>
      </c>
      <c r="F398">
        <v>3</v>
      </c>
      <c r="G398">
        <v>36780.78</v>
      </c>
      <c r="H398">
        <v>110342.34</v>
      </c>
      <c r="I398" t="s">
        <v>23</v>
      </c>
      <c r="J398" t="s">
        <v>35</v>
      </c>
    </row>
    <row r="399" spans="1:10" x14ac:dyDescent="0.35">
      <c r="A399" t="s">
        <v>890</v>
      </c>
      <c r="B399" t="s">
        <v>884</v>
      </c>
      <c r="C399" t="str">
        <f>TEXT(Table1[[#This Row],[Order_Date]],"mmm")</f>
        <v>Mar</v>
      </c>
      <c r="D399" t="s">
        <v>891</v>
      </c>
      <c r="E399" t="s">
        <v>47</v>
      </c>
      <c r="F399">
        <v>2</v>
      </c>
      <c r="G399">
        <v>21170.89</v>
      </c>
      <c r="H399">
        <v>42341.78</v>
      </c>
      <c r="I399" t="s">
        <v>13</v>
      </c>
      <c r="J399" t="s">
        <v>35</v>
      </c>
    </row>
    <row r="400" spans="1:10" x14ac:dyDescent="0.35">
      <c r="A400" t="s">
        <v>892</v>
      </c>
      <c r="B400" t="s">
        <v>884</v>
      </c>
      <c r="C400" t="str">
        <f>TEXT(Table1[[#This Row],[Order_Date]],"mmm")</f>
        <v>Mar</v>
      </c>
      <c r="D400" t="s">
        <v>893</v>
      </c>
      <c r="E400" t="s">
        <v>17</v>
      </c>
      <c r="F400">
        <v>2</v>
      </c>
      <c r="G400">
        <v>47851.38</v>
      </c>
      <c r="H400">
        <v>95702.76</v>
      </c>
      <c r="I400" t="s">
        <v>23</v>
      </c>
      <c r="J400" t="s">
        <v>35</v>
      </c>
    </row>
    <row r="401" spans="1:10" x14ac:dyDescent="0.35">
      <c r="A401" t="s">
        <v>894</v>
      </c>
      <c r="B401" t="s">
        <v>884</v>
      </c>
      <c r="C401" t="str">
        <f>TEXT(Table1[[#This Row],[Order_Date]],"mmm")</f>
        <v>Mar</v>
      </c>
      <c r="D401" t="s">
        <v>895</v>
      </c>
      <c r="E401" t="s">
        <v>72</v>
      </c>
      <c r="F401">
        <v>2</v>
      </c>
      <c r="G401">
        <v>14863.28</v>
      </c>
      <c r="H401">
        <v>29726.560000000001</v>
      </c>
      <c r="I401" t="s">
        <v>42</v>
      </c>
      <c r="J401" t="s">
        <v>14</v>
      </c>
    </row>
    <row r="402" spans="1:10" x14ac:dyDescent="0.35">
      <c r="A402" t="s">
        <v>896</v>
      </c>
      <c r="B402" t="s">
        <v>884</v>
      </c>
      <c r="C402" t="str">
        <f>TEXT(Table1[[#This Row],[Order_Date]],"mmm")</f>
        <v>Mar</v>
      </c>
      <c r="D402" t="s">
        <v>897</v>
      </c>
      <c r="E402" t="s">
        <v>38</v>
      </c>
      <c r="F402">
        <v>1</v>
      </c>
      <c r="G402">
        <v>42958.65</v>
      </c>
      <c r="H402">
        <v>42958.65</v>
      </c>
      <c r="I402" t="s">
        <v>18</v>
      </c>
      <c r="J402" t="s">
        <v>24</v>
      </c>
    </row>
    <row r="403" spans="1:10" x14ac:dyDescent="0.35">
      <c r="A403" t="s">
        <v>898</v>
      </c>
      <c r="B403" t="s">
        <v>884</v>
      </c>
      <c r="C403" t="str">
        <f>TEXT(Table1[[#This Row],[Order_Date]],"mmm")</f>
        <v>Mar</v>
      </c>
      <c r="D403" t="s">
        <v>899</v>
      </c>
      <c r="E403" t="s">
        <v>38</v>
      </c>
      <c r="F403">
        <v>4</v>
      </c>
      <c r="G403">
        <v>30292.32</v>
      </c>
      <c r="H403">
        <v>121169.28</v>
      </c>
      <c r="I403" t="s">
        <v>18</v>
      </c>
      <c r="J403" t="s">
        <v>35</v>
      </c>
    </row>
    <row r="404" spans="1:10" x14ac:dyDescent="0.35">
      <c r="A404" t="s">
        <v>900</v>
      </c>
      <c r="B404" t="s">
        <v>901</v>
      </c>
      <c r="C404" t="str">
        <f>TEXT(Table1[[#This Row],[Order_Date]],"mmm")</f>
        <v>Mar</v>
      </c>
      <c r="D404" t="s">
        <v>902</v>
      </c>
      <c r="E404" t="s">
        <v>53</v>
      </c>
      <c r="F404">
        <v>3</v>
      </c>
      <c r="G404">
        <v>47929.17</v>
      </c>
      <c r="H404">
        <v>143787.51</v>
      </c>
      <c r="I404" t="s">
        <v>23</v>
      </c>
      <c r="J404" t="s">
        <v>14</v>
      </c>
    </row>
    <row r="405" spans="1:10" x14ac:dyDescent="0.35">
      <c r="A405" t="s">
        <v>903</v>
      </c>
      <c r="B405" t="s">
        <v>901</v>
      </c>
      <c r="C405" t="str">
        <f>TEXT(Table1[[#This Row],[Order_Date]],"mmm")</f>
        <v>Mar</v>
      </c>
      <c r="D405" t="s">
        <v>904</v>
      </c>
      <c r="E405" t="s">
        <v>38</v>
      </c>
      <c r="F405">
        <v>3</v>
      </c>
      <c r="G405">
        <v>10520.77</v>
      </c>
      <c r="H405">
        <v>31562.31</v>
      </c>
      <c r="I405" t="s">
        <v>42</v>
      </c>
      <c r="J405" t="s">
        <v>19</v>
      </c>
    </row>
    <row r="406" spans="1:10" x14ac:dyDescent="0.35">
      <c r="A406" t="s">
        <v>905</v>
      </c>
      <c r="B406" t="s">
        <v>901</v>
      </c>
      <c r="C406" t="str">
        <f>TEXT(Table1[[#This Row],[Order_Date]],"mmm")</f>
        <v>Mar</v>
      </c>
      <c r="D406" t="s">
        <v>906</v>
      </c>
      <c r="E406" t="s">
        <v>75</v>
      </c>
      <c r="F406">
        <v>4</v>
      </c>
      <c r="G406">
        <v>13903.98</v>
      </c>
      <c r="H406">
        <v>55615.92</v>
      </c>
      <c r="I406" t="s">
        <v>13</v>
      </c>
      <c r="J406" t="s">
        <v>35</v>
      </c>
    </row>
    <row r="407" spans="1:10" x14ac:dyDescent="0.35">
      <c r="A407" t="s">
        <v>907</v>
      </c>
      <c r="B407" t="s">
        <v>908</v>
      </c>
      <c r="C407" t="str">
        <f>TEXT(Table1[[#This Row],[Order_Date]],"mmm")</f>
        <v>Mar</v>
      </c>
      <c r="D407" t="s">
        <v>909</v>
      </c>
      <c r="E407" t="s">
        <v>56</v>
      </c>
      <c r="F407">
        <v>1</v>
      </c>
      <c r="G407">
        <v>27727.19</v>
      </c>
      <c r="H407">
        <v>27727.19</v>
      </c>
      <c r="I407" t="s">
        <v>23</v>
      </c>
      <c r="J407" t="s">
        <v>14</v>
      </c>
    </row>
    <row r="408" spans="1:10" x14ac:dyDescent="0.35">
      <c r="A408" t="s">
        <v>910</v>
      </c>
      <c r="B408" t="s">
        <v>908</v>
      </c>
      <c r="C408" t="str">
        <f>TEXT(Table1[[#This Row],[Order_Date]],"mmm")</f>
        <v>Mar</v>
      </c>
      <c r="D408" t="s">
        <v>911</v>
      </c>
      <c r="E408" t="s">
        <v>56</v>
      </c>
      <c r="F408">
        <v>5</v>
      </c>
      <c r="G408">
        <v>10372.56</v>
      </c>
      <c r="H408">
        <v>51862.8</v>
      </c>
      <c r="I408" t="s">
        <v>42</v>
      </c>
      <c r="J408" t="s">
        <v>35</v>
      </c>
    </row>
    <row r="409" spans="1:10" x14ac:dyDescent="0.35">
      <c r="A409" t="s">
        <v>912</v>
      </c>
      <c r="B409" t="s">
        <v>908</v>
      </c>
      <c r="C409" t="str">
        <f>TEXT(Table1[[#This Row],[Order_Date]],"mmm")</f>
        <v>Mar</v>
      </c>
      <c r="D409" t="s">
        <v>913</v>
      </c>
      <c r="E409" t="s">
        <v>72</v>
      </c>
      <c r="F409">
        <v>1</v>
      </c>
      <c r="G409">
        <v>3496.28</v>
      </c>
      <c r="H409">
        <v>3496.28</v>
      </c>
      <c r="I409" t="s">
        <v>42</v>
      </c>
      <c r="J409" t="s">
        <v>19</v>
      </c>
    </row>
    <row r="410" spans="1:10" x14ac:dyDescent="0.35">
      <c r="A410" t="s">
        <v>914</v>
      </c>
      <c r="B410" t="s">
        <v>908</v>
      </c>
      <c r="C410" t="str">
        <f>TEXT(Table1[[#This Row],[Order_Date]],"mmm")</f>
        <v>Mar</v>
      </c>
      <c r="D410" t="s">
        <v>915</v>
      </c>
      <c r="E410" t="s">
        <v>22</v>
      </c>
      <c r="F410">
        <v>4</v>
      </c>
      <c r="G410">
        <v>39072.18</v>
      </c>
      <c r="H410">
        <v>156288.72</v>
      </c>
      <c r="I410" t="s">
        <v>42</v>
      </c>
      <c r="J410" t="s">
        <v>24</v>
      </c>
    </row>
    <row r="411" spans="1:10" x14ac:dyDescent="0.35">
      <c r="A411" t="s">
        <v>916</v>
      </c>
      <c r="B411" t="s">
        <v>908</v>
      </c>
      <c r="C411" t="str">
        <f>TEXT(Table1[[#This Row],[Order_Date]],"mmm")</f>
        <v>Mar</v>
      </c>
      <c r="D411" t="s">
        <v>917</v>
      </c>
      <c r="E411" t="s">
        <v>75</v>
      </c>
      <c r="F411">
        <v>4</v>
      </c>
      <c r="G411">
        <v>27862.46</v>
      </c>
      <c r="H411">
        <v>111449.84</v>
      </c>
      <c r="I411" t="s">
        <v>18</v>
      </c>
      <c r="J411" t="s">
        <v>19</v>
      </c>
    </row>
    <row r="412" spans="1:10" x14ac:dyDescent="0.35">
      <c r="A412" t="s">
        <v>918</v>
      </c>
      <c r="B412" t="s">
        <v>919</v>
      </c>
      <c r="C412" t="str">
        <f>TEXT(Table1[[#This Row],[Order_Date]],"mmm")</f>
        <v>Mar</v>
      </c>
      <c r="D412" t="s">
        <v>920</v>
      </c>
      <c r="E412" t="s">
        <v>32</v>
      </c>
      <c r="F412">
        <v>2</v>
      </c>
      <c r="G412">
        <v>30924.880000000001</v>
      </c>
      <c r="H412">
        <v>61849.760000000002</v>
      </c>
      <c r="I412" t="s">
        <v>42</v>
      </c>
      <c r="J412" t="s">
        <v>19</v>
      </c>
    </row>
    <row r="413" spans="1:10" x14ac:dyDescent="0.35">
      <c r="A413" t="s">
        <v>921</v>
      </c>
      <c r="B413" t="s">
        <v>919</v>
      </c>
      <c r="C413" t="str">
        <f>TEXT(Table1[[#This Row],[Order_Date]],"mmm")</f>
        <v>Mar</v>
      </c>
      <c r="D413" t="s">
        <v>922</v>
      </c>
      <c r="E413" t="s">
        <v>75</v>
      </c>
      <c r="F413">
        <v>2</v>
      </c>
      <c r="G413">
        <v>35872.370000000003</v>
      </c>
      <c r="H413">
        <v>71744.740000000005</v>
      </c>
      <c r="I413" t="s">
        <v>13</v>
      </c>
      <c r="J413" t="s">
        <v>24</v>
      </c>
    </row>
    <row r="414" spans="1:10" x14ac:dyDescent="0.35">
      <c r="A414" t="s">
        <v>923</v>
      </c>
      <c r="B414" t="s">
        <v>919</v>
      </c>
      <c r="C414" t="str">
        <f>TEXT(Table1[[#This Row],[Order_Date]],"mmm")</f>
        <v>Mar</v>
      </c>
      <c r="D414" t="s">
        <v>924</v>
      </c>
      <c r="E414" t="s">
        <v>32</v>
      </c>
      <c r="F414">
        <v>4</v>
      </c>
      <c r="G414">
        <v>44803.5</v>
      </c>
      <c r="H414">
        <v>179214</v>
      </c>
      <c r="I414" t="s">
        <v>23</v>
      </c>
      <c r="J414" t="s">
        <v>14</v>
      </c>
    </row>
    <row r="415" spans="1:10" x14ac:dyDescent="0.35">
      <c r="A415" t="s">
        <v>925</v>
      </c>
      <c r="B415" t="s">
        <v>919</v>
      </c>
      <c r="C415" t="str">
        <f>TEXT(Table1[[#This Row],[Order_Date]],"mmm")</f>
        <v>Mar</v>
      </c>
      <c r="D415" t="s">
        <v>926</v>
      </c>
      <c r="E415" t="s">
        <v>75</v>
      </c>
      <c r="F415">
        <v>3</v>
      </c>
      <c r="G415">
        <v>7334.71</v>
      </c>
      <c r="H415">
        <v>22004.13</v>
      </c>
      <c r="I415" t="s">
        <v>13</v>
      </c>
      <c r="J415" t="s">
        <v>35</v>
      </c>
    </row>
    <row r="416" spans="1:10" x14ac:dyDescent="0.35">
      <c r="A416" t="s">
        <v>927</v>
      </c>
      <c r="B416" t="s">
        <v>919</v>
      </c>
      <c r="C416" t="str">
        <f>TEXT(Table1[[#This Row],[Order_Date]],"mmm")</f>
        <v>Mar</v>
      </c>
      <c r="D416" t="s">
        <v>928</v>
      </c>
      <c r="E416" t="s">
        <v>53</v>
      </c>
      <c r="F416">
        <v>5</v>
      </c>
      <c r="G416">
        <v>25868.99</v>
      </c>
      <c r="H416">
        <v>129344.95</v>
      </c>
      <c r="I416" t="s">
        <v>42</v>
      </c>
      <c r="J416" t="s">
        <v>24</v>
      </c>
    </row>
    <row r="417" spans="1:10" x14ac:dyDescent="0.35">
      <c r="A417" t="s">
        <v>929</v>
      </c>
      <c r="B417" t="s">
        <v>919</v>
      </c>
      <c r="C417" t="str">
        <f>TEXT(Table1[[#This Row],[Order_Date]],"mmm")</f>
        <v>Mar</v>
      </c>
      <c r="D417" t="s">
        <v>306</v>
      </c>
      <c r="E417" t="s">
        <v>38</v>
      </c>
      <c r="F417">
        <v>5</v>
      </c>
      <c r="G417">
        <v>623.34</v>
      </c>
      <c r="H417">
        <v>3116.7</v>
      </c>
      <c r="I417" t="s">
        <v>18</v>
      </c>
      <c r="J417" t="s">
        <v>19</v>
      </c>
    </row>
    <row r="418" spans="1:10" x14ac:dyDescent="0.35">
      <c r="A418" t="s">
        <v>930</v>
      </c>
      <c r="B418" t="s">
        <v>919</v>
      </c>
      <c r="C418" t="str">
        <f>TEXT(Table1[[#This Row],[Order_Date]],"mmm")</f>
        <v>Mar</v>
      </c>
      <c r="D418" t="s">
        <v>931</v>
      </c>
      <c r="E418" t="s">
        <v>32</v>
      </c>
      <c r="F418">
        <v>1</v>
      </c>
      <c r="G418">
        <v>11603.05</v>
      </c>
      <c r="H418">
        <v>11603.05</v>
      </c>
      <c r="I418" t="s">
        <v>13</v>
      </c>
      <c r="J418" t="s">
        <v>35</v>
      </c>
    </row>
    <row r="419" spans="1:10" x14ac:dyDescent="0.35">
      <c r="A419" t="s">
        <v>932</v>
      </c>
      <c r="B419" t="s">
        <v>933</v>
      </c>
      <c r="C419" t="str">
        <f>TEXT(Table1[[#This Row],[Order_Date]],"mmm")</f>
        <v>Mar</v>
      </c>
      <c r="D419" t="s">
        <v>934</v>
      </c>
      <c r="E419" t="s">
        <v>32</v>
      </c>
      <c r="F419">
        <v>5</v>
      </c>
      <c r="G419">
        <v>40619.67</v>
      </c>
      <c r="H419">
        <v>203098.35</v>
      </c>
      <c r="I419" t="s">
        <v>23</v>
      </c>
      <c r="J419" t="s">
        <v>14</v>
      </c>
    </row>
    <row r="420" spans="1:10" x14ac:dyDescent="0.35">
      <c r="A420" t="s">
        <v>935</v>
      </c>
      <c r="B420" t="s">
        <v>933</v>
      </c>
      <c r="C420" t="str">
        <f>TEXT(Table1[[#This Row],[Order_Date]],"mmm")</f>
        <v>Mar</v>
      </c>
      <c r="D420" t="s">
        <v>936</v>
      </c>
      <c r="E420" t="s">
        <v>17</v>
      </c>
      <c r="F420">
        <v>3</v>
      </c>
      <c r="G420">
        <v>35495.050000000003</v>
      </c>
      <c r="H420">
        <v>106485.15</v>
      </c>
      <c r="I420" t="s">
        <v>18</v>
      </c>
      <c r="J420" t="s">
        <v>19</v>
      </c>
    </row>
    <row r="421" spans="1:10" x14ac:dyDescent="0.35">
      <c r="A421" t="s">
        <v>937</v>
      </c>
      <c r="B421" t="s">
        <v>933</v>
      </c>
      <c r="C421" t="str">
        <f>TEXT(Table1[[#This Row],[Order_Date]],"mmm")</f>
        <v>Mar</v>
      </c>
      <c r="D421" t="s">
        <v>938</v>
      </c>
      <c r="E421" t="s">
        <v>75</v>
      </c>
      <c r="F421">
        <v>2</v>
      </c>
      <c r="G421">
        <v>37724.129999999997</v>
      </c>
      <c r="H421">
        <v>75448.259999999995</v>
      </c>
      <c r="I421" t="s">
        <v>42</v>
      </c>
      <c r="J421" t="s">
        <v>24</v>
      </c>
    </row>
    <row r="422" spans="1:10" x14ac:dyDescent="0.35">
      <c r="A422" t="s">
        <v>939</v>
      </c>
      <c r="B422" t="s">
        <v>933</v>
      </c>
      <c r="C422" t="str">
        <f>TEXT(Table1[[#This Row],[Order_Date]],"mmm")</f>
        <v>Mar</v>
      </c>
      <c r="D422" t="s">
        <v>940</v>
      </c>
      <c r="E422" t="s">
        <v>22</v>
      </c>
      <c r="F422">
        <v>2</v>
      </c>
      <c r="G422">
        <v>33404.93</v>
      </c>
      <c r="H422">
        <v>66809.86</v>
      </c>
      <c r="I422" t="s">
        <v>18</v>
      </c>
      <c r="J422" t="s">
        <v>24</v>
      </c>
    </row>
    <row r="423" spans="1:10" x14ac:dyDescent="0.35">
      <c r="A423" t="s">
        <v>941</v>
      </c>
      <c r="B423" t="s">
        <v>933</v>
      </c>
      <c r="C423" t="str">
        <f>TEXT(Table1[[#This Row],[Order_Date]],"mmm")</f>
        <v>Mar</v>
      </c>
      <c r="D423" t="s">
        <v>942</v>
      </c>
      <c r="E423" t="s">
        <v>38</v>
      </c>
      <c r="F423">
        <v>2</v>
      </c>
      <c r="G423">
        <v>19596.169999999998</v>
      </c>
      <c r="H423">
        <v>39192.339999999997</v>
      </c>
      <c r="I423" t="s">
        <v>23</v>
      </c>
      <c r="J423" t="s">
        <v>19</v>
      </c>
    </row>
    <row r="424" spans="1:10" x14ac:dyDescent="0.35">
      <c r="A424" t="s">
        <v>943</v>
      </c>
      <c r="B424" t="s">
        <v>933</v>
      </c>
      <c r="C424" t="str">
        <f>TEXT(Table1[[#This Row],[Order_Date]],"mmm")</f>
        <v>Mar</v>
      </c>
      <c r="D424" t="s">
        <v>944</v>
      </c>
      <c r="E424" t="s">
        <v>17</v>
      </c>
      <c r="F424">
        <v>1</v>
      </c>
      <c r="G424">
        <v>46851.23</v>
      </c>
      <c r="H424">
        <v>46851.23</v>
      </c>
      <c r="I424" t="s">
        <v>18</v>
      </c>
      <c r="J424" t="s">
        <v>35</v>
      </c>
    </row>
    <row r="425" spans="1:10" x14ac:dyDescent="0.35">
      <c r="A425" t="s">
        <v>945</v>
      </c>
      <c r="B425" t="s">
        <v>946</v>
      </c>
      <c r="C425" t="str">
        <f>TEXT(Table1[[#This Row],[Order_Date]],"mmm")</f>
        <v>Mar</v>
      </c>
      <c r="D425" t="s">
        <v>947</v>
      </c>
      <c r="E425" t="s">
        <v>56</v>
      </c>
      <c r="F425">
        <v>3</v>
      </c>
      <c r="G425">
        <v>23044.11</v>
      </c>
      <c r="H425">
        <v>69132.33</v>
      </c>
      <c r="I425" t="s">
        <v>13</v>
      </c>
      <c r="J425" t="s">
        <v>19</v>
      </c>
    </row>
    <row r="426" spans="1:10" x14ac:dyDescent="0.35">
      <c r="A426" t="s">
        <v>948</v>
      </c>
      <c r="B426" t="s">
        <v>946</v>
      </c>
      <c r="C426" t="str">
        <f>TEXT(Table1[[#This Row],[Order_Date]],"mmm")</f>
        <v>Mar</v>
      </c>
      <c r="D426" t="s">
        <v>949</v>
      </c>
      <c r="E426" t="s">
        <v>17</v>
      </c>
      <c r="F426">
        <v>4</v>
      </c>
      <c r="G426">
        <v>5535.55</v>
      </c>
      <c r="H426">
        <v>22142.2</v>
      </c>
      <c r="I426" t="s">
        <v>42</v>
      </c>
      <c r="J426" t="s">
        <v>24</v>
      </c>
    </row>
    <row r="427" spans="1:10" x14ac:dyDescent="0.35">
      <c r="A427" t="s">
        <v>950</v>
      </c>
      <c r="B427" t="s">
        <v>946</v>
      </c>
      <c r="C427" t="str">
        <f>TEXT(Table1[[#This Row],[Order_Date]],"mmm")</f>
        <v>Mar</v>
      </c>
      <c r="D427" t="s">
        <v>951</v>
      </c>
      <c r="E427" t="s">
        <v>22</v>
      </c>
      <c r="F427">
        <v>5</v>
      </c>
      <c r="G427">
        <v>43447.51</v>
      </c>
      <c r="H427">
        <v>217237.55</v>
      </c>
      <c r="I427" t="s">
        <v>23</v>
      </c>
      <c r="J427" t="s">
        <v>14</v>
      </c>
    </row>
    <row r="428" spans="1:10" x14ac:dyDescent="0.35">
      <c r="A428" t="s">
        <v>952</v>
      </c>
      <c r="B428" t="s">
        <v>946</v>
      </c>
      <c r="C428" t="str">
        <f>TEXT(Table1[[#This Row],[Order_Date]],"mmm")</f>
        <v>Mar</v>
      </c>
      <c r="D428" t="s">
        <v>953</v>
      </c>
      <c r="E428" t="s">
        <v>22</v>
      </c>
      <c r="F428">
        <v>2</v>
      </c>
      <c r="G428">
        <v>36528.49</v>
      </c>
      <c r="H428">
        <v>73056.98</v>
      </c>
      <c r="I428" t="s">
        <v>13</v>
      </c>
      <c r="J428" t="s">
        <v>35</v>
      </c>
    </row>
    <row r="429" spans="1:10" x14ac:dyDescent="0.35">
      <c r="A429" t="s">
        <v>954</v>
      </c>
      <c r="B429" t="s">
        <v>955</v>
      </c>
      <c r="C429" t="str">
        <f>TEXT(Table1[[#This Row],[Order_Date]],"mmm")</f>
        <v>Mar</v>
      </c>
      <c r="D429" t="s">
        <v>956</v>
      </c>
      <c r="E429" t="s">
        <v>56</v>
      </c>
      <c r="F429">
        <v>3</v>
      </c>
      <c r="G429">
        <v>24329.17</v>
      </c>
      <c r="H429">
        <v>72987.509999999995</v>
      </c>
      <c r="I429" t="s">
        <v>18</v>
      </c>
      <c r="J429" t="s">
        <v>35</v>
      </c>
    </row>
    <row r="430" spans="1:10" x14ac:dyDescent="0.35">
      <c r="A430" t="s">
        <v>957</v>
      </c>
      <c r="B430" t="s">
        <v>955</v>
      </c>
      <c r="C430" t="str">
        <f>TEXT(Table1[[#This Row],[Order_Date]],"mmm")</f>
        <v>Mar</v>
      </c>
      <c r="D430" t="s">
        <v>958</v>
      </c>
      <c r="E430" t="s">
        <v>75</v>
      </c>
      <c r="F430">
        <v>2</v>
      </c>
      <c r="G430">
        <v>20360.2</v>
      </c>
      <c r="H430">
        <v>40720.400000000001</v>
      </c>
      <c r="I430" t="s">
        <v>23</v>
      </c>
      <c r="J430" t="s">
        <v>35</v>
      </c>
    </row>
    <row r="431" spans="1:10" x14ac:dyDescent="0.35">
      <c r="A431" t="s">
        <v>959</v>
      </c>
      <c r="B431" t="s">
        <v>955</v>
      </c>
      <c r="C431" t="str">
        <f>TEXT(Table1[[#This Row],[Order_Date]],"mmm")</f>
        <v>Mar</v>
      </c>
      <c r="D431" t="s">
        <v>960</v>
      </c>
      <c r="E431" t="s">
        <v>56</v>
      </c>
      <c r="F431">
        <v>1</v>
      </c>
      <c r="G431">
        <v>41777.919999999998</v>
      </c>
      <c r="H431">
        <v>41777.919999999998</v>
      </c>
      <c r="I431" t="s">
        <v>42</v>
      </c>
      <c r="J431" t="s">
        <v>19</v>
      </c>
    </row>
    <row r="432" spans="1:10" x14ac:dyDescent="0.35">
      <c r="A432" t="s">
        <v>961</v>
      </c>
      <c r="B432" t="s">
        <v>955</v>
      </c>
      <c r="C432" t="str">
        <f>TEXT(Table1[[#This Row],[Order_Date]],"mmm")</f>
        <v>Mar</v>
      </c>
      <c r="D432" t="s">
        <v>962</v>
      </c>
      <c r="E432" t="s">
        <v>72</v>
      </c>
      <c r="F432">
        <v>1</v>
      </c>
      <c r="G432">
        <v>48178.36</v>
      </c>
      <c r="H432">
        <v>48178.36</v>
      </c>
      <c r="I432" t="s">
        <v>23</v>
      </c>
      <c r="J432" t="s">
        <v>35</v>
      </c>
    </row>
    <row r="433" spans="1:10" x14ac:dyDescent="0.35">
      <c r="A433" t="s">
        <v>963</v>
      </c>
      <c r="B433" t="s">
        <v>964</v>
      </c>
      <c r="C433" t="str">
        <f>TEXT(Table1[[#This Row],[Order_Date]],"mmm")</f>
        <v>Mar</v>
      </c>
      <c r="D433" t="s">
        <v>965</v>
      </c>
      <c r="E433" t="s">
        <v>12</v>
      </c>
      <c r="F433">
        <v>2</v>
      </c>
      <c r="G433">
        <v>15350.3</v>
      </c>
      <c r="H433">
        <v>30700.6</v>
      </c>
      <c r="I433" t="s">
        <v>13</v>
      </c>
      <c r="J433" t="s">
        <v>19</v>
      </c>
    </row>
    <row r="434" spans="1:10" x14ac:dyDescent="0.35">
      <c r="A434" t="s">
        <v>966</v>
      </c>
      <c r="B434" t="s">
        <v>964</v>
      </c>
      <c r="C434" t="str">
        <f>TEXT(Table1[[#This Row],[Order_Date]],"mmm")</f>
        <v>Mar</v>
      </c>
      <c r="D434" t="s">
        <v>967</v>
      </c>
      <c r="E434" t="s">
        <v>56</v>
      </c>
      <c r="F434">
        <v>3</v>
      </c>
      <c r="G434">
        <v>1808.53</v>
      </c>
      <c r="H434">
        <v>5425.59</v>
      </c>
      <c r="I434" t="s">
        <v>23</v>
      </c>
      <c r="J434" t="s">
        <v>19</v>
      </c>
    </row>
    <row r="435" spans="1:10" x14ac:dyDescent="0.35">
      <c r="A435" t="s">
        <v>968</v>
      </c>
      <c r="B435" t="s">
        <v>964</v>
      </c>
      <c r="C435" t="str">
        <f>TEXT(Table1[[#This Row],[Order_Date]],"mmm")</f>
        <v>Mar</v>
      </c>
      <c r="D435" t="s">
        <v>969</v>
      </c>
      <c r="E435" t="s">
        <v>32</v>
      </c>
      <c r="F435">
        <v>2</v>
      </c>
      <c r="G435">
        <v>45475.72</v>
      </c>
      <c r="H435">
        <v>90951.44</v>
      </c>
      <c r="I435" t="s">
        <v>18</v>
      </c>
      <c r="J435" t="s">
        <v>19</v>
      </c>
    </row>
    <row r="436" spans="1:10" x14ac:dyDescent="0.35">
      <c r="A436" t="s">
        <v>970</v>
      </c>
      <c r="B436" t="s">
        <v>971</v>
      </c>
      <c r="C436" t="str">
        <f>TEXT(Table1[[#This Row],[Order_Date]],"mmm")</f>
        <v>Mar</v>
      </c>
      <c r="D436" t="s">
        <v>972</v>
      </c>
      <c r="E436" t="s">
        <v>47</v>
      </c>
      <c r="F436">
        <v>3</v>
      </c>
      <c r="G436">
        <v>14884.38</v>
      </c>
      <c r="H436">
        <v>44653.14</v>
      </c>
      <c r="I436" t="s">
        <v>23</v>
      </c>
      <c r="J436" t="s">
        <v>19</v>
      </c>
    </row>
    <row r="437" spans="1:10" x14ac:dyDescent="0.35">
      <c r="A437" t="s">
        <v>973</v>
      </c>
      <c r="B437" t="s">
        <v>971</v>
      </c>
      <c r="C437" t="str">
        <f>TEXT(Table1[[#This Row],[Order_Date]],"mmm")</f>
        <v>Mar</v>
      </c>
      <c r="D437" t="s">
        <v>974</v>
      </c>
      <c r="E437" t="s">
        <v>72</v>
      </c>
      <c r="F437">
        <v>1</v>
      </c>
      <c r="G437">
        <v>7693.66</v>
      </c>
      <c r="H437">
        <v>7693.66</v>
      </c>
      <c r="I437" t="s">
        <v>13</v>
      </c>
      <c r="J437" t="s">
        <v>14</v>
      </c>
    </row>
    <row r="438" spans="1:10" x14ac:dyDescent="0.35">
      <c r="A438" t="s">
        <v>975</v>
      </c>
      <c r="B438" t="s">
        <v>971</v>
      </c>
      <c r="C438" t="str">
        <f>TEXT(Table1[[#This Row],[Order_Date]],"mmm")</f>
        <v>Mar</v>
      </c>
      <c r="D438" t="s">
        <v>976</v>
      </c>
      <c r="E438" t="s">
        <v>22</v>
      </c>
      <c r="F438">
        <v>3</v>
      </c>
      <c r="G438">
        <v>29760.61</v>
      </c>
      <c r="H438">
        <v>89281.83</v>
      </c>
      <c r="I438" t="s">
        <v>18</v>
      </c>
      <c r="J438" t="s">
        <v>14</v>
      </c>
    </row>
    <row r="439" spans="1:10" x14ac:dyDescent="0.35">
      <c r="A439" t="s">
        <v>977</v>
      </c>
      <c r="B439" t="s">
        <v>971</v>
      </c>
      <c r="C439" t="str">
        <f>TEXT(Table1[[#This Row],[Order_Date]],"mmm")</f>
        <v>Mar</v>
      </c>
      <c r="D439" t="s">
        <v>978</v>
      </c>
      <c r="E439" t="s">
        <v>47</v>
      </c>
      <c r="F439">
        <v>2</v>
      </c>
      <c r="G439">
        <v>30286.57</v>
      </c>
      <c r="H439">
        <v>60573.14</v>
      </c>
      <c r="I439" t="s">
        <v>18</v>
      </c>
      <c r="J439" t="s">
        <v>35</v>
      </c>
    </row>
    <row r="440" spans="1:10" x14ac:dyDescent="0.35">
      <c r="A440" t="s">
        <v>979</v>
      </c>
      <c r="B440" t="s">
        <v>971</v>
      </c>
      <c r="C440" t="str">
        <f>TEXT(Table1[[#This Row],[Order_Date]],"mmm")</f>
        <v>Mar</v>
      </c>
      <c r="D440" t="s">
        <v>980</v>
      </c>
      <c r="E440" t="s">
        <v>17</v>
      </c>
      <c r="F440">
        <v>4</v>
      </c>
      <c r="G440">
        <v>33547.33</v>
      </c>
      <c r="H440">
        <v>134189.32</v>
      </c>
      <c r="I440" t="s">
        <v>23</v>
      </c>
      <c r="J440" t="s">
        <v>24</v>
      </c>
    </row>
    <row r="441" spans="1:10" x14ac:dyDescent="0.35">
      <c r="A441" t="s">
        <v>981</v>
      </c>
      <c r="B441" t="s">
        <v>971</v>
      </c>
      <c r="C441" t="str">
        <f>TEXT(Table1[[#This Row],[Order_Date]],"mmm")</f>
        <v>Mar</v>
      </c>
      <c r="D441" t="s">
        <v>982</v>
      </c>
      <c r="E441" t="s">
        <v>12</v>
      </c>
      <c r="F441">
        <v>2</v>
      </c>
      <c r="G441">
        <v>40036.519999999997</v>
      </c>
      <c r="H441">
        <v>80073.039999999994</v>
      </c>
      <c r="I441" t="s">
        <v>13</v>
      </c>
      <c r="J441" t="s">
        <v>35</v>
      </c>
    </row>
    <row r="442" spans="1:10" x14ac:dyDescent="0.35">
      <c r="A442" t="s">
        <v>983</v>
      </c>
      <c r="B442" t="s">
        <v>971</v>
      </c>
      <c r="C442" t="str">
        <f>TEXT(Table1[[#This Row],[Order_Date]],"mmm")</f>
        <v>Mar</v>
      </c>
      <c r="D442" t="s">
        <v>984</v>
      </c>
      <c r="E442" t="s">
        <v>56</v>
      </c>
      <c r="F442">
        <v>1</v>
      </c>
      <c r="G442">
        <v>27631.27</v>
      </c>
      <c r="H442">
        <v>27631.27</v>
      </c>
      <c r="I442" t="s">
        <v>18</v>
      </c>
      <c r="J442" t="s">
        <v>24</v>
      </c>
    </row>
    <row r="443" spans="1:10" x14ac:dyDescent="0.35">
      <c r="A443" t="s">
        <v>985</v>
      </c>
      <c r="B443" t="s">
        <v>986</v>
      </c>
      <c r="C443" t="str">
        <f>TEXT(Table1[[#This Row],[Order_Date]],"mmm")</f>
        <v>Mar</v>
      </c>
      <c r="D443" t="s">
        <v>792</v>
      </c>
      <c r="E443" t="s">
        <v>75</v>
      </c>
      <c r="F443">
        <v>1</v>
      </c>
      <c r="G443">
        <v>4232.53</v>
      </c>
      <c r="H443">
        <v>4232.53</v>
      </c>
      <c r="I443" t="s">
        <v>23</v>
      </c>
      <c r="J443" t="s">
        <v>19</v>
      </c>
    </row>
    <row r="444" spans="1:10" x14ac:dyDescent="0.35">
      <c r="A444" t="s">
        <v>987</v>
      </c>
      <c r="B444" t="s">
        <v>986</v>
      </c>
      <c r="C444" t="str">
        <f>TEXT(Table1[[#This Row],[Order_Date]],"mmm")</f>
        <v>Mar</v>
      </c>
      <c r="D444" t="s">
        <v>988</v>
      </c>
      <c r="E444" t="s">
        <v>38</v>
      </c>
      <c r="F444">
        <v>5</v>
      </c>
      <c r="G444">
        <v>22169.17</v>
      </c>
      <c r="H444">
        <v>110845.85</v>
      </c>
      <c r="I444" t="s">
        <v>13</v>
      </c>
      <c r="J444" t="s">
        <v>14</v>
      </c>
    </row>
    <row r="445" spans="1:10" x14ac:dyDescent="0.35">
      <c r="A445" t="s">
        <v>989</v>
      </c>
      <c r="B445" t="s">
        <v>986</v>
      </c>
      <c r="C445" t="str">
        <f>TEXT(Table1[[#This Row],[Order_Date]],"mmm")</f>
        <v>Mar</v>
      </c>
      <c r="D445" t="s">
        <v>990</v>
      </c>
      <c r="E445" t="s">
        <v>17</v>
      </c>
      <c r="F445">
        <v>4</v>
      </c>
      <c r="G445">
        <v>25185.25</v>
      </c>
      <c r="H445">
        <v>100741</v>
      </c>
      <c r="I445" t="s">
        <v>23</v>
      </c>
      <c r="J445" t="s">
        <v>19</v>
      </c>
    </row>
    <row r="446" spans="1:10" x14ac:dyDescent="0.35">
      <c r="A446" t="s">
        <v>991</v>
      </c>
      <c r="B446" t="s">
        <v>986</v>
      </c>
      <c r="C446" t="str">
        <f>TEXT(Table1[[#This Row],[Order_Date]],"mmm")</f>
        <v>Mar</v>
      </c>
      <c r="D446" t="s">
        <v>992</v>
      </c>
      <c r="E446" t="s">
        <v>32</v>
      </c>
      <c r="F446">
        <v>5</v>
      </c>
      <c r="G446">
        <v>22324.69</v>
      </c>
      <c r="H446">
        <v>111623.45</v>
      </c>
      <c r="I446" t="s">
        <v>42</v>
      </c>
      <c r="J446" t="s">
        <v>14</v>
      </c>
    </row>
    <row r="447" spans="1:10" x14ac:dyDescent="0.35">
      <c r="A447" t="s">
        <v>993</v>
      </c>
      <c r="B447" t="s">
        <v>986</v>
      </c>
      <c r="C447" t="str">
        <f>TEXT(Table1[[#This Row],[Order_Date]],"mmm")</f>
        <v>Mar</v>
      </c>
      <c r="D447" t="s">
        <v>994</v>
      </c>
      <c r="E447" t="s">
        <v>56</v>
      </c>
      <c r="F447">
        <v>5</v>
      </c>
      <c r="G447">
        <v>47309.98</v>
      </c>
      <c r="H447">
        <v>236549.9</v>
      </c>
      <c r="I447" t="s">
        <v>13</v>
      </c>
      <c r="J447" t="s">
        <v>24</v>
      </c>
    </row>
    <row r="448" spans="1:10" x14ac:dyDescent="0.35">
      <c r="A448" t="s">
        <v>995</v>
      </c>
      <c r="B448" t="s">
        <v>986</v>
      </c>
      <c r="C448" t="str">
        <f>TEXT(Table1[[#This Row],[Order_Date]],"mmm")</f>
        <v>Mar</v>
      </c>
      <c r="D448" t="s">
        <v>996</v>
      </c>
      <c r="E448" t="s">
        <v>47</v>
      </c>
      <c r="F448">
        <v>5</v>
      </c>
      <c r="G448">
        <v>23962.21</v>
      </c>
      <c r="H448">
        <v>119811.05</v>
      </c>
      <c r="I448" t="s">
        <v>23</v>
      </c>
      <c r="J448" t="s">
        <v>19</v>
      </c>
    </row>
    <row r="449" spans="1:10" x14ac:dyDescent="0.35">
      <c r="A449" t="s">
        <v>997</v>
      </c>
      <c r="B449" t="s">
        <v>986</v>
      </c>
      <c r="C449" t="str">
        <f>TEXT(Table1[[#This Row],[Order_Date]],"mmm")</f>
        <v>Mar</v>
      </c>
      <c r="D449" t="s">
        <v>998</v>
      </c>
      <c r="E449" t="s">
        <v>47</v>
      </c>
      <c r="F449">
        <v>4</v>
      </c>
      <c r="G449">
        <v>5742.69</v>
      </c>
      <c r="H449">
        <v>22970.76</v>
      </c>
      <c r="I449" t="s">
        <v>13</v>
      </c>
      <c r="J449" t="s">
        <v>35</v>
      </c>
    </row>
    <row r="450" spans="1:10" x14ac:dyDescent="0.35">
      <c r="A450" t="s">
        <v>999</v>
      </c>
      <c r="B450" t="s">
        <v>1000</v>
      </c>
      <c r="C450" t="str">
        <f>TEXT(Table1[[#This Row],[Order_Date]],"mmm")</f>
        <v>Mar</v>
      </c>
      <c r="D450" t="s">
        <v>1001</v>
      </c>
      <c r="E450" t="s">
        <v>72</v>
      </c>
      <c r="F450">
        <v>1</v>
      </c>
      <c r="G450">
        <v>23996.2</v>
      </c>
      <c r="H450">
        <v>23996.2</v>
      </c>
      <c r="I450" t="s">
        <v>42</v>
      </c>
      <c r="J450" t="s">
        <v>14</v>
      </c>
    </row>
    <row r="451" spans="1:10" x14ac:dyDescent="0.35">
      <c r="A451" t="s">
        <v>1002</v>
      </c>
      <c r="B451" t="s">
        <v>1000</v>
      </c>
      <c r="C451" t="str">
        <f>TEXT(Table1[[#This Row],[Order_Date]],"mmm")</f>
        <v>Mar</v>
      </c>
      <c r="D451" t="s">
        <v>1003</v>
      </c>
      <c r="E451" t="s">
        <v>53</v>
      </c>
      <c r="F451">
        <v>4</v>
      </c>
      <c r="G451">
        <v>49298.7</v>
      </c>
      <c r="H451">
        <v>197194.8</v>
      </c>
      <c r="I451" t="s">
        <v>18</v>
      </c>
      <c r="J451" t="s">
        <v>19</v>
      </c>
    </row>
    <row r="452" spans="1:10" x14ac:dyDescent="0.35">
      <c r="A452" t="s">
        <v>1004</v>
      </c>
      <c r="B452" t="s">
        <v>1000</v>
      </c>
      <c r="C452" t="str">
        <f>TEXT(Table1[[#This Row],[Order_Date]],"mmm")</f>
        <v>Mar</v>
      </c>
      <c r="D452" t="s">
        <v>1005</v>
      </c>
      <c r="E452" t="s">
        <v>22</v>
      </c>
      <c r="F452">
        <v>4</v>
      </c>
      <c r="G452">
        <v>2051.2399999999998</v>
      </c>
      <c r="H452">
        <v>8204.9599999999991</v>
      </c>
      <c r="I452" t="s">
        <v>13</v>
      </c>
      <c r="J452" t="s">
        <v>19</v>
      </c>
    </row>
    <row r="453" spans="1:10" x14ac:dyDescent="0.35">
      <c r="A453" t="s">
        <v>1006</v>
      </c>
      <c r="B453" t="s">
        <v>1000</v>
      </c>
      <c r="C453" t="str">
        <f>TEXT(Table1[[#This Row],[Order_Date]],"mmm")</f>
        <v>Mar</v>
      </c>
      <c r="D453" t="s">
        <v>1007</v>
      </c>
      <c r="E453" t="s">
        <v>53</v>
      </c>
      <c r="F453">
        <v>3</v>
      </c>
      <c r="G453">
        <v>8186.04</v>
      </c>
      <c r="H453">
        <v>24558.12</v>
      </c>
      <c r="I453" t="s">
        <v>23</v>
      </c>
      <c r="J453" t="s">
        <v>14</v>
      </c>
    </row>
    <row r="454" spans="1:10" x14ac:dyDescent="0.35">
      <c r="A454" t="s">
        <v>1008</v>
      </c>
      <c r="B454" t="s">
        <v>1000</v>
      </c>
      <c r="C454" t="str">
        <f>TEXT(Table1[[#This Row],[Order_Date]],"mmm")</f>
        <v>Mar</v>
      </c>
      <c r="D454" t="s">
        <v>1009</v>
      </c>
      <c r="E454" t="s">
        <v>17</v>
      </c>
      <c r="F454">
        <v>4</v>
      </c>
      <c r="G454">
        <v>17900.84</v>
      </c>
      <c r="H454">
        <v>71603.360000000001</v>
      </c>
      <c r="I454" t="s">
        <v>23</v>
      </c>
      <c r="J454" t="s">
        <v>19</v>
      </c>
    </row>
    <row r="455" spans="1:10" x14ac:dyDescent="0.35">
      <c r="A455" t="s">
        <v>1010</v>
      </c>
      <c r="B455" t="s">
        <v>1000</v>
      </c>
      <c r="C455" t="str">
        <f>TEXT(Table1[[#This Row],[Order_Date]],"mmm")</f>
        <v>Mar</v>
      </c>
      <c r="D455" t="s">
        <v>1011</v>
      </c>
      <c r="E455" t="s">
        <v>75</v>
      </c>
      <c r="F455">
        <v>4</v>
      </c>
      <c r="G455">
        <v>35972.720000000001</v>
      </c>
      <c r="H455">
        <v>143890.88</v>
      </c>
      <c r="I455" t="s">
        <v>13</v>
      </c>
      <c r="J455" t="s">
        <v>35</v>
      </c>
    </row>
    <row r="456" spans="1:10" x14ac:dyDescent="0.35">
      <c r="A456" t="s">
        <v>1012</v>
      </c>
      <c r="B456" t="s">
        <v>1000</v>
      </c>
      <c r="C456" t="str">
        <f>TEXT(Table1[[#This Row],[Order_Date]],"mmm")</f>
        <v>Mar</v>
      </c>
      <c r="D456" t="s">
        <v>1013</v>
      </c>
      <c r="E456" t="s">
        <v>12</v>
      </c>
      <c r="F456">
        <v>1</v>
      </c>
      <c r="G456">
        <v>41833.22</v>
      </c>
      <c r="H456">
        <v>41833.22</v>
      </c>
      <c r="I456" t="s">
        <v>23</v>
      </c>
      <c r="J456" t="s">
        <v>24</v>
      </c>
    </row>
    <row r="457" spans="1:10" x14ac:dyDescent="0.35">
      <c r="A457" t="s">
        <v>1014</v>
      </c>
      <c r="B457" t="s">
        <v>1000</v>
      </c>
      <c r="C457" t="str">
        <f>TEXT(Table1[[#This Row],[Order_Date]],"mmm")</f>
        <v>Mar</v>
      </c>
      <c r="D457" t="s">
        <v>994</v>
      </c>
      <c r="E457" t="s">
        <v>12</v>
      </c>
      <c r="F457">
        <v>2</v>
      </c>
      <c r="G457">
        <v>11982.01</v>
      </c>
      <c r="H457">
        <v>23964.02</v>
      </c>
      <c r="I457" t="s">
        <v>13</v>
      </c>
      <c r="J457" t="s">
        <v>14</v>
      </c>
    </row>
    <row r="458" spans="1:10" x14ac:dyDescent="0.35">
      <c r="A458" t="s">
        <v>1015</v>
      </c>
      <c r="B458" t="s">
        <v>1016</v>
      </c>
      <c r="C458" t="str">
        <f>TEXT(Table1[[#This Row],[Order_Date]],"mmm")</f>
        <v>Mar</v>
      </c>
      <c r="D458" t="s">
        <v>1017</v>
      </c>
      <c r="E458" t="s">
        <v>38</v>
      </c>
      <c r="F458">
        <v>2</v>
      </c>
      <c r="G458">
        <v>30301.06</v>
      </c>
      <c r="H458">
        <v>60602.12</v>
      </c>
      <c r="I458" t="s">
        <v>18</v>
      </c>
      <c r="J458" t="s">
        <v>19</v>
      </c>
    </row>
    <row r="459" spans="1:10" x14ac:dyDescent="0.35">
      <c r="A459" t="s">
        <v>1018</v>
      </c>
      <c r="B459" t="s">
        <v>1016</v>
      </c>
      <c r="C459" t="str">
        <f>TEXT(Table1[[#This Row],[Order_Date]],"mmm")</f>
        <v>Mar</v>
      </c>
      <c r="D459" t="s">
        <v>644</v>
      </c>
      <c r="E459" t="s">
        <v>56</v>
      </c>
      <c r="F459">
        <v>4</v>
      </c>
      <c r="G459">
        <v>33140.57</v>
      </c>
      <c r="H459">
        <v>132562.28</v>
      </c>
      <c r="I459" t="s">
        <v>18</v>
      </c>
      <c r="J459" t="s">
        <v>24</v>
      </c>
    </row>
    <row r="460" spans="1:10" x14ac:dyDescent="0.35">
      <c r="A460" t="s">
        <v>1019</v>
      </c>
      <c r="B460" t="s">
        <v>1016</v>
      </c>
      <c r="C460" t="str">
        <f>TEXT(Table1[[#This Row],[Order_Date]],"mmm")</f>
        <v>Mar</v>
      </c>
      <c r="D460" t="s">
        <v>1020</v>
      </c>
      <c r="E460" t="s">
        <v>32</v>
      </c>
      <c r="F460">
        <v>4</v>
      </c>
      <c r="G460">
        <v>7386.85</v>
      </c>
      <c r="H460">
        <v>29547.4</v>
      </c>
      <c r="I460" t="s">
        <v>23</v>
      </c>
      <c r="J460" t="s">
        <v>19</v>
      </c>
    </row>
    <row r="461" spans="1:10" x14ac:dyDescent="0.35">
      <c r="A461" t="s">
        <v>1021</v>
      </c>
      <c r="B461" t="s">
        <v>1016</v>
      </c>
      <c r="C461" t="str">
        <f>TEXT(Table1[[#This Row],[Order_Date]],"mmm")</f>
        <v>Mar</v>
      </c>
      <c r="D461" t="s">
        <v>397</v>
      </c>
      <c r="E461" t="s">
        <v>12</v>
      </c>
      <c r="F461">
        <v>2</v>
      </c>
      <c r="G461">
        <v>35000.07</v>
      </c>
      <c r="H461">
        <v>70000.14</v>
      </c>
      <c r="I461" t="s">
        <v>23</v>
      </c>
      <c r="J461" t="s">
        <v>24</v>
      </c>
    </row>
    <row r="462" spans="1:10" x14ac:dyDescent="0.35">
      <c r="A462" t="s">
        <v>1022</v>
      </c>
      <c r="B462" t="s">
        <v>1016</v>
      </c>
      <c r="C462" t="str">
        <f>TEXT(Table1[[#This Row],[Order_Date]],"mmm")</f>
        <v>Mar</v>
      </c>
      <c r="D462" t="s">
        <v>1023</v>
      </c>
      <c r="E462" t="s">
        <v>72</v>
      </c>
      <c r="F462">
        <v>1</v>
      </c>
      <c r="G462">
        <v>11545.34</v>
      </c>
      <c r="H462">
        <v>11545.34</v>
      </c>
      <c r="I462" t="s">
        <v>18</v>
      </c>
      <c r="J462" t="s">
        <v>19</v>
      </c>
    </row>
    <row r="463" spans="1:10" x14ac:dyDescent="0.35">
      <c r="A463" t="s">
        <v>1024</v>
      </c>
      <c r="B463" t="s">
        <v>1025</v>
      </c>
      <c r="C463" t="str">
        <f>TEXT(Table1[[#This Row],[Order_Date]],"mmm")</f>
        <v>Mar</v>
      </c>
      <c r="D463" t="s">
        <v>215</v>
      </c>
      <c r="E463" t="s">
        <v>75</v>
      </c>
      <c r="F463">
        <v>4</v>
      </c>
      <c r="G463">
        <v>46751.33</v>
      </c>
      <c r="H463">
        <v>187005.32</v>
      </c>
      <c r="I463" t="s">
        <v>18</v>
      </c>
      <c r="J463" t="s">
        <v>19</v>
      </c>
    </row>
    <row r="464" spans="1:10" x14ac:dyDescent="0.35">
      <c r="A464" t="s">
        <v>1026</v>
      </c>
      <c r="B464" t="s">
        <v>1025</v>
      </c>
      <c r="C464" t="str">
        <f>TEXT(Table1[[#This Row],[Order_Date]],"mmm")</f>
        <v>Mar</v>
      </c>
      <c r="D464" t="s">
        <v>1027</v>
      </c>
      <c r="E464" t="s">
        <v>12</v>
      </c>
      <c r="F464">
        <v>3</v>
      </c>
      <c r="G464">
        <v>22699.19</v>
      </c>
      <c r="H464">
        <v>68097.570000000007</v>
      </c>
      <c r="I464" t="s">
        <v>23</v>
      </c>
      <c r="J464" t="s">
        <v>19</v>
      </c>
    </row>
    <row r="465" spans="1:10" x14ac:dyDescent="0.35">
      <c r="A465" t="s">
        <v>1028</v>
      </c>
      <c r="B465" t="s">
        <v>1025</v>
      </c>
      <c r="C465" t="str">
        <f>TEXT(Table1[[#This Row],[Order_Date]],"mmm")</f>
        <v>Mar</v>
      </c>
      <c r="D465" t="s">
        <v>1029</v>
      </c>
      <c r="E465" t="s">
        <v>75</v>
      </c>
      <c r="F465">
        <v>5</v>
      </c>
      <c r="G465">
        <v>32221.64</v>
      </c>
      <c r="H465">
        <v>161108.20000000001</v>
      </c>
      <c r="I465" t="s">
        <v>42</v>
      </c>
      <c r="J465" t="s">
        <v>24</v>
      </c>
    </row>
    <row r="466" spans="1:10" x14ac:dyDescent="0.35">
      <c r="A466" t="s">
        <v>1030</v>
      </c>
      <c r="B466" t="s">
        <v>1025</v>
      </c>
      <c r="C466" t="str">
        <f>TEXT(Table1[[#This Row],[Order_Date]],"mmm")</f>
        <v>Mar</v>
      </c>
      <c r="D466" t="s">
        <v>1031</v>
      </c>
      <c r="E466" t="s">
        <v>75</v>
      </c>
      <c r="F466">
        <v>1</v>
      </c>
      <c r="G466">
        <v>24095.61</v>
      </c>
      <c r="H466">
        <v>24095.61</v>
      </c>
      <c r="I466" t="s">
        <v>42</v>
      </c>
      <c r="J466" t="s">
        <v>19</v>
      </c>
    </row>
    <row r="467" spans="1:10" x14ac:dyDescent="0.35">
      <c r="A467" t="s">
        <v>1032</v>
      </c>
      <c r="B467" t="s">
        <v>1025</v>
      </c>
      <c r="C467" t="str">
        <f>TEXT(Table1[[#This Row],[Order_Date]],"mmm")</f>
        <v>Mar</v>
      </c>
      <c r="D467" t="s">
        <v>1033</v>
      </c>
      <c r="E467" t="s">
        <v>17</v>
      </c>
      <c r="F467">
        <v>4</v>
      </c>
      <c r="G467">
        <v>41391.69</v>
      </c>
      <c r="H467">
        <v>165566.76</v>
      </c>
      <c r="I467" t="s">
        <v>42</v>
      </c>
      <c r="J467" t="s">
        <v>24</v>
      </c>
    </row>
    <row r="468" spans="1:10" x14ac:dyDescent="0.35">
      <c r="A468" t="s">
        <v>1034</v>
      </c>
      <c r="B468" t="s">
        <v>1025</v>
      </c>
      <c r="C468" t="str">
        <f>TEXT(Table1[[#This Row],[Order_Date]],"mmm")</f>
        <v>Mar</v>
      </c>
      <c r="D468" t="s">
        <v>1035</v>
      </c>
      <c r="E468" t="s">
        <v>72</v>
      </c>
      <c r="F468">
        <v>3</v>
      </c>
      <c r="G468">
        <v>26905.69</v>
      </c>
      <c r="H468">
        <v>80717.070000000007</v>
      </c>
      <c r="I468" t="s">
        <v>13</v>
      </c>
      <c r="J468" t="s">
        <v>35</v>
      </c>
    </row>
    <row r="469" spans="1:10" x14ac:dyDescent="0.35">
      <c r="A469" t="s">
        <v>1036</v>
      </c>
      <c r="B469" t="s">
        <v>1025</v>
      </c>
      <c r="C469" t="str">
        <f>TEXT(Table1[[#This Row],[Order_Date]],"mmm")</f>
        <v>Mar</v>
      </c>
      <c r="D469" t="s">
        <v>1037</v>
      </c>
      <c r="E469" t="s">
        <v>56</v>
      </c>
      <c r="F469">
        <v>4</v>
      </c>
      <c r="G469">
        <v>30093.38</v>
      </c>
      <c r="H469">
        <v>120373.52</v>
      </c>
      <c r="I469" t="s">
        <v>13</v>
      </c>
      <c r="J469" t="s">
        <v>35</v>
      </c>
    </row>
    <row r="470" spans="1:10" x14ac:dyDescent="0.35">
      <c r="A470" t="s">
        <v>1038</v>
      </c>
      <c r="B470" t="s">
        <v>1025</v>
      </c>
      <c r="C470" t="str">
        <f>TEXT(Table1[[#This Row],[Order_Date]],"mmm")</f>
        <v>Mar</v>
      </c>
      <c r="D470" t="s">
        <v>1039</v>
      </c>
      <c r="E470" t="s">
        <v>38</v>
      </c>
      <c r="F470">
        <v>5</v>
      </c>
      <c r="G470">
        <v>29338.31</v>
      </c>
      <c r="H470">
        <v>146691.54999999999</v>
      </c>
      <c r="I470" t="s">
        <v>18</v>
      </c>
      <c r="J470" t="s">
        <v>19</v>
      </c>
    </row>
    <row r="471" spans="1:10" x14ac:dyDescent="0.35">
      <c r="A471" t="s">
        <v>1040</v>
      </c>
      <c r="B471" t="s">
        <v>1041</v>
      </c>
      <c r="C471" t="str">
        <f>TEXT(Table1[[#This Row],[Order_Date]],"mmm")</f>
        <v>Mar</v>
      </c>
      <c r="D471" t="s">
        <v>1042</v>
      </c>
      <c r="E471" t="s">
        <v>38</v>
      </c>
      <c r="F471">
        <v>1</v>
      </c>
      <c r="G471">
        <v>21634.18</v>
      </c>
      <c r="H471">
        <v>21634.18</v>
      </c>
      <c r="I471" t="s">
        <v>18</v>
      </c>
      <c r="J471" t="s">
        <v>24</v>
      </c>
    </row>
    <row r="472" spans="1:10" x14ac:dyDescent="0.35">
      <c r="A472" t="s">
        <v>1043</v>
      </c>
      <c r="B472" t="s">
        <v>1041</v>
      </c>
      <c r="C472" t="str">
        <f>TEXT(Table1[[#This Row],[Order_Date]],"mmm")</f>
        <v>Mar</v>
      </c>
      <c r="D472" t="s">
        <v>1044</v>
      </c>
      <c r="E472" t="s">
        <v>12</v>
      </c>
      <c r="F472">
        <v>1</v>
      </c>
      <c r="G472">
        <v>16178.56</v>
      </c>
      <c r="H472">
        <v>16178.56</v>
      </c>
      <c r="I472" t="s">
        <v>18</v>
      </c>
      <c r="J472" t="s">
        <v>19</v>
      </c>
    </row>
    <row r="473" spans="1:10" x14ac:dyDescent="0.35">
      <c r="A473" t="s">
        <v>1045</v>
      </c>
      <c r="B473" t="s">
        <v>1041</v>
      </c>
      <c r="C473" t="str">
        <f>TEXT(Table1[[#This Row],[Order_Date]],"mmm")</f>
        <v>Mar</v>
      </c>
      <c r="D473" t="s">
        <v>1046</v>
      </c>
      <c r="E473" t="s">
        <v>72</v>
      </c>
      <c r="F473">
        <v>3</v>
      </c>
      <c r="G473">
        <v>19572.05</v>
      </c>
      <c r="H473">
        <v>58716.15</v>
      </c>
      <c r="I473" t="s">
        <v>13</v>
      </c>
      <c r="J473" t="s">
        <v>24</v>
      </c>
    </row>
    <row r="474" spans="1:10" x14ac:dyDescent="0.35">
      <c r="A474" t="s">
        <v>1047</v>
      </c>
      <c r="B474" t="s">
        <v>1041</v>
      </c>
      <c r="C474" t="str">
        <f>TEXT(Table1[[#This Row],[Order_Date]],"mmm")</f>
        <v>Mar</v>
      </c>
      <c r="D474" t="s">
        <v>1048</v>
      </c>
      <c r="E474" t="s">
        <v>22</v>
      </c>
      <c r="F474">
        <v>4</v>
      </c>
      <c r="G474">
        <v>26116.44</v>
      </c>
      <c r="H474">
        <v>104465.76</v>
      </c>
      <c r="I474" t="s">
        <v>18</v>
      </c>
      <c r="J474" t="s">
        <v>35</v>
      </c>
    </row>
    <row r="475" spans="1:10" x14ac:dyDescent="0.35">
      <c r="A475" t="s">
        <v>1049</v>
      </c>
      <c r="B475" t="s">
        <v>1041</v>
      </c>
      <c r="C475" t="str">
        <f>TEXT(Table1[[#This Row],[Order_Date]],"mmm")</f>
        <v>Mar</v>
      </c>
      <c r="D475" t="s">
        <v>1050</v>
      </c>
      <c r="E475" t="s">
        <v>53</v>
      </c>
      <c r="F475">
        <v>5</v>
      </c>
      <c r="G475">
        <v>6035.05</v>
      </c>
      <c r="H475">
        <v>30175.25</v>
      </c>
      <c r="I475" t="s">
        <v>13</v>
      </c>
      <c r="J475" t="s">
        <v>19</v>
      </c>
    </row>
    <row r="476" spans="1:10" x14ac:dyDescent="0.35">
      <c r="A476" t="s">
        <v>1051</v>
      </c>
      <c r="B476" t="s">
        <v>1041</v>
      </c>
      <c r="C476" t="str">
        <f>TEXT(Table1[[#This Row],[Order_Date]],"mmm")</f>
        <v>Mar</v>
      </c>
      <c r="D476" t="s">
        <v>1052</v>
      </c>
      <c r="E476" t="s">
        <v>17</v>
      </c>
      <c r="F476">
        <v>1</v>
      </c>
      <c r="G476">
        <v>38191.49</v>
      </c>
      <c r="H476">
        <v>38191.49</v>
      </c>
      <c r="I476" t="s">
        <v>23</v>
      </c>
      <c r="J476" t="s">
        <v>14</v>
      </c>
    </row>
    <row r="477" spans="1:10" x14ac:dyDescent="0.35">
      <c r="A477" t="s">
        <v>1053</v>
      </c>
      <c r="B477" t="s">
        <v>1041</v>
      </c>
      <c r="C477" t="str">
        <f>TEXT(Table1[[#This Row],[Order_Date]],"mmm")</f>
        <v>Mar</v>
      </c>
      <c r="D477" t="s">
        <v>308</v>
      </c>
      <c r="E477" t="s">
        <v>38</v>
      </c>
      <c r="F477">
        <v>3</v>
      </c>
      <c r="G477">
        <v>34110.67</v>
      </c>
      <c r="H477">
        <v>102332.01</v>
      </c>
      <c r="I477" t="s">
        <v>23</v>
      </c>
      <c r="J477" t="s">
        <v>19</v>
      </c>
    </row>
    <row r="478" spans="1:10" x14ac:dyDescent="0.35">
      <c r="A478" t="s">
        <v>1054</v>
      </c>
      <c r="B478" t="s">
        <v>1041</v>
      </c>
      <c r="C478" t="str">
        <f>TEXT(Table1[[#This Row],[Order_Date]],"mmm")</f>
        <v>Mar</v>
      </c>
      <c r="D478" t="s">
        <v>1055</v>
      </c>
      <c r="E478" t="s">
        <v>17</v>
      </c>
      <c r="F478">
        <v>3</v>
      </c>
      <c r="G478">
        <v>18952.39</v>
      </c>
      <c r="H478">
        <v>56857.17</v>
      </c>
      <c r="I478" t="s">
        <v>42</v>
      </c>
      <c r="J478" t="s">
        <v>19</v>
      </c>
    </row>
    <row r="479" spans="1:10" x14ac:dyDescent="0.35">
      <c r="A479" t="s">
        <v>1056</v>
      </c>
      <c r="B479" t="s">
        <v>1057</v>
      </c>
      <c r="C479" t="str">
        <f>TEXT(Table1[[#This Row],[Order_Date]],"mmm")</f>
        <v>Mar</v>
      </c>
      <c r="D479" t="s">
        <v>1058</v>
      </c>
      <c r="E479" t="s">
        <v>47</v>
      </c>
      <c r="F479">
        <v>1</v>
      </c>
      <c r="G479">
        <v>27007.34</v>
      </c>
      <c r="H479">
        <v>27007.34</v>
      </c>
      <c r="I479" t="s">
        <v>13</v>
      </c>
      <c r="J479" t="s">
        <v>19</v>
      </c>
    </row>
    <row r="480" spans="1:10" x14ac:dyDescent="0.35">
      <c r="A480" t="s">
        <v>1059</v>
      </c>
      <c r="B480" t="s">
        <v>1057</v>
      </c>
      <c r="C480" t="str">
        <f>TEXT(Table1[[#This Row],[Order_Date]],"mmm")</f>
        <v>Mar</v>
      </c>
      <c r="D480" t="s">
        <v>1060</v>
      </c>
      <c r="E480" t="s">
        <v>53</v>
      </c>
      <c r="F480">
        <v>3</v>
      </c>
      <c r="G480">
        <v>2290.4499999999998</v>
      </c>
      <c r="H480">
        <v>6871.35</v>
      </c>
      <c r="I480" t="s">
        <v>42</v>
      </c>
      <c r="J480" t="s">
        <v>35</v>
      </c>
    </row>
    <row r="481" spans="1:10" x14ac:dyDescent="0.35">
      <c r="A481" t="s">
        <v>1061</v>
      </c>
      <c r="B481" t="s">
        <v>1057</v>
      </c>
      <c r="C481" t="str">
        <f>TEXT(Table1[[#This Row],[Order_Date]],"mmm")</f>
        <v>Mar</v>
      </c>
      <c r="D481" t="s">
        <v>1062</v>
      </c>
      <c r="E481" t="s">
        <v>47</v>
      </c>
      <c r="F481">
        <v>2</v>
      </c>
      <c r="G481">
        <v>19527.98</v>
      </c>
      <c r="H481">
        <v>39055.96</v>
      </c>
      <c r="I481" t="s">
        <v>42</v>
      </c>
      <c r="J481" t="s">
        <v>35</v>
      </c>
    </row>
    <row r="482" spans="1:10" x14ac:dyDescent="0.35">
      <c r="A482" t="s">
        <v>1063</v>
      </c>
      <c r="B482" t="s">
        <v>1057</v>
      </c>
      <c r="C482" t="str">
        <f>TEXT(Table1[[#This Row],[Order_Date]],"mmm")</f>
        <v>Mar</v>
      </c>
      <c r="D482" t="s">
        <v>1064</v>
      </c>
      <c r="E482" t="s">
        <v>53</v>
      </c>
      <c r="F482">
        <v>4</v>
      </c>
      <c r="G482">
        <v>10016.129999999999</v>
      </c>
      <c r="H482">
        <v>40064.519999999997</v>
      </c>
      <c r="I482" t="s">
        <v>42</v>
      </c>
      <c r="J482" t="s">
        <v>24</v>
      </c>
    </row>
    <row r="483" spans="1:10" x14ac:dyDescent="0.35">
      <c r="A483" t="s">
        <v>1065</v>
      </c>
      <c r="B483" t="s">
        <v>1057</v>
      </c>
      <c r="C483" t="str">
        <f>TEXT(Table1[[#This Row],[Order_Date]],"mmm")</f>
        <v>Mar</v>
      </c>
      <c r="D483" t="s">
        <v>1066</v>
      </c>
      <c r="E483" t="s">
        <v>56</v>
      </c>
      <c r="F483">
        <v>3</v>
      </c>
      <c r="G483">
        <v>28220.799999999999</v>
      </c>
      <c r="H483">
        <v>84662.399999999994</v>
      </c>
      <c r="I483" t="s">
        <v>18</v>
      </c>
      <c r="J483" t="s">
        <v>19</v>
      </c>
    </row>
    <row r="484" spans="1:10" x14ac:dyDescent="0.35">
      <c r="A484" t="s">
        <v>1067</v>
      </c>
      <c r="B484" t="s">
        <v>1057</v>
      </c>
      <c r="C484" t="str">
        <f>TEXT(Table1[[#This Row],[Order_Date]],"mmm")</f>
        <v>Mar</v>
      </c>
      <c r="D484" t="s">
        <v>1068</v>
      </c>
      <c r="E484" t="s">
        <v>56</v>
      </c>
      <c r="F484">
        <v>1</v>
      </c>
      <c r="G484">
        <v>6014.9</v>
      </c>
      <c r="H484">
        <v>6014.9</v>
      </c>
      <c r="I484" t="s">
        <v>13</v>
      </c>
      <c r="J484" t="s">
        <v>14</v>
      </c>
    </row>
    <row r="485" spans="1:10" x14ac:dyDescent="0.35">
      <c r="A485" t="s">
        <v>1069</v>
      </c>
      <c r="B485" t="s">
        <v>1057</v>
      </c>
      <c r="C485" t="str">
        <f>TEXT(Table1[[#This Row],[Order_Date]],"mmm")</f>
        <v>Mar</v>
      </c>
      <c r="D485" t="s">
        <v>1070</v>
      </c>
      <c r="E485" t="s">
        <v>38</v>
      </c>
      <c r="F485">
        <v>1</v>
      </c>
      <c r="G485">
        <v>34165.129999999997</v>
      </c>
      <c r="H485">
        <v>34165.129999999997</v>
      </c>
      <c r="I485" t="s">
        <v>18</v>
      </c>
      <c r="J485" t="s">
        <v>19</v>
      </c>
    </row>
    <row r="486" spans="1:10" x14ac:dyDescent="0.35">
      <c r="A486" t="s">
        <v>1071</v>
      </c>
      <c r="B486" t="s">
        <v>1072</v>
      </c>
      <c r="C486" t="str">
        <f>TEXT(Table1[[#This Row],[Order_Date]],"mmm")</f>
        <v>Mar</v>
      </c>
      <c r="D486" t="s">
        <v>1073</v>
      </c>
      <c r="E486" t="s">
        <v>56</v>
      </c>
      <c r="F486">
        <v>2</v>
      </c>
      <c r="G486">
        <v>25062.43</v>
      </c>
      <c r="H486">
        <v>50124.86</v>
      </c>
      <c r="I486" t="s">
        <v>42</v>
      </c>
      <c r="J486" t="s">
        <v>14</v>
      </c>
    </row>
    <row r="487" spans="1:10" x14ac:dyDescent="0.35">
      <c r="A487" t="s">
        <v>1074</v>
      </c>
      <c r="B487" t="s">
        <v>1072</v>
      </c>
      <c r="C487" t="str">
        <f>TEXT(Table1[[#This Row],[Order_Date]],"mmm")</f>
        <v>Mar</v>
      </c>
      <c r="D487" t="s">
        <v>1066</v>
      </c>
      <c r="E487" t="s">
        <v>47</v>
      </c>
      <c r="F487">
        <v>2</v>
      </c>
      <c r="G487">
        <v>40206.15</v>
      </c>
      <c r="H487">
        <v>80412.3</v>
      </c>
      <c r="I487" t="s">
        <v>42</v>
      </c>
      <c r="J487" t="s">
        <v>24</v>
      </c>
    </row>
    <row r="488" spans="1:10" x14ac:dyDescent="0.35">
      <c r="A488" t="s">
        <v>1075</v>
      </c>
      <c r="B488" t="s">
        <v>1072</v>
      </c>
      <c r="C488" t="str">
        <f>TEXT(Table1[[#This Row],[Order_Date]],"mmm")</f>
        <v>Mar</v>
      </c>
      <c r="D488" t="s">
        <v>1076</v>
      </c>
      <c r="E488" t="s">
        <v>53</v>
      </c>
      <c r="F488">
        <v>3</v>
      </c>
      <c r="G488">
        <v>47965.35</v>
      </c>
      <c r="H488">
        <v>143896.04999999999</v>
      </c>
      <c r="I488" t="s">
        <v>13</v>
      </c>
      <c r="J488" t="s">
        <v>14</v>
      </c>
    </row>
    <row r="489" spans="1:10" x14ac:dyDescent="0.35">
      <c r="A489" t="s">
        <v>1077</v>
      </c>
      <c r="B489" t="s">
        <v>1072</v>
      </c>
      <c r="C489" t="str">
        <f>TEXT(Table1[[#This Row],[Order_Date]],"mmm")</f>
        <v>Mar</v>
      </c>
      <c r="D489" t="s">
        <v>1078</v>
      </c>
      <c r="E489" t="s">
        <v>47</v>
      </c>
      <c r="F489">
        <v>3</v>
      </c>
      <c r="G489">
        <v>23095.72</v>
      </c>
      <c r="H489">
        <v>69287.16</v>
      </c>
      <c r="I489" t="s">
        <v>42</v>
      </c>
      <c r="J489" t="s">
        <v>24</v>
      </c>
    </row>
    <row r="490" spans="1:10" x14ac:dyDescent="0.35">
      <c r="A490" t="s">
        <v>1079</v>
      </c>
      <c r="B490" t="s">
        <v>1072</v>
      </c>
      <c r="C490" t="str">
        <f>TEXT(Table1[[#This Row],[Order_Date]],"mmm")</f>
        <v>Mar</v>
      </c>
      <c r="D490" t="s">
        <v>1080</v>
      </c>
      <c r="E490" t="s">
        <v>17</v>
      </c>
      <c r="F490">
        <v>1</v>
      </c>
      <c r="G490">
        <v>16916.509999999998</v>
      </c>
      <c r="H490">
        <v>16916.509999999998</v>
      </c>
      <c r="I490" t="s">
        <v>23</v>
      </c>
      <c r="J490" t="s">
        <v>24</v>
      </c>
    </row>
    <row r="491" spans="1:10" x14ac:dyDescent="0.35">
      <c r="A491" t="s">
        <v>1081</v>
      </c>
      <c r="B491" t="s">
        <v>1072</v>
      </c>
      <c r="C491" t="str">
        <f>TEXT(Table1[[#This Row],[Order_Date]],"mmm")</f>
        <v>Mar</v>
      </c>
      <c r="D491" t="s">
        <v>1082</v>
      </c>
      <c r="E491" t="s">
        <v>47</v>
      </c>
      <c r="F491">
        <v>3</v>
      </c>
      <c r="G491">
        <v>40580.99</v>
      </c>
      <c r="H491">
        <v>121742.97</v>
      </c>
      <c r="I491" t="s">
        <v>42</v>
      </c>
      <c r="J491" t="s">
        <v>35</v>
      </c>
    </row>
    <row r="492" spans="1:10" x14ac:dyDescent="0.35">
      <c r="A492" t="s">
        <v>1083</v>
      </c>
      <c r="B492" t="s">
        <v>1072</v>
      </c>
      <c r="C492" t="str">
        <f>TEXT(Table1[[#This Row],[Order_Date]],"mmm")</f>
        <v>Mar</v>
      </c>
      <c r="D492" t="s">
        <v>1084</v>
      </c>
      <c r="E492" t="s">
        <v>53</v>
      </c>
      <c r="F492">
        <v>1</v>
      </c>
      <c r="G492">
        <v>2824.75</v>
      </c>
      <c r="H492">
        <v>2824.75</v>
      </c>
      <c r="I492" t="s">
        <v>23</v>
      </c>
      <c r="J492" t="s">
        <v>24</v>
      </c>
    </row>
    <row r="493" spans="1:10" x14ac:dyDescent="0.35">
      <c r="A493" t="s">
        <v>1085</v>
      </c>
      <c r="B493" t="s">
        <v>1072</v>
      </c>
      <c r="C493" t="str">
        <f>TEXT(Table1[[#This Row],[Order_Date]],"mmm")</f>
        <v>Mar</v>
      </c>
      <c r="D493" t="s">
        <v>1086</v>
      </c>
      <c r="E493" t="s">
        <v>53</v>
      </c>
      <c r="F493">
        <v>5</v>
      </c>
      <c r="G493">
        <v>9150.82</v>
      </c>
      <c r="H493">
        <v>45754.1</v>
      </c>
      <c r="I493" t="s">
        <v>42</v>
      </c>
      <c r="J493" t="s">
        <v>35</v>
      </c>
    </row>
    <row r="494" spans="1:10" x14ac:dyDescent="0.35">
      <c r="A494" t="s">
        <v>1087</v>
      </c>
      <c r="B494" t="s">
        <v>1088</v>
      </c>
      <c r="C494" t="str">
        <f>TEXT(Table1[[#This Row],[Order_Date]],"mmm")</f>
        <v>Mar</v>
      </c>
      <c r="D494" t="s">
        <v>1089</v>
      </c>
      <c r="E494" t="s">
        <v>12</v>
      </c>
      <c r="F494">
        <v>1</v>
      </c>
      <c r="G494">
        <v>35623.620000000003</v>
      </c>
      <c r="H494">
        <v>35623.620000000003</v>
      </c>
      <c r="I494" t="s">
        <v>18</v>
      </c>
      <c r="J494" t="s">
        <v>35</v>
      </c>
    </row>
    <row r="495" spans="1:10" x14ac:dyDescent="0.35">
      <c r="A495" t="s">
        <v>1090</v>
      </c>
      <c r="B495" t="s">
        <v>1088</v>
      </c>
      <c r="C495" t="str">
        <f>TEXT(Table1[[#This Row],[Order_Date]],"mmm")</f>
        <v>Mar</v>
      </c>
      <c r="D495" t="s">
        <v>1091</v>
      </c>
      <c r="E495" t="s">
        <v>32</v>
      </c>
      <c r="F495">
        <v>2</v>
      </c>
      <c r="G495">
        <v>25816.26</v>
      </c>
      <c r="H495">
        <v>51632.52</v>
      </c>
      <c r="I495" t="s">
        <v>23</v>
      </c>
      <c r="J495" t="s">
        <v>14</v>
      </c>
    </row>
    <row r="496" spans="1:10" x14ac:dyDescent="0.35">
      <c r="A496" t="s">
        <v>1092</v>
      </c>
      <c r="B496" t="s">
        <v>1088</v>
      </c>
      <c r="C496" t="str">
        <f>TEXT(Table1[[#This Row],[Order_Date]],"mmm")</f>
        <v>Mar</v>
      </c>
      <c r="D496" t="s">
        <v>1093</v>
      </c>
      <c r="E496" t="s">
        <v>12</v>
      </c>
      <c r="F496">
        <v>5</v>
      </c>
      <c r="G496">
        <v>26568.02</v>
      </c>
      <c r="H496">
        <v>132840.1</v>
      </c>
      <c r="I496" t="s">
        <v>13</v>
      </c>
      <c r="J496" t="s">
        <v>14</v>
      </c>
    </row>
    <row r="497" spans="1:10" x14ac:dyDescent="0.35">
      <c r="A497" t="s">
        <v>1094</v>
      </c>
      <c r="B497" t="s">
        <v>1088</v>
      </c>
      <c r="C497" t="str">
        <f>TEXT(Table1[[#This Row],[Order_Date]],"mmm")</f>
        <v>Mar</v>
      </c>
      <c r="D497" t="s">
        <v>1095</v>
      </c>
      <c r="E497" t="s">
        <v>22</v>
      </c>
      <c r="F497">
        <v>2</v>
      </c>
      <c r="G497">
        <v>1116.04</v>
      </c>
      <c r="H497">
        <v>2232.08</v>
      </c>
      <c r="I497" t="s">
        <v>42</v>
      </c>
      <c r="J497" t="s">
        <v>14</v>
      </c>
    </row>
    <row r="498" spans="1:10" x14ac:dyDescent="0.35">
      <c r="A498" t="s">
        <v>1096</v>
      </c>
      <c r="B498" t="s">
        <v>1088</v>
      </c>
      <c r="C498" t="str">
        <f>TEXT(Table1[[#This Row],[Order_Date]],"mmm")</f>
        <v>Mar</v>
      </c>
      <c r="D498" t="s">
        <v>1097</v>
      </c>
      <c r="E498" t="s">
        <v>17</v>
      </c>
      <c r="F498">
        <v>4</v>
      </c>
      <c r="G498">
        <v>20231.439999999999</v>
      </c>
      <c r="H498">
        <v>80925.759999999995</v>
      </c>
      <c r="I498" t="s">
        <v>42</v>
      </c>
      <c r="J498" t="s">
        <v>19</v>
      </c>
    </row>
    <row r="499" spans="1:10" x14ac:dyDescent="0.35">
      <c r="A499" t="s">
        <v>1098</v>
      </c>
      <c r="B499" t="s">
        <v>1099</v>
      </c>
      <c r="C499" t="str">
        <f>TEXT(Table1[[#This Row],[Order_Date]],"mmm")</f>
        <v>Apr</v>
      </c>
      <c r="D499" t="s">
        <v>1100</v>
      </c>
      <c r="E499" t="s">
        <v>53</v>
      </c>
      <c r="F499">
        <v>1</v>
      </c>
      <c r="G499">
        <v>11908.75</v>
      </c>
      <c r="H499">
        <v>11908.75</v>
      </c>
      <c r="I499" t="s">
        <v>18</v>
      </c>
      <c r="J499" t="s">
        <v>35</v>
      </c>
    </row>
    <row r="500" spans="1:10" x14ac:dyDescent="0.35">
      <c r="A500" t="s">
        <v>1101</v>
      </c>
      <c r="B500" t="s">
        <v>1099</v>
      </c>
      <c r="C500" t="str">
        <f>TEXT(Table1[[#This Row],[Order_Date]],"mmm")</f>
        <v>Apr</v>
      </c>
      <c r="D500" t="s">
        <v>1102</v>
      </c>
      <c r="E500" t="s">
        <v>47</v>
      </c>
      <c r="F500">
        <v>4</v>
      </c>
      <c r="G500">
        <v>19721.650000000001</v>
      </c>
      <c r="H500">
        <v>78886.600000000006</v>
      </c>
      <c r="I500" t="s">
        <v>23</v>
      </c>
      <c r="J500" t="s">
        <v>24</v>
      </c>
    </row>
    <row r="501" spans="1:10" x14ac:dyDescent="0.35">
      <c r="A501" t="s">
        <v>1103</v>
      </c>
      <c r="B501" t="s">
        <v>1099</v>
      </c>
      <c r="C501" t="str">
        <f>TEXT(Table1[[#This Row],[Order_Date]],"mmm")</f>
        <v>Apr</v>
      </c>
      <c r="D501" t="s">
        <v>1104</v>
      </c>
      <c r="E501" t="s">
        <v>53</v>
      </c>
      <c r="F501">
        <v>5</v>
      </c>
      <c r="G501">
        <v>47049.69</v>
      </c>
      <c r="H501">
        <v>235248.45</v>
      </c>
      <c r="I501" t="s">
        <v>18</v>
      </c>
      <c r="J501" t="s">
        <v>19</v>
      </c>
    </row>
    <row r="502" spans="1:10" x14ac:dyDescent="0.35">
      <c r="A502" t="s">
        <v>1105</v>
      </c>
      <c r="B502" t="s">
        <v>1106</v>
      </c>
      <c r="C502" t="str">
        <f>TEXT(Table1[[#This Row],[Order_Date]],"mmm")</f>
        <v>Apr</v>
      </c>
      <c r="D502" t="s">
        <v>1107</v>
      </c>
      <c r="E502" t="s">
        <v>56</v>
      </c>
      <c r="F502">
        <v>5</v>
      </c>
      <c r="G502">
        <v>4368.3500000000004</v>
      </c>
      <c r="H502">
        <v>21841.75</v>
      </c>
      <c r="I502" t="s">
        <v>18</v>
      </c>
      <c r="J502" t="s">
        <v>24</v>
      </c>
    </row>
    <row r="503" spans="1:10" x14ac:dyDescent="0.35">
      <c r="A503" t="s">
        <v>1108</v>
      </c>
      <c r="B503" t="s">
        <v>1106</v>
      </c>
      <c r="C503" t="str">
        <f>TEXT(Table1[[#This Row],[Order_Date]],"mmm")</f>
        <v>Apr</v>
      </c>
      <c r="D503" t="s">
        <v>1109</v>
      </c>
      <c r="E503" t="s">
        <v>17</v>
      </c>
      <c r="F503">
        <v>3</v>
      </c>
      <c r="G503">
        <v>26543.46</v>
      </c>
      <c r="H503">
        <v>79630.38</v>
      </c>
      <c r="I503" t="s">
        <v>42</v>
      </c>
      <c r="J503" t="s">
        <v>14</v>
      </c>
    </row>
    <row r="504" spans="1:10" x14ac:dyDescent="0.35">
      <c r="A504" t="s">
        <v>1110</v>
      </c>
      <c r="B504" t="s">
        <v>1106</v>
      </c>
      <c r="C504" t="str">
        <f>TEXT(Table1[[#This Row],[Order_Date]],"mmm")</f>
        <v>Apr</v>
      </c>
      <c r="D504" t="s">
        <v>1111</v>
      </c>
      <c r="E504" t="s">
        <v>72</v>
      </c>
      <c r="F504">
        <v>5</v>
      </c>
      <c r="G504">
        <v>7406</v>
      </c>
      <c r="H504">
        <v>37030</v>
      </c>
      <c r="I504" t="s">
        <v>18</v>
      </c>
      <c r="J504" t="s">
        <v>35</v>
      </c>
    </row>
    <row r="505" spans="1:10" x14ac:dyDescent="0.35">
      <c r="A505" t="s">
        <v>1112</v>
      </c>
      <c r="B505" t="s">
        <v>1106</v>
      </c>
      <c r="C505" t="str">
        <f>TEXT(Table1[[#This Row],[Order_Date]],"mmm")</f>
        <v>Apr</v>
      </c>
      <c r="D505" t="s">
        <v>1113</v>
      </c>
      <c r="E505" t="s">
        <v>72</v>
      </c>
      <c r="F505">
        <v>4</v>
      </c>
      <c r="G505">
        <v>26155.18</v>
      </c>
      <c r="H505">
        <v>104620.72</v>
      </c>
      <c r="I505" t="s">
        <v>42</v>
      </c>
      <c r="J505" t="s">
        <v>35</v>
      </c>
    </row>
    <row r="506" spans="1:10" x14ac:dyDescent="0.35">
      <c r="A506" t="s">
        <v>1114</v>
      </c>
      <c r="B506" t="s">
        <v>1106</v>
      </c>
      <c r="C506" t="str">
        <f>TEXT(Table1[[#This Row],[Order_Date]],"mmm")</f>
        <v>Apr</v>
      </c>
      <c r="D506" t="s">
        <v>1115</v>
      </c>
      <c r="E506" t="s">
        <v>22</v>
      </c>
      <c r="F506">
        <v>5</v>
      </c>
      <c r="G506">
        <v>10964.98</v>
      </c>
      <c r="H506">
        <v>54824.9</v>
      </c>
      <c r="I506" t="s">
        <v>23</v>
      </c>
      <c r="J506" t="s">
        <v>35</v>
      </c>
    </row>
    <row r="507" spans="1:10" x14ac:dyDescent="0.35">
      <c r="A507" t="s">
        <v>1116</v>
      </c>
      <c r="B507" t="s">
        <v>1106</v>
      </c>
      <c r="C507" t="str">
        <f>TEXT(Table1[[#This Row],[Order_Date]],"mmm")</f>
        <v>Apr</v>
      </c>
      <c r="D507" t="s">
        <v>1117</v>
      </c>
      <c r="E507" t="s">
        <v>53</v>
      </c>
      <c r="F507">
        <v>5</v>
      </c>
      <c r="G507">
        <v>40037.65</v>
      </c>
      <c r="H507">
        <v>200188.25</v>
      </c>
      <c r="I507" t="s">
        <v>13</v>
      </c>
      <c r="J507" t="s">
        <v>24</v>
      </c>
    </row>
    <row r="508" spans="1:10" x14ac:dyDescent="0.35">
      <c r="A508" t="s">
        <v>1118</v>
      </c>
      <c r="B508" t="s">
        <v>1106</v>
      </c>
      <c r="C508" t="str">
        <f>TEXT(Table1[[#This Row],[Order_Date]],"mmm")</f>
        <v>Apr</v>
      </c>
      <c r="D508" t="s">
        <v>1119</v>
      </c>
      <c r="E508" t="s">
        <v>53</v>
      </c>
      <c r="F508">
        <v>5</v>
      </c>
      <c r="G508">
        <v>28338.05</v>
      </c>
      <c r="H508">
        <v>141690.25</v>
      </c>
      <c r="I508" t="s">
        <v>13</v>
      </c>
      <c r="J508" t="s">
        <v>24</v>
      </c>
    </row>
    <row r="509" spans="1:10" x14ac:dyDescent="0.35">
      <c r="A509" t="s">
        <v>1120</v>
      </c>
      <c r="B509" t="s">
        <v>1121</v>
      </c>
      <c r="C509" t="str">
        <f>TEXT(Table1[[#This Row],[Order_Date]],"mmm")</f>
        <v>Apr</v>
      </c>
      <c r="D509" t="s">
        <v>1122</v>
      </c>
      <c r="E509" t="s">
        <v>75</v>
      </c>
      <c r="F509">
        <v>4</v>
      </c>
      <c r="G509">
        <v>36562.86</v>
      </c>
      <c r="H509">
        <v>146251.44</v>
      </c>
      <c r="I509" t="s">
        <v>18</v>
      </c>
      <c r="J509" t="s">
        <v>24</v>
      </c>
    </row>
    <row r="510" spans="1:10" x14ac:dyDescent="0.35">
      <c r="A510" t="s">
        <v>1123</v>
      </c>
      <c r="B510" t="s">
        <v>1121</v>
      </c>
      <c r="C510" t="str">
        <f>TEXT(Table1[[#This Row],[Order_Date]],"mmm")</f>
        <v>Apr</v>
      </c>
      <c r="D510" t="s">
        <v>1124</v>
      </c>
      <c r="E510" t="s">
        <v>72</v>
      </c>
      <c r="F510">
        <v>3</v>
      </c>
      <c r="G510">
        <v>24553.8</v>
      </c>
      <c r="H510">
        <v>73661.399999999994</v>
      </c>
      <c r="I510" t="s">
        <v>18</v>
      </c>
      <c r="J510" t="s">
        <v>24</v>
      </c>
    </row>
    <row r="511" spans="1:10" x14ac:dyDescent="0.35">
      <c r="A511" t="s">
        <v>1125</v>
      </c>
      <c r="B511" t="s">
        <v>1121</v>
      </c>
      <c r="C511" t="str">
        <f>TEXT(Table1[[#This Row],[Order_Date]],"mmm")</f>
        <v>Apr</v>
      </c>
      <c r="D511" t="s">
        <v>1126</v>
      </c>
      <c r="E511" t="s">
        <v>22</v>
      </c>
      <c r="F511">
        <v>1</v>
      </c>
      <c r="G511">
        <v>11424.65</v>
      </c>
      <c r="H511">
        <v>11424.65</v>
      </c>
      <c r="I511" t="s">
        <v>23</v>
      </c>
      <c r="J511" t="s">
        <v>19</v>
      </c>
    </row>
    <row r="512" spans="1:10" x14ac:dyDescent="0.35">
      <c r="A512" t="s">
        <v>1127</v>
      </c>
      <c r="B512" t="s">
        <v>1121</v>
      </c>
      <c r="C512" t="str">
        <f>TEXT(Table1[[#This Row],[Order_Date]],"mmm")</f>
        <v>Apr</v>
      </c>
      <c r="D512" t="s">
        <v>1128</v>
      </c>
      <c r="E512" t="s">
        <v>12</v>
      </c>
      <c r="F512">
        <v>5</v>
      </c>
      <c r="G512">
        <v>13124.16</v>
      </c>
      <c r="H512">
        <v>65620.800000000003</v>
      </c>
      <c r="I512" t="s">
        <v>42</v>
      </c>
      <c r="J512" t="s">
        <v>24</v>
      </c>
    </row>
    <row r="513" spans="1:10" x14ac:dyDescent="0.35">
      <c r="A513" t="s">
        <v>1129</v>
      </c>
      <c r="B513" t="s">
        <v>1121</v>
      </c>
      <c r="C513" t="str">
        <f>TEXT(Table1[[#This Row],[Order_Date]],"mmm")</f>
        <v>Apr</v>
      </c>
      <c r="D513" t="s">
        <v>1130</v>
      </c>
      <c r="E513" t="s">
        <v>47</v>
      </c>
      <c r="F513">
        <v>1</v>
      </c>
      <c r="G513">
        <v>28634.47</v>
      </c>
      <c r="H513">
        <v>28634.47</v>
      </c>
      <c r="I513" t="s">
        <v>23</v>
      </c>
      <c r="J513" t="s">
        <v>14</v>
      </c>
    </row>
    <row r="514" spans="1:10" x14ac:dyDescent="0.35">
      <c r="A514" t="s">
        <v>1131</v>
      </c>
      <c r="B514" t="s">
        <v>1121</v>
      </c>
      <c r="C514" t="str">
        <f>TEXT(Table1[[#This Row],[Order_Date]],"mmm")</f>
        <v>Apr</v>
      </c>
      <c r="D514" t="s">
        <v>1132</v>
      </c>
      <c r="E514" t="s">
        <v>22</v>
      </c>
      <c r="F514">
        <v>4</v>
      </c>
      <c r="G514">
        <v>41132.65</v>
      </c>
      <c r="H514">
        <v>164530.6</v>
      </c>
      <c r="I514" t="s">
        <v>42</v>
      </c>
      <c r="J514" t="s">
        <v>35</v>
      </c>
    </row>
    <row r="515" spans="1:10" x14ac:dyDescent="0.35">
      <c r="A515" t="s">
        <v>1133</v>
      </c>
      <c r="B515" t="s">
        <v>1121</v>
      </c>
      <c r="C515" t="str">
        <f>TEXT(Table1[[#This Row],[Order_Date]],"mmm")</f>
        <v>Apr</v>
      </c>
      <c r="D515" t="s">
        <v>1134</v>
      </c>
      <c r="E515" t="s">
        <v>17</v>
      </c>
      <c r="F515">
        <v>5</v>
      </c>
      <c r="G515">
        <v>37131.99</v>
      </c>
      <c r="H515">
        <v>185659.95</v>
      </c>
      <c r="I515" t="s">
        <v>42</v>
      </c>
      <c r="J515" t="s">
        <v>19</v>
      </c>
    </row>
    <row r="516" spans="1:10" x14ac:dyDescent="0.35">
      <c r="A516" t="s">
        <v>1135</v>
      </c>
      <c r="B516" t="s">
        <v>1121</v>
      </c>
      <c r="C516" t="str">
        <f>TEXT(Table1[[#This Row],[Order_Date]],"mmm")</f>
        <v>Apr</v>
      </c>
      <c r="D516" t="s">
        <v>1136</v>
      </c>
      <c r="E516" t="s">
        <v>38</v>
      </c>
      <c r="F516">
        <v>1</v>
      </c>
      <c r="G516">
        <v>15700.79</v>
      </c>
      <c r="H516">
        <v>15700.79</v>
      </c>
      <c r="I516" t="s">
        <v>42</v>
      </c>
      <c r="J516" t="s">
        <v>19</v>
      </c>
    </row>
    <row r="517" spans="1:10" x14ac:dyDescent="0.35">
      <c r="A517" t="s">
        <v>1137</v>
      </c>
      <c r="B517" t="s">
        <v>1138</v>
      </c>
      <c r="C517" t="str">
        <f>TEXT(Table1[[#This Row],[Order_Date]],"mmm")</f>
        <v>Apr</v>
      </c>
      <c r="D517" t="s">
        <v>1139</v>
      </c>
      <c r="E517" t="s">
        <v>56</v>
      </c>
      <c r="F517">
        <v>5</v>
      </c>
      <c r="G517">
        <v>41863.61</v>
      </c>
      <c r="H517">
        <v>209318.05</v>
      </c>
      <c r="I517" t="s">
        <v>18</v>
      </c>
      <c r="J517" t="s">
        <v>14</v>
      </c>
    </row>
    <row r="518" spans="1:10" x14ac:dyDescent="0.35">
      <c r="A518" t="s">
        <v>1140</v>
      </c>
      <c r="B518" t="s">
        <v>1138</v>
      </c>
      <c r="C518" t="str">
        <f>TEXT(Table1[[#This Row],[Order_Date]],"mmm")</f>
        <v>Apr</v>
      </c>
      <c r="D518" t="s">
        <v>1141</v>
      </c>
      <c r="E518" t="s">
        <v>38</v>
      </c>
      <c r="F518">
        <v>4</v>
      </c>
      <c r="G518">
        <v>40592.949999999997</v>
      </c>
      <c r="H518">
        <v>162371.79999999999</v>
      </c>
      <c r="I518" t="s">
        <v>13</v>
      </c>
      <c r="J518" t="s">
        <v>24</v>
      </c>
    </row>
    <row r="519" spans="1:10" x14ac:dyDescent="0.35">
      <c r="A519" t="s">
        <v>1142</v>
      </c>
      <c r="B519" t="s">
        <v>1138</v>
      </c>
      <c r="C519" t="str">
        <f>TEXT(Table1[[#This Row],[Order_Date]],"mmm")</f>
        <v>Apr</v>
      </c>
      <c r="D519" t="s">
        <v>1143</v>
      </c>
      <c r="E519" t="s">
        <v>38</v>
      </c>
      <c r="F519">
        <v>5</v>
      </c>
      <c r="G519">
        <v>29150.09</v>
      </c>
      <c r="H519">
        <v>145750.45000000001</v>
      </c>
      <c r="I519" t="s">
        <v>18</v>
      </c>
      <c r="J519" t="s">
        <v>35</v>
      </c>
    </row>
    <row r="520" spans="1:10" x14ac:dyDescent="0.35">
      <c r="A520" t="s">
        <v>1144</v>
      </c>
      <c r="B520" t="s">
        <v>1138</v>
      </c>
      <c r="C520" t="str">
        <f>TEXT(Table1[[#This Row],[Order_Date]],"mmm")</f>
        <v>Apr</v>
      </c>
      <c r="D520" t="s">
        <v>1145</v>
      </c>
      <c r="E520" t="s">
        <v>53</v>
      </c>
      <c r="F520">
        <v>1</v>
      </c>
      <c r="G520">
        <v>6475.98</v>
      </c>
      <c r="H520">
        <v>6475.98</v>
      </c>
      <c r="I520" t="s">
        <v>13</v>
      </c>
      <c r="J520" t="s">
        <v>35</v>
      </c>
    </row>
    <row r="521" spans="1:10" x14ac:dyDescent="0.35">
      <c r="A521" t="s">
        <v>1146</v>
      </c>
      <c r="B521" t="s">
        <v>1138</v>
      </c>
      <c r="C521" t="str">
        <f>TEXT(Table1[[#This Row],[Order_Date]],"mmm")</f>
        <v>Apr</v>
      </c>
      <c r="D521" t="s">
        <v>1147</v>
      </c>
      <c r="E521" t="s">
        <v>32</v>
      </c>
      <c r="F521">
        <v>4</v>
      </c>
      <c r="G521">
        <v>38511</v>
      </c>
      <c r="H521">
        <v>154044</v>
      </c>
      <c r="I521" t="s">
        <v>23</v>
      </c>
      <c r="J521" t="s">
        <v>19</v>
      </c>
    </row>
    <row r="522" spans="1:10" x14ac:dyDescent="0.35">
      <c r="A522" t="s">
        <v>1148</v>
      </c>
      <c r="B522" t="s">
        <v>1138</v>
      </c>
      <c r="C522" t="str">
        <f>TEXT(Table1[[#This Row],[Order_Date]],"mmm")</f>
        <v>Apr</v>
      </c>
      <c r="D522" t="s">
        <v>1149</v>
      </c>
      <c r="E522" t="s">
        <v>22</v>
      </c>
      <c r="F522">
        <v>3</v>
      </c>
      <c r="G522">
        <v>5724.26</v>
      </c>
      <c r="H522">
        <v>17172.78</v>
      </c>
      <c r="I522" t="s">
        <v>42</v>
      </c>
      <c r="J522" t="s">
        <v>14</v>
      </c>
    </row>
    <row r="523" spans="1:10" x14ac:dyDescent="0.35">
      <c r="A523" t="s">
        <v>1150</v>
      </c>
      <c r="B523" t="s">
        <v>1138</v>
      </c>
      <c r="C523" t="str">
        <f>TEXT(Table1[[#This Row],[Order_Date]],"mmm")</f>
        <v>Apr</v>
      </c>
      <c r="D523" t="s">
        <v>1151</v>
      </c>
      <c r="E523" t="s">
        <v>47</v>
      </c>
      <c r="F523">
        <v>4</v>
      </c>
      <c r="G523">
        <v>18493.68</v>
      </c>
      <c r="H523">
        <v>73974.720000000001</v>
      </c>
      <c r="I523" t="s">
        <v>18</v>
      </c>
      <c r="J523" t="s">
        <v>19</v>
      </c>
    </row>
    <row r="524" spans="1:10" x14ac:dyDescent="0.35">
      <c r="A524" t="s">
        <v>1152</v>
      </c>
      <c r="B524" t="s">
        <v>1138</v>
      </c>
      <c r="C524" t="str">
        <f>TEXT(Table1[[#This Row],[Order_Date]],"mmm")</f>
        <v>Apr</v>
      </c>
      <c r="D524" t="s">
        <v>1153</v>
      </c>
      <c r="E524" t="s">
        <v>32</v>
      </c>
      <c r="F524">
        <v>3</v>
      </c>
      <c r="G524">
        <v>11939.63</v>
      </c>
      <c r="H524">
        <v>35818.89</v>
      </c>
      <c r="I524" t="s">
        <v>42</v>
      </c>
      <c r="J524" t="s">
        <v>19</v>
      </c>
    </row>
    <row r="525" spans="1:10" x14ac:dyDescent="0.35">
      <c r="A525" t="s">
        <v>1154</v>
      </c>
      <c r="B525" t="s">
        <v>1155</v>
      </c>
      <c r="C525" t="str">
        <f>TEXT(Table1[[#This Row],[Order_Date]],"mmm")</f>
        <v>Apr</v>
      </c>
      <c r="D525" t="s">
        <v>1156</v>
      </c>
      <c r="E525" t="s">
        <v>12</v>
      </c>
      <c r="F525">
        <v>5</v>
      </c>
      <c r="G525">
        <v>49538.16</v>
      </c>
      <c r="H525">
        <v>247690.8</v>
      </c>
      <c r="I525" t="s">
        <v>42</v>
      </c>
      <c r="J525" t="s">
        <v>24</v>
      </c>
    </row>
    <row r="526" spans="1:10" x14ac:dyDescent="0.35">
      <c r="A526" t="s">
        <v>1157</v>
      </c>
      <c r="B526" t="s">
        <v>1155</v>
      </c>
      <c r="C526" t="str">
        <f>TEXT(Table1[[#This Row],[Order_Date]],"mmm")</f>
        <v>Apr</v>
      </c>
      <c r="D526" t="s">
        <v>1158</v>
      </c>
      <c r="E526" t="s">
        <v>53</v>
      </c>
      <c r="F526">
        <v>4</v>
      </c>
      <c r="G526">
        <v>12920.98</v>
      </c>
      <c r="H526">
        <v>51683.92</v>
      </c>
      <c r="I526" t="s">
        <v>23</v>
      </c>
      <c r="J526" t="s">
        <v>19</v>
      </c>
    </row>
    <row r="527" spans="1:10" x14ac:dyDescent="0.35">
      <c r="A527" t="s">
        <v>1159</v>
      </c>
      <c r="B527" t="s">
        <v>1155</v>
      </c>
      <c r="C527" t="str">
        <f>TEXT(Table1[[#This Row],[Order_Date]],"mmm")</f>
        <v>Apr</v>
      </c>
      <c r="D527" t="s">
        <v>1160</v>
      </c>
      <c r="E527" t="s">
        <v>22</v>
      </c>
      <c r="F527">
        <v>3</v>
      </c>
      <c r="G527">
        <v>17947.060000000001</v>
      </c>
      <c r="H527">
        <v>53841.18</v>
      </c>
      <c r="I527" t="s">
        <v>13</v>
      </c>
      <c r="J527" t="s">
        <v>24</v>
      </c>
    </row>
    <row r="528" spans="1:10" x14ac:dyDescent="0.35">
      <c r="A528" t="s">
        <v>1161</v>
      </c>
      <c r="B528" t="s">
        <v>1155</v>
      </c>
      <c r="C528" t="str">
        <f>TEXT(Table1[[#This Row],[Order_Date]],"mmm")</f>
        <v>Apr</v>
      </c>
      <c r="D528" t="s">
        <v>1162</v>
      </c>
      <c r="E528" t="s">
        <v>32</v>
      </c>
      <c r="F528">
        <v>3</v>
      </c>
      <c r="G528">
        <v>44429.36</v>
      </c>
      <c r="H528">
        <v>133288.07999999999</v>
      </c>
      <c r="I528" t="s">
        <v>18</v>
      </c>
      <c r="J528" t="s">
        <v>14</v>
      </c>
    </row>
    <row r="529" spans="1:10" x14ac:dyDescent="0.35">
      <c r="A529" t="s">
        <v>1163</v>
      </c>
      <c r="B529" t="s">
        <v>1155</v>
      </c>
      <c r="C529" t="str">
        <f>TEXT(Table1[[#This Row],[Order_Date]],"mmm")</f>
        <v>Apr</v>
      </c>
      <c r="D529" t="s">
        <v>1164</v>
      </c>
      <c r="E529" t="s">
        <v>12</v>
      </c>
      <c r="F529">
        <v>4</v>
      </c>
      <c r="G529">
        <v>41949.52</v>
      </c>
      <c r="H529">
        <v>167798.08</v>
      </c>
      <c r="I529" t="s">
        <v>23</v>
      </c>
      <c r="J529" t="s">
        <v>19</v>
      </c>
    </row>
    <row r="530" spans="1:10" x14ac:dyDescent="0.35">
      <c r="A530" t="s">
        <v>1165</v>
      </c>
      <c r="B530" t="s">
        <v>1155</v>
      </c>
      <c r="C530" t="str">
        <f>TEXT(Table1[[#This Row],[Order_Date]],"mmm")</f>
        <v>Apr</v>
      </c>
      <c r="D530" t="s">
        <v>1166</v>
      </c>
      <c r="E530" t="s">
        <v>12</v>
      </c>
      <c r="F530">
        <v>4</v>
      </c>
      <c r="G530">
        <v>15658.75</v>
      </c>
      <c r="H530">
        <v>62635</v>
      </c>
      <c r="I530" t="s">
        <v>18</v>
      </c>
      <c r="J530" t="s">
        <v>24</v>
      </c>
    </row>
    <row r="531" spans="1:10" x14ac:dyDescent="0.35">
      <c r="A531" t="s">
        <v>1167</v>
      </c>
      <c r="B531" t="s">
        <v>1155</v>
      </c>
      <c r="C531" t="str">
        <f>TEXT(Table1[[#This Row],[Order_Date]],"mmm")</f>
        <v>Apr</v>
      </c>
      <c r="D531" t="s">
        <v>1168</v>
      </c>
      <c r="E531" t="s">
        <v>17</v>
      </c>
      <c r="F531">
        <v>4</v>
      </c>
      <c r="G531">
        <v>44058.37</v>
      </c>
      <c r="H531">
        <v>176233.48</v>
      </c>
      <c r="I531" t="s">
        <v>42</v>
      </c>
      <c r="J531" t="s">
        <v>14</v>
      </c>
    </row>
    <row r="532" spans="1:10" x14ac:dyDescent="0.35">
      <c r="A532" t="s">
        <v>1169</v>
      </c>
      <c r="B532" t="s">
        <v>1155</v>
      </c>
      <c r="C532" t="str">
        <f>TEXT(Table1[[#This Row],[Order_Date]],"mmm")</f>
        <v>Apr</v>
      </c>
      <c r="D532" t="s">
        <v>1170</v>
      </c>
      <c r="E532" t="s">
        <v>47</v>
      </c>
      <c r="F532">
        <v>5</v>
      </c>
      <c r="G532">
        <v>10207.34</v>
      </c>
      <c r="H532">
        <v>51036.7</v>
      </c>
      <c r="I532" t="s">
        <v>13</v>
      </c>
      <c r="J532" t="s">
        <v>24</v>
      </c>
    </row>
    <row r="533" spans="1:10" x14ac:dyDescent="0.35">
      <c r="A533" t="s">
        <v>1171</v>
      </c>
      <c r="B533" t="s">
        <v>1172</v>
      </c>
      <c r="C533" t="str">
        <f>TEXT(Table1[[#This Row],[Order_Date]],"mmm")</f>
        <v>Apr</v>
      </c>
      <c r="D533" t="s">
        <v>1173</v>
      </c>
      <c r="E533" t="s">
        <v>22</v>
      </c>
      <c r="F533">
        <v>1</v>
      </c>
      <c r="G533">
        <v>44586.39</v>
      </c>
      <c r="H533">
        <v>44586.39</v>
      </c>
      <c r="I533" t="s">
        <v>42</v>
      </c>
      <c r="J533" t="s">
        <v>19</v>
      </c>
    </row>
    <row r="534" spans="1:10" x14ac:dyDescent="0.35">
      <c r="A534" t="s">
        <v>1174</v>
      </c>
      <c r="B534" t="s">
        <v>1172</v>
      </c>
      <c r="C534" t="str">
        <f>TEXT(Table1[[#This Row],[Order_Date]],"mmm")</f>
        <v>Apr</v>
      </c>
      <c r="D534" t="s">
        <v>404</v>
      </c>
      <c r="E534" t="s">
        <v>47</v>
      </c>
      <c r="F534">
        <v>3</v>
      </c>
      <c r="G534">
        <v>2944.88</v>
      </c>
      <c r="H534">
        <v>8834.64</v>
      </c>
      <c r="I534" t="s">
        <v>42</v>
      </c>
      <c r="J534" t="s">
        <v>19</v>
      </c>
    </row>
    <row r="535" spans="1:10" x14ac:dyDescent="0.35">
      <c r="A535" t="s">
        <v>1175</v>
      </c>
      <c r="B535" t="s">
        <v>1172</v>
      </c>
      <c r="C535" t="str">
        <f>TEXT(Table1[[#This Row],[Order_Date]],"mmm")</f>
        <v>Apr</v>
      </c>
      <c r="D535" t="s">
        <v>1176</v>
      </c>
      <c r="E535" t="s">
        <v>17</v>
      </c>
      <c r="F535">
        <v>4</v>
      </c>
      <c r="G535">
        <v>31860.59</v>
      </c>
      <c r="H535">
        <v>127442.36</v>
      </c>
      <c r="I535" t="s">
        <v>42</v>
      </c>
      <c r="J535" t="s">
        <v>14</v>
      </c>
    </row>
    <row r="536" spans="1:10" x14ac:dyDescent="0.35">
      <c r="A536" t="s">
        <v>1177</v>
      </c>
      <c r="B536" t="s">
        <v>1172</v>
      </c>
      <c r="C536" t="str">
        <f>TEXT(Table1[[#This Row],[Order_Date]],"mmm")</f>
        <v>Apr</v>
      </c>
      <c r="D536" t="s">
        <v>1178</v>
      </c>
      <c r="E536" t="s">
        <v>47</v>
      </c>
      <c r="F536">
        <v>5</v>
      </c>
      <c r="G536">
        <v>15708.84</v>
      </c>
      <c r="H536">
        <v>78544.2</v>
      </c>
      <c r="I536" t="s">
        <v>23</v>
      </c>
      <c r="J536" t="s">
        <v>24</v>
      </c>
    </row>
    <row r="537" spans="1:10" x14ac:dyDescent="0.35">
      <c r="A537" t="s">
        <v>1179</v>
      </c>
      <c r="B537" t="s">
        <v>1172</v>
      </c>
      <c r="C537" t="str">
        <f>TEXT(Table1[[#This Row],[Order_Date]],"mmm")</f>
        <v>Apr</v>
      </c>
      <c r="D537" t="s">
        <v>1180</v>
      </c>
      <c r="E537" t="s">
        <v>56</v>
      </c>
      <c r="F537">
        <v>3</v>
      </c>
      <c r="G537">
        <v>44504.53</v>
      </c>
      <c r="H537">
        <v>133513.59</v>
      </c>
      <c r="I537" t="s">
        <v>13</v>
      </c>
      <c r="J537" t="s">
        <v>14</v>
      </c>
    </row>
    <row r="538" spans="1:10" x14ac:dyDescent="0.35">
      <c r="A538" t="s">
        <v>1181</v>
      </c>
      <c r="B538" t="s">
        <v>1172</v>
      </c>
      <c r="C538" t="str">
        <f>TEXT(Table1[[#This Row],[Order_Date]],"mmm")</f>
        <v>Apr</v>
      </c>
      <c r="D538" t="s">
        <v>1182</v>
      </c>
      <c r="E538" t="s">
        <v>12</v>
      </c>
      <c r="F538">
        <v>5</v>
      </c>
      <c r="G538">
        <v>7203.25</v>
      </c>
      <c r="H538">
        <v>36016.25</v>
      </c>
      <c r="I538" t="s">
        <v>23</v>
      </c>
      <c r="J538" t="s">
        <v>35</v>
      </c>
    </row>
    <row r="539" spans="1:10" x14ac:dyDescent="0.35">
      <c r="A539" t="s">
        <v>1183</v>
      </c>
      <c r="B539" t="s">
        <v>1172</v>
      </c>
      <c r="C539" t="str">
        <f>TEXT(Table1[[#This Row],[Order_Date]],"mmm")</f>
        <v>Apr</v>
      </c>
      <c r="D539" t="s">
        <v>1184</v>
      </c>
      <c r="E539" t="s">
        <v>32</v>
      </c>
      <c r="F539">
        <v>2</v>
      </c>
      <c r="G539">
        <v>22574.080000000002</v>
      </c>
      <c r="H539">
        <v>45148.160000000003</v>
      </c>
      <c r="I539" t="s">
        <v>42</v>
      </c>
      <c r="J539" t="s">
        <v>14</v>
      </c>
    </row>
    <row r="540" spans="1:10" x14ac:dyDescent="0.35">
      <c r="A540" t="s">
        <v>1185</v>
      </c>
      <c r="B540" t="s">
        <v>1186</v>
      </c>
      <c r="C540" t="str">
        <f>TEXT(Table1[[#This Row],[Order_Date]],"mmm")</f>
        <v>Apr</v>
      </c>
      <c r="D540" t="s">
        <v>1187</v>
      </c>
      <c r="E540" t="s">
        <v>22</v>
      </c>
      <c r="F540">
        <v>4</v>
      </c>
      <c r="G540">
        <v>48498.67</v>
      </c>
      <c r="H540">
        <v>193994.68</v>
      </c>
      <c r="I540" t="s">
        <v>13</v>
      </c>
      <c r="J540" t="s">
        <v>24</v>
      </c>
    </row>
    <row r="541" spans="1:10" x14ac:dyDescent="0.35">
      <c r="A541" t="s">
        <v>1188</v>
      </c>
      <c r="B541" t="s">
        <v>1186</v>
      </c>
      <c r="C541" t="str">
        <f>TEXT(Table1[[#This Row],[Order_Date]],"mmm")</f>
        <v>Apr</v>
      </c>
      <c r="D541" t="s">
        <v>1189</v>
      </c>
      <c r="E541" t="s">
        <v>22</v>
      </c>
      <c r="F541">
        <v>1</v>
      </c>
      <c r="G541">
        <v>3593.99</v>
      </c>
      <c r="H541">
        <v>3593.99</v>
      </c>
      <c r="I541" t="s">
        <v>23</v>
      </c>
      <c r="J541" t="s">
        <v>19</v>
      </c>
    </row>
    <row r="542" spans="1:10" x14ac:dyDescent="0.35">
      <c r="A542" t="s">
        <v>1190</v>
      </c>
      <c r="B542" t="s">
        <v>1186</v>
      </c>
      <c r="C542" t="str">
        <f>TEXT(Table1[[#This Row],[Order_Date]],"mmm")</f>
        <v>Apr</v>
      </c>
      <c r="D542" t="s">
        <v>1191</v>
      </c>
      <c r="E542" t="s">
        <v>22</v>
      </c>
      <c r="F542">
        <v>1</v>
      </c>
      <c r="G542">
        <v>12800.9</v>
      </c>
      <c r="H542">
        <v>12800.9</v>
      </c>
      <c r="I542" t="s">
        <v>23</v>
      </c>
      <c r="J542" t="s">
        <v>35</v>
      </c>
    </row>
    <row r="543" spans="1:10" x14ac:dyDescent="0.35">
      <c r="A543" t="s">
        <v>1192</v>
      </c>
      <c r="B543" t="s">
        <v>1186</v>
      </c>
      <c r="C543" t="str">
        <f>TEXT(Table1[[#This Row],[Order_Date]],"mmm")</f>
        <v>Apr</v>
      </c>
      <c r="D543" t="s">
        <v>1193</v>
      </c>
      <c r="E543" t="s">
        <v>75</v>
      </c>
      <c r="F543">
        <v>2</v>
      </c>
      <c r="G543">
        <v>19978.23</v>
      </c>
      <c r="H543">
        <v>39956.46</v>
      </c>
      <c r="I543" t="s">
        <v>42</v>
      </c>
      <c r="J543" t="s">
        <v>14</v>
      </c>
    </row>
    <row r="544" spans="1:10" x14ac:dyDescent="0.35">
      <c r="A544" t="s">
        <v>1194</v>
      </c>
      <c r="B544" t="s">
        <v>1186</v>
      </c>
      <c r="C544" t="str">
        <f>TEXT(Table1[[#This Row],[Order_Date]],"mmm")</f>
        <v>Apr</v>
      </c>
      <c r="D544" t="s">
        <v>1195</v>
      </c>
      <c r="E544" t="s">
        <v>75</v>
      </c>
      <c r="F544">
        <v>3</v>
      </c>
      <c r="G544">
        <v>11698.08</v>
      </c>
      <c r="H544">
        <v>35094.239999999998</v>
      </c>
      <c r="I544" t="s">
        <v>13</v>
      </c>
      <c r="J544" t="s">
        <v>19</v>
      </c>
    </row>
    <row r="545" spans="1:10" x14ac:dyDescent="0.35">
      <c r="A545" t="s">
        <v>1196</v>
      </c>
      <c r="B545" t="s">
        <v>1197</v>
      </c>
      <c r="C545" t="str">
        <f>TEXT(Table1[[#This Row],[Order_Date]],"mmm")</f>
        <v>Apr</v>
      </c>
      <c r="D545" t="s">
        <v>1198</v>
      </c>
      <c r="E545" t="s">
        <v>72</v>
      </c>
      <c r="F545">
        <v>5</v>
      </c>
      <c r="G545">
        <v>31757.52</v>
      </c>
      <c r="H545">
        <v>158787.6</v>
      </c>
      <c r="I545" t="s">
        <v>13</v>
      </c>
      <c r="J545" t="s">
        <v>35</v>
      </c>
    </row>
    <row r="546" spans="1:10" x14ac:dyDescent="0.35">
      <c r="A546" t="s">
        <v>1199</v>
      </c>
      <c r="B546" t="s">
        <v>1197</v>
      </c>
      <c r="C546" t="str">
        <f>TEXT(Table1[[#This Row],[Order_Date]],"mmm")</f>
        <v>Apr</v>
      </c>
      <c r="D546" t="s">
        <v>1200</v>
      </c>
      <c r="E546" t="s">
        <v>12</v>
      </c>
      <c r="F546">
        <v>2</v>
      </c>
      <c r="G546">
        <v>18675.419999999998</v>
      </c>
      <c r="H546">
        <v>37350.839999999997</v>
      </c>
      <c r="I546" t="s">
        <v>42</v>
      </c>
      <c r="J546" t="s">
        <v>35</v>
      </c>
    </row>
    <row r="547" spans="1:10" x14ac:dyDescent="0.35">
      <c r="A547" t="s">
        <v>1201</v>
      </c>
      <c r="B547" t="s">
        <v>1197</v>
      </c>
      <c r="C547" t="str">
        <f>TEXT(Table1[[#This Row],[Order_Date]],"mmm")</f>
        <v>Apr</v>
      </c>
      <c r="D547" t="s">
        <v>1202</v>
      </c>
      <c r="E547" t="s">
        <v>17</v>
      </c>
      <c r="F547">
        <v>5</v>
      </c>
      <c r="G547">
        <v>18444.03</v>
      </c>
      <c r="H547">
        <v>92220.15</v>
      </c>
      <c r="I547" t="s">
        <v>13</v>
      </c>
      <c r="J547" t="s">
        <v>14</v>
      </c>
    </row>
    <row r="548" spans="1:10" x14ac:dyDescent="0.35">
      <c r="A548" t="s">
        <v>1203</v>
      </c>
      <c r="B548" t="s">
        <v>1197</v>
      </c>
      <c r="C548" t="str">
        <f>TEXT(Table1[[#This Row],[Order_Date]],"mmm")</f>
        <v>Apr</v>
      </c>
      <c r="D548" t="s">
        <v>1204</v>
      </c>
      <c r="E548" t="s">
        <v>12</v>
      </c>
      <c r="F548">
        <v>4</v>
      </c>
      <c r="G548">
        <v>37663.08</v>
      </c>
      <c r="H548">
        <v>150652.32</v>
      </c>
      <c r="I548" t="s">
        <v>42</v>
      </c>
      <c r="J548" t="s">
        <v>24</v>
      </c>
    </row>
    <row r="549" spans="1:10" x14ac:dyDescent="0.35">
      <c r="A549" t="s">
        <v>1205</v>
      </c>
      <c r="B549" t="s">
        <v>1197</v>
      </c>
      <c r="C549" t="str">
        <f>TEXT(Table1[[#This Row],[Order_Date]],"mmm")</f>
        <v>Apr</v>
      </c>
      <c r="D549" t="s">
        <v>1206</v>
      </c>
      <c r="E549" t="s">
        <v>47</v>
      </c>
      <c r="F549">
        <v>5</v>
      </c>
      <c r="G549">
        <v>22119.32</v>
      </c>
      <c r="H549">
        <v>110596.6</v>
      </c>
      <c r="I549" t="s">
        <v>13</v>
      </c>
      <c r="J549" t="s">
        <v>35</v>
      </c>
    </row>
    <row r="550" spans="1:10" x14ac:dyDescent="0.35">
      <c r="A550" t="s">
        <v>1207</v>
      </c>
      <c r="B550" t="s">
        <v>1197</v>
      </c>
      <c r="C550" t="str">
        <f>TEXT(Table1[[#This Row],[Order_Date]],"mmm")</f>
        <v>Apr</v>
      </c>
      <c r="D550" t="s">
        <v>1208</v>
      </c>
      <c r="E550" t="s">
        <v>32</v>
      </c>
      <c r="F550">
        <v>3</v>
      </c>
      <c r="G550">
        <v>21274.91</v>
      </c>
      <c r="H550">
        <v>63824.73</v>
      </c>
      <c r="I550" t="s">
        <v>18</v>
      </c>
      <c r="J550" t="s">
        <v>24</v>
      </c>
    </row>
    <row r="551" spans="1:10" x14ac:dyDescent="0.35">
      <c r="A551" t="s">
        <v>1209</v>
      </c>
      <c r="B551" t="s">
        <v>1197</v>
      </c>
      <c r="C551" t="str">
        <f>TEXT(Table1[[#This Row],[Order_Date]],"mmm")</f>
        <v>Apr</v>
      </c>
      <c r="D551" t="s">
        <v>1210</v>
      </c>
      <c r="E551" t="s">
        <v>56</v>
      </c>
      <c r="F551">
        <v>4</v>
      </c>
      <c r="G551">
        <v>1329.25</v>
      </c>
      <c r="H551">
        <v>5317</v>
      </c>
      <c r="I551" t="s">
        <v>23</v>
      </c>
      <c r="J551" t="s">
        <v>35</v>
      </c>
    </row>
    <row r="552" spans="1:10" x14ac:dyDescent="0.35">
      <c r="A552" t="s">
        <v>1211</v>
      </c>
      <c r="B552" t="s">
        <v>1197</v>
      </c>
      <c r="C552" t="str">
        <f>TEXT(Table1[[#This Row],[Order_Date]],"mmm")</f>
        <v>Apr</v>
      </c>
      <c r="D552" t="s">
        <v>614</v>
      </c>
      <c r="E552" t="s">
        <v>17</v>
      </c>
      <c r="F552">
        <v>5</v>
      </c>
      <c r="G552">
        <v>42539.99</v>
      </c>
      <c r="H552">
        <v>212699.95</v>
      </c>
      <c r="I552" t="s">
        <v>18</v>
      </c>
      <c r="J552" t="s">
        <v>14</v>
      </c>
    </row>
    <row r="553" spans="1:10" x14ac:dyDescent="0.35">
      <c r="A553" t="s">
        <v>1212</v>
      </c>
      <c r="B553" t="s">
        <v>1213</v>
      </c>
      <c r="C553" t="str">
        <f>TEXT(Table1[[#This Row],[Order_Date]],"mmm")</f>
        <v>Apr</v>
      </c>
      <c r="D553" t="s">
        <v>1214</v>
      </c>
      <c r="E553" t="s">
        <v>22</v>
      </c>
      <c r="F553">
        <v>2</v>
      </c>
      <c r="G553">
        <v>2189.63</v>
      </c>
      <c r="H553">
        <v>4379.26</v>
      </c>
      <c r="I553" t="s">
        <v>23</v>
      </c>
      <c r="J553" t="s">
        <v>14</v>
      </c>
    </row>
    <row r="554" spans="1:10" x14ac:dyDescent="0.35">
      <c r="A554" t="s">
        <v>1215</v>
      </c>
      <c r="B554" t="s">
        <v>1213</v>
      </c>
      <c r="C554" t="str">
        <f>TEXT(Table1[[#This Row],[Order_Date]],"mmm")</f>
        <v>Apr</v>
      </c>
      <c r="D554" t="s">
        <v>1216</v>
      </c>
      <c r="E554" t="s">
        <v>75</v>
      </c>
      <c r="F554">
        <v>5</v>
      </c>
      <c r="G554">
        <v>40328.080000000002</v>
      </c>
      <c r="H554">
        <v>201640.4</v>
      </c>
      <c r="I554" t="s">
        <v>23</v>
      </c>
      <c r="J554" t="s">
        <v>19</v>
      </c>
    </row>
    <row r="555" spans="1:10" x14ac:dyDescent="0.35">
      <c r="A555" t="s">
        <v>1217</v>
      </c>
      <c r="B555" t="s">
        <v>1213</v>
      </c>
      <c r="C555" t="str">
        <f>TEXT(Table1[[#This Row],[Order_Date]],"mmm")</f>
        <v>Apr</v>
      </c>
      <c r="D555" t="s">
        <v>1218</v>
      </c>
      <c r="E555" t="s">
        <v>17</v>
      </c>
      <c r="F555">
        <v>5</v>
      </c>
      <c r="G555">
        <v>34524.160000000003</v>
      </c>
      <c r="H555">
        <v>172620.79999999999</v>
      </c>
      <c r="I555" t="s">
        <v>13</v>
      </c>
      <c r="J555" t="s">
        <v>35</v>
      </c>
    </row>
    <row r="556" spans="1:10" x14ac:dyDescent="0.35">
      <c r="A556" t="s">
        <v>1219</v>
      </c>
      <c r="B556" t="s">
        <v>1213</v>
      </c>
      <c r="C556" t="str">
        <f>TEXT(Table1[[#This Row],[Order_Date]],"mmm")</f>
        <v>Apr</v>
      </c>
      <c r="D556" t="s">
        <v>1220</v>
      </c>
      <c r="E556" t="s">
        <v>12</v>
      </c>
      <c r="F556">
        <v>2</v>
      </c>
      <c r="G556">
        <v>3437.82</v>
      </c>
      <c r="H556">
        <v>6875.64</v>
      </c>
      <c r="I556" t="s">
        <v>42</v>
      </c>
      <c r="J556" t="s">
        <v>19</v>
      </c>
    </row>
    <row r="557" spans="1:10" x14ac:dyDescent="0.35">
      <c r="A557" t="s">
        <v>1221</v>
      </c>
      <c r="B557" t="s">
        <v>1213</v>
      </c>
      <c r="C557" t="str">
        <f>TEXT(Table1[[#This Row],[Order_Date]],"mmm")</f>
        <v>Apr</v>
      </c>
      <c r="D557" t="s">
        <v>404</v>
      </c>
      <c r="E557" t="s">
        <v>75</v>
      </c>
      <c r="F557">
        <v>4</v>
      </c>
      <c r="G557">
        <v>6972.39</v>
      </c>
      <c r="H557">
        <v>27889.56</v>
      </c>
      <c r="I557" t="s">
        <v>13</v>
      </c>
      <c r="J557" t="s">
        <v>35</v>
      </c>
    </row>
    <row r="558" spans="1:10" x14ac:dyDescent="0.35">
      <c r="A558" t="s">
        <v>1222</v>
      </c>
      <c r="B558" t="s">
        <v>1223</v>
      </c>
      <c r="C558" t="str">
        <f>TEXT(Table1[[#This Row],[Order_Date]],"mmm")</f>
        <v>Apr</v>
      </c>
      <c r="D558" t="s">
        <v>1224</v>
      </c>
      <c r="E558" t="s">
        <v>32</v>
      </c>
      <c r="F558">
        <v>5</v>
      </c>
      <c r="G558">
        <v>4862.55</v>
      </c>
      <c r="H558">
        <v>24312.75</v>
      </c>
      <c r="I558" t="s">
        <v>18</v>
      </c>
      <c r="J558" t="s">
        <v>35</v>
      </c>
    </row>
    <row r="559" spans="1:10" x14ac:dyDescent="0.35">
      <c r="A559" t="s">
        <v>1225</v>
      </c>
      <c r="B559" t="s">
        <v>1223</v>
      </c>
      <c r="C559" t="str">
        <f>TEXT(Table1[[#This Row],[Order_Date]],"mmm")</f>
        <v>Apr</v>
      </c>
      <c r="D559" t="s">
        <v>1226</v>
      </c>
      <c r="E559" t="s">
        <v>75</v>
      </c>
      <c r="F559">
        <v>5</v>
      </c>
      <c r="G559">
        <v>21405.31</v>
      </c>
      <c r="H559">
        <v>107026.55</v>
      </c>
      <c r="I559" t="s">
        <v>42</v>
      </c>
      <c r="J559" t="s">
        <v>14</v>
      </c>
    </row>
    <row r="560" spans="1:10" x14ac:dyDescent="0.35">
      <c r="A560" t="s">
        <v>1227</v>
      </c>
      <c r="B560" t="s">
        <v>1223</v>
      </c>
      <c r="C560" t="str">
        <f>TEXT(Table1[[#This Row],[Order_Date]],"mmm")</f>
        <v>Apr</v>
      </c>
      <c r="D560" t="s">
        <v>1228</v>
      </c>
      <c r="E560" t="s">
        <v>38</v>
      </c>
      <c r="F560">
        <v>4</v>
      </c>
      <c r="G560">
        <v>27365.21</v>
      </c>
      <c r="H560">
        <v>109460.84</v>
      </c>
      <c r="I560" t="s">
        <v>18</v>
      </c>
      <c r="J560" t="s">
        <v>19</v>
      </c>
    </row>
    <row r="561" spans="1:10" x14ac:dyDescent="0.35">
      <c r="A561" t="s">
        <v>1229</v>
      </c>
      <c r="B561" t="s">
        <v>1223</v>
      </c>
      <c r="C561" t="str">
        <f>TEXT(Table1[[#This Row],[Order_Date]],"mmm")</f>
        <v>Apr</v>
      </c>
      <c r="D561" t="s">
        <v>178</v>
      </c>
      <c r="E561" t="s">
        <v>47</v>
      </c>
      <c r="F561">
        <v>2</v>
      </c>
      <c r="G561">
        <v>1878.17</v>
      </c>
      <c r="H561">
        <v>3756.34</v>
      </c>
      <c r="I561" t="s">
        <v>18</v>
      </c>
      <c r="J561" t="s">
        <v>19</v>
      </c>
    </row>
    <row r="562" spans="1:10" x14ac:dyDescent="0.35">
      <c r="A562" t="s">
        <v>1230</v>
      </c>
      <c r="B562" t="s">
        <v>1223</v>
      </c>
      <c r="C562" t="str">
        <f>TEXT(Table1[[#This Row],[Order_Date]],"mmm")</f>
        <v>Apr</v>
      </c>
      <c r="D562" t="s">
        <v>1231</v>
      </c>
      <c r="E562" t="s">
        <v>72</v>
      </c>
      <c r="F562">
        <v>4</v>
      </c>
      <c r="G562">
        <v>22746.19</v>
      </c>
      <c r="H562">
        <v>90984.76</v>
      </c>
      <c r="I562" t="s">
        <v>18</v>
      </c>
      <c r="J562" t="s">
        <v>19</v>
      </c>
    </row>
    <row r="563" spans="1:10" x14ac:dyDescent="0.35">
      <c r="A563" t="s">
        <v>1232</v>
      </c>
      <c r="B563" t="s">
        <v>1223</v>
      </c>
      <c r="C563" t="str">
        <f>TEXT(Table1[[#This Row],[Order_Date]],"mmm")</f>
        <v>Apr</v>
      </c>
      <c r="D563" t="s">
        <v>1233</v>
      </c>
      <c r="E563" t="s">
        <v>56</v>
      </c>
      <c r="F563">
        <v>1</v>
      </c>
      <c r="G563">
        <v>24147.08</v>
      </c>
      <c r="H563">
        <v>24147.08</v>
      </c>
      <c r="I563" t="s">
        <v>13</v>
      </c>
      <c r="J563" t="s">
        <v>19</v>
      </c>
    </row>
    <row r="564" spans="1:10" x14ac:dyDescent="0.35">
      <c r="A564" t="s">
        <v>1234</v>
      </c>
      <c r="B564" t="s">
        <v>1223</v>
      </c>
      <c r="C564" t="str">
        <f>TEXT(Table1[[#This Row],[Order_Date]],"mmm")</f>
        <v>Apr</v>
      </c>
      <c r="D564" t="s">
        <v>1235</v>
      </c>
      <c r="E564" t="s">
        <v>75</v>
      </c>
      <c r="F564">
        <v>1</v>
      </c>
      <c r="G564">
        <v>32809.11</v>
      </c>
      <c r="H564">
        <v>32809.11</v>
      </c>
      <c r="I564" t="s">
        <v>13</v>
      </c>
      <c r="J564" t="s">
        <v>19</v>
      </c>
    </row>
    <row r="565" spans="1:10" x14ac:dyDescent="0.35">
      <c r="A565" t="s">
        <v>1236</v>
      </c>
      <c r="B565" t="s">
        <v>1223</v>
      </c>
      <c r="C565" t="str">
        <f>TEXT(Table1[[#This Row],[Order_Date]],"mmm")</f>
        <v>Apr</v>
      </c>
      <c r="D565" t="s">
        <v>1237</v>
      </c>
      <c r="E565" t="s">
        <v>38</v>
      </c>
      <c r="F565">
        <v>2</v>
      </c>
      <c r="G565">
        <v>49449.18</v>
      </c>
      <c r="H565">
        <v>98898.36</v>
      </c>
      <c r="I565" t="s">
        <v>42</v>
      </c>
      <c r="J565" t="s">
        <v>35</v>
      </c>
    </row>
    <row r="566" spans="1:10" x14ac:dyDescent="0.35">
      <c r="A566" t="s">
        <v>1238</v>
      </c>
      <c r="B566" t="s">
        <v>1239</v>
      </c>
      <c r="C566" t="str">
        <f>TEXT(Table1[[#This Row],[Order_Date]],"mmm")</f>
        <v>Apr</v>
      </c>
      <c r="D566" t="s">
        <v>1240</v>
      </c>
      <c r="E566" t="s">
        <v>53</v>
      </c>
      <c r="F566">
        <v>5</v>
      </c>
      <c r="G566">
        <v>2346.54</v>
      </c>
      <c r="H566">
        <v>11732.7</v>
      </c>
      <c r="I566" t="s">
        <v>23</v>
      </c>
      <c r="J566" t="s">
        <v>14</v>
      </c>
    </row>
    <row r="567" spans="1:10" x14ac:dyDescent="0.35">
      <c r="A567" t="s">
        <v>1241</v>
      </c>
      <c r="B567" t="s">
        <v>1239</v>
      </c>
      <c r="C567" t="str">
        <f>TEXT(Table1[[#This Row],[Order_Date]],"mmm")</f>
        <v>Apr</v>
      </c>
      <c r="D567" t="s">
        <v>1242</v>
      </c>
      <c r="E567" t="s">
        <v>22</v>
      </c>
      <c r="F567">
        <v>1</v>
      </c>
      <c r="G567">
        <v>30830.959999999999</v>
      </c>
      <c r="H567">
        <v>30830.959999999999</v>
      </c>
      <c r="I567" t="s">
        <v>23</v>
      </c>
      <c r="J567" t="s">
        <v>35</v>
      </c>
    </row>
    <row r="568" spans="1:10" x14ac:dyDescent="0.35">
      <c r="A568" t="s">
        <v>1243</v>
      </c>
      <c r="B568" t="s">
        <v>1239</v>
      </c>
      <c r="C568" t="str">
        <f>TEXT(Table1[[#This Row],[Order_Date]],"mmm")</f>
        <v>Apr</v>
      </c>
      <c r="D568" t="s">
        <v>542</v>
      </c>
      <c r="E568" t="s">
        <v>38</v>
      </c>
      <c r="F568">
        <v>5</v>
      </c>
      <c r="G568">
        <v>46336.91</v>
      </c>
      <c r="H568">
        <v>231684.55</v>
      </c>
      <c r="I568" t="s">
        <v>42</v>
      </c>
      <c r="J568" t="s">
        <v>19</v>
      </c>
    </row>
    <row r="569" spans="1:10" x14ac:dyDescent="0.35">
      <c r="A569" t="s">
        <v>1244</v>
      </c>
      <c r="B569" t="s">
        <v>1239</v>
      </c>
      <c r="C569" t="str">
        <f>TEXT(Table1[[#This Row],[Order_Date]],"mmm")</f>
        <v>Apr</v>
      </c>
      <c r="D569" t="s">
        <v>1245</v>
      </c>
      <c r="E569" t="s">
        <v>12</v>
      </c>
      <c r="F569">
        <v>2</v>
      </c>
      <c r="G569">
        <v>27481.51</v>
      </c>
      <c r="H569">
        <v>54963.02</v>
      </c>
      <c r="I569" t="s">
        <v>42</v>
      </c>
      <c r="J569" t="s">
        <v>35</v>
      </c>
    </row>
    <row r="570" spans="1:10" x14ac:dyDescent="0.35">
      <c r="A570" t="s">
        <v>1246</v>
      </c>
      <c r="B570" t="s">
        <v>1239</v>
      </c>
      <c r="C570" t="str">
        <f>TEXT(Table1[[#This Row],[Order_Date]],"mmm")</f>
        <v>Apr</v>
      </c>
      <c r="D570" t="s">
        <v>1247</v>
      </c>
      <c r="E570" t="s">
        <v>53</v>
      </c>
      <c r="F570">
        <v>5</v>
      </c>
      <c r="G570">
        <v>30697.32</v>
      </c>
      <c r="H570">
        <v>153486.6</v>
      </c>
      <c r="I570" t="s">
        <v>23</v>
      </c>
      <c r="J570" t="s">
        <v>24</v>
      </c>
    </row>
    <row r="571" spans="1:10" x14ac:dyDescent="0.35">
      <c r="A571" t="s">
        <v>1248</v>
      </c>
      <c r="B571" t="s">
        <v>1239</v>
      </c>
      <c r="C571" t="str">
        <f>TEXT(Table1[[#This Row],[Order_Date]],"mmm")</f>
        <v>Apr</v>
      </c>
      <c r="D571" t="s">
        <v>1249</v>
      </c>
      <c r="E571" t="s">
        <v>17</v>
      </c>
      <c r="F571">
        <v>4</v>
      </c>
      <c r="G571">
        <v>793.66</v>
      </c>
      <c r="H571">
        <v>3174.64</v>
      </c>
      <c r="I571" t="s">
        <v>23</v>
      </c>
      <c r="J571" t="s">
        <v>19</v>
      </c>
    </row>
    <row r="572" spans="1:10" x14ac:dyDescent="0.35">
      <c r="A572" t="s">
        <v>1250</v>
      </c>
      <c r="B572" t="s">
        <v>1239</v>
      </c>
      <c r="C572" t="str">
        <f>TEXT(Table1[[#This Row],[Order_Date]],"mmm")</f>
        <v>Apr</v>
      </c>
      <c r="D572" t="s">
        <v>280</v>
      </c>
      <c r="E572" t="s">
        <v>12</v>
      </c>
      <c r="F572">
        <v>2</v>
      </c>
      <c r="G572">
        <v>25173.46</v>
      </c>
      <c r="H572">
        <v>50346.92</v>
      </c>
      <c r="I572" t="s">
        <v>42</v>
      </c>
      <c r="J572" t="s">
        <v>24</v>
      </c>
    </row>
    <row r="573" spans="1:10" x14ac:dyDescent="0.35">
      <c r="A573" t="s">
        <v>1251</v>
      </c>
      <c r="B573" t="s">
        <v>1252</v>
      </c>
      <c r="C573" t="str">
        <f>TEXT(Table1[[#This Row],[Order_Date]],"mmm")</f>
        <v>Apr</v>
      </c>
      <c r="D573" t="s">
        <v>1253</v>
      </c>
      <c r="E573" t="s">
        <v>72</v>
      </c>
      <c r="F573">
        <v>3</v>
      </c>
      <c r="G573">
        <v>39527.339999999997</v>
      </c>
      <c r="H573">
        <v>118582.02</v>
      </c>
      <c r="I573" t="s">
        <v>13</v>
      </c>
      <c r="J573" t="s">
        <v>35</v>
      </c>
    </row>
    <row r="574" spans="1:10" x14ac:dyDescent="0.35">
      <c r="A574" t="s">
        <v>1254</v>
      </c>
      <c r="B574" t="s">
        <v>1252</v>
      </c>
      <c r="C574" t="str">
        <f>TEXT(Table1[[#This Row],[Order_Date]],"mmm")</f>
        <v>Apr</v>
      </c>
      <c r="D574" t="s">
        <v>1255</v>
      </c>
      <c r="E574" t="s">
        <v>22</v>
      </c>
      <c r="F574">
        <v>2</v>
      </c>
      <c r="G574">
        <v>40962.28</v>
      </c>
      <c r="H574">
        <v>81924.56</v>
      </c>
      <c r="I574" t="s">
        <v>13</v>
      </c>
      <c r="J574" t="s">
        <v>14</v>
      </c>
    </row>
    <row r="575" spans="1:10" x14ac:dyDescent="0.35">
      <c r="A575" t="s">
        <v>1256</v>
      </c>
      <c r="B575" t="s">
        <v>1252</v>
      </c>
      <c r="C575" t="str">
        <f>TEXT(Table1[[#This Row],[Order_Date]],"mmm")</f>
        <v>Apr</v>
      </c>
      <c r="D575" t="s">
        <v>885</v>
      </c>
      <c r="E575" t="s">
        <v>75</v>
      </c>
      <c r="F575">
        <v>3</v>
      </c>
      <c r="G575">
        <v>18594.84</v>
      </c>
      <c r="H575">
        <v>55784.52</v>
      </c>
      <c r="I575" t="s">
        <v>13</v>
      </c>
      <c r="J575" t="s">
        <v>35</v>
      </c>
    </row>
    <row r="576" spans="1:10" x14ac:dyDescent="0.35">
      <c r="A576" t="s">
        <v>1257</v>
      </c>
      <c r="B576" t="s">
        <v>1252</v>
      </c>
      <c r="C576" t="str">
        <f>TEXT(Table1[[#This Row],[Order_Date]],"mmm")</f>
        <v>Apr</v>
      </c>
      <c r="D576" t="s">
        <v>1258</v>
      </c>
      <c r="E576" t="s">
        <v>32</v>
      </c>
      <c r="F576">
        <v>1</v>
      </c>
      <c r="G576">
        <v>16764.91</v>
      </c>
      <c r="H576">
        <v>16764.91</v>
      </c>
      <c r="I576" t="s">
        <v>23</v>
      </c>
      <c r="J576" t="s">
        <v>14</v>
      </c>
    </row>
    <row r="577" spans="1:10" x14ac:dyDescent="0.35">
      <c r="A577" t="s">
        <v>1259</v>
      </c>
      <c r="B577" t="s">
        <v>1252</v>
      </c>
      <c r="C577" t="str">
        <f>TEXT(Table1[[#This Row],[Order_Date]],"mmm")</f>
        <v>Apr</v>
      </c>
      <c r="D577" t="s">
        <v>1260</v>
      </c>
      <c r="E577" t="s">
        <v>75</v>
      </c>
      <c r="F577">
        <v>1</v>
      </c>
      <c r="G577">
        <v>46913.86</v>
      </c>
      <c r="H577">
        <v>46913.86</v>
      </c>
      <c r="I577" t="s">
        <v>23</v>
      </c>
      <c r="J577" t="s">
        <v>19</v>
      </c>
    </row>
    <row r="578" spans="1:10" x14ac:dyDescent="0.35">
      <c r="A578" t="s">
        <v>1261</v>
      </c>
      <c r="B578" t="s">
        <v>1252</v>
      </c>
      <c r="C578" t="str">
        <f>TEXT(Table1[[#This Row],[Order_Date]],"mmm")</f>
        <v>Apr</v>
      </c>
      <c r="D578" t="s">
        <v>1262</v>
      </c>
      <c r="E578" t="s">
        <v>75</v>
      </c>
      <c r="F578">
        <v>3</v>
      </c>
      <c r="G578">
        <v>21172.29</v>
      </c>
      <c r="H578">
        <v>63516.87</v>
      </c>
      <c r="I578" t="s">
        <v>13</v>
      </c>
      <c r="J578" t="s">
        <v>19</v>
      </c>
    </row>
    <row r="579" spans="1:10" x14ac:dyDescent="0.35">
      <c r="A579" t="s">
        <v>1263</v>
      </c>
      <c r="B579" t="s">
        <v>1252</v>
      </c>
      <c r="C579" t="str">
        <f>TEXT(Table1[[#This Row],[Order_Date]],"mmm")</f>
        <v>Apr</v>
      </c>
      <c r="D579" t="s">
        <v>1264</v>
      </c>
      <c r="E579" t="s">
        <v>72</v>
      </c>
      <c r="F579">
        <v>2</v>
      </c>
      <c r="G579">
        <v>35539.5</v>
      </c>
      <c r="H579">
        <v>71079</v>
      </c>
      <c r="I579" t="s">
        <v>13</v>
      </c>
      <c r="J579" t="s">
        <v>19</v>
      </c>
    </row>
    <row r="580" spans="1:10" x14ac:dyDescent="0.35">
      <c r="A580" t="s">
        <v>1265</v>
      </c>
      <c r="B580" t="s">
        <v>1266</v>
      </c>
      <c r="C580" t="str">
        <f>TEXT(Table1[[#This Row],[Order_Date]],"mmm")</f>
        <v>Apr</v>
      </c>
      <c r="D580" t="s">
        <v>1267</v>
      </c>
      <c r="E580" t="s">
        <v>12</v>
      </c>
      <c r="F580">
        <v>1</v>
      </c>
      <c r="G580">
        <v>22364.54</v>
      </c>
      <c r="H580">
        <v>22364.54</v>
      </c>
      <c r="I580" t="s">
        <v>18</v>
      </c>
      <c r="J580" t="s">
        <v>14</v>
      </c>
    </row>
    <row r="581" spans="1:10" x14ac:dyDescent="0.35">
      <c r="A581" t="s">
        <v>1268</v>
      </c>
      <c r="B581" t="s">
        <v>1266</v>
      </c>
      <c r="C581" t="str">
        <f>TEXT(Table1[[#This Row],[Order_Date]],"mmm")</f>
        <v>Apr</v>
      </c>
      <c r="D581" t="s">
        <v>1269</v>
      </c>
      <c r="E581" t="s">
        <v>47</v>
      </c>
      <c r="F581">
        <v>4</v>
      </c>
      <c r="G581">
        <v>33480.379999999997</v>
      </c>
      <c r="H581">
        <v>133921.51999999999</v>
      </c>
      <c r="I581" t="s">
        <v>23</v>
      </c>
      <c r="J581" t="s">
        <v>14</v>
      </c>
    </row>
    <row r="582" spans="1:10" x14ac:dyDescent="0.35">
      <c r="A582" t="s">
        <v>1270</v>
      </c>
      <c r="B582" t="s">
        <v>1266</v>
      </c>
      <c r="C582" t="str">
        <f>TEXT(Table1[[#This Row],[Order_Date]],"mmm")</f>
        <v>Apr</v>
      </c>
      <c r="D582" t="s">
        <v>1271</v>
      </c>
      <c r="E582" t="s">
        <v>56</v>
      </c>
      <c r="F582">
        <v>5</v>
      </c>
      <c r="G582">
        <v>49320.56</v>
      </c>
      <c r="H582">
        <v>246602.8</v>
      </c>
      <c r="I582" t="s">
        <v>13</v>
      </c>
      <c r="J582" t="s">
        <v>35</v>
      </c>
    </row>
    <row r="583" spans="1:10" x14ac:dyDescent="0.35">
      <c r="A583" t="s">
        <v>1272</v>
      </c>
      <c r="B583" t="s">
        <v>1273</v>
      </c>
      <c r="C583" t="str">
        <f>TEXT(Table1[[#This Row],[Order_Date]],"mmm")</f>
        <v>Apr</v>
      </c>
      <c r="D583" t="s">
        <v>1274</v>
      </c>
      <c r="E583" t="s">
        <v>32</v>
      </c>
      <c r="F583">
        <v>5</v>
      </c>
      <c r="G583">
        <v>26142.52</v>
      </c>
      <c r="H583">
        <v>130712.6</v>
      </c>
      <c r="I583" t="s">
        <v>18</v>
      </c>
      <c r="J583" t="s">
        <v>19</v>
      </c>
    </row>
    <row r="584" spans="1:10" x14ac:dyDescent="0.35">
      <c r="A584" t="s">
        <v>1275</v>
      </c>
      <c r="B584" t="s">
        <v>1273</v>
      </c>
      <c r="C584" t="str">
        <f>TEXT(Table1[[#This Row],[Order_Date]],"mmm")</f>
        <v>Apr</v>
      </c>
      <c r="D584" t="s">
        <v>1276</v>
      </c>
      <c r="E584" t="s">
        <v>72</v>
      </c>
      <c r="F584">
        <v>2</v>
      </c>
      <c r="G584">
        <v>22988.62</v>
      </c>
      <c r="H584">
        <v>45977.24</v>
      </c>
      <c r="I584" t="s">
        <v>18</v>
      </c>
      <c r="J584" t="s">
        <v>24</v>
      </c>
    </row>
    <row r="585" spans="1:10" x14ac:dyDescent="0.35">
      <c r="A585" t="s">
        <v>1277</v>
      </c>
      <c r="B585" t="s">
        <v>1273</v>
      </c>
      <c r="C585" t="str">
        <f>TEXT(Table1[[#This Row],[Order_Date]],"mmm")</f>
        <v>Apr</v>
      </c>
      <c r="D585" t="s">
        <v>1278</v>
      </c>
      <c r="E585" t="s">
        <v>22</v>
      </c>
      <c r="F585">
        <v>1</v>
      </c>
      <c r="G585">
        <v>23903.040000000001</v>
      </c>
      <c r="H585">
        <v>23903.040000000001</v>
      </c>
      <c r="I585" t="s">
        <v>42</v>
      </c>
      <c r="J585" t="s">
        <v>14</v>
      </c>
    </row>
    <row r="586" spans="1:10" x14ac:dyDescent="0.35">
      <c r="A586" t="s">
        <v>1279</v>
      </c>
      <c r="B586" t="s">
        <v>1280</v>
      </c>
      <c r="C586" t="str">
        <f>TEXT(Table1[[#This Row],[Order_Date]],"mmm")</f>
        <v>Apr</v>
      </c>
      <c r="D586" t="s">
        <v>1281</v>
      </c>
      <c r="E586" t="s">
        <v>32</v>
      </c>
      <c r="F586">
        <v>3</v>
      </c>
      <c r="G586">
        <v>17197.37</v>
      </c>
      <c r="H586">
        <v>51592.11</v>
      </c>
      <c r="I586" t="s">
        <v>23</v>
      </c>
      <c r="J586" t="s">
        <v>24</v>
      </c>
    </row>
    <row r="587" spans="1:10" x14ac:dyDescent="0.35">
      <c r="A587" t="s">
        <v>1282</v>
      </c>
      <c r="B587" t="s">
        <v>1280</v>
      </c>
      <c r="C587" t="str">
        <f>TEXT(Table1[[#This Row],[Order_Date]],"mmm")</f>
        <v>Apr</v>
      </c>
      <c r="D587" t="s">
        <v>1283</v>
      </c>
      <c r="E587" t="s">
        <v>38</v>
      </c>
      <c r="F587">
        <v>2</v>
      </c>
      <c r="G587">
        <v>48716.99</v>
      </c>
      <c r="H587">
        <v>97433.98</v>
      </c>
      <c r="I587" t="s">
        <v>13</v>
      </c>
      <c r="J587" t="s">
        <v>35</v>
      </c>
    </row>
    <row r="588" spans="1:10" x14ac:dyDescent="0.35">
      <c r="A588" t="s">
        <v>1284</v>
      </c>
      <c r="B588" t="s">
        <v>1280</v>
      </c>
      <c r="C588" t="str">
        <f>TEXT(Table1[[#This Row],[Order_Date]],"mmm")</f>
        <v>Apr</v>
      </c>
      <c r="D588" t="s">
        <v>1285</v>
      </c>
      <c r="E588" t="s">
        <v>47</v>
      </c>
      <c r="F588">
        <v>1</v>
      </c>
      <c r="G588">
        <v>564.32000000000005</v>
      </c>
      <c r="H588">
        <v>564.32000000000005</v>
      </c>
      <c r="I588" t="s">
        <v>13</v>
      </c>
      <c r="J588" t="s">
        <v>24</v>
      </c>
    </row>
    <row r="589" spans="1:10" x14ac:dyDescent="0.35">
      <c r="A589" t="s">
        <v>1286</v>
      </c>
      <c r="B589" t="s">
        <v>1280</v>
      </c>
      <c r="C589" t="str">
        <f>TEXT(Table1[[#This Row],[Order_Date]],"mmm")</f>
        <v>Apr</v>
      </c>
      <c r="D589" t="s">
        <v>1287</v>
      </c>
      <c r="E589" t="s">
        <v>32</v>
      </c>
      <c r="F589">
        <v>2</v>
      </c>
      <c r="G589">
        <v>13759.97</v>
      </c>
      <c r="H589">
        <v>27519.94</v>
      </c>
      <c r="I589" t="s">
        <v>42</v>
      </c>
      <c r="J589" t="s">
        <v>35</v>
      </c>
    </row>
    <row r="590" spans="1:10" x14ac:dyDescent="0.35">
      <c r="A590" t="s">
        <v>1288</v>
      </c>
      <c r="B590" t="s">
        <v>1289</v>
      </c>
      <c r="C590" t="str">
        <f>TEXT(Table1[[#This Row],[Order_Date]],"mmm")</f>
        <v>Apr</v>
      </c>
      <c r="D590" t="s">
        <v>1290</v>
      </c>
      <c r="E590" t="s">
        <v>56</v>
      </c>
      <c r="F590">
        <v>5</v>
      </c>
      <c r="G590">
        <v>28323.56</v>
      </c>
      <c r="H590">
        <v>141617.79999999999</v>
      </c>
      <c r="I590" t="s">
        <v>13</v>
      </c>
      <c r="J590" t="s">
        <v>14</v>
      </c>
    </row>
    <row r="591" spans="1:10" x14ac:dyDescent="0.35">
      <c r="A591" t="s">
        <v>1291</v>
      </c>
      <c r="B591" t="s">
        <v>1289</v>
      </c>
      <c r="C591" t="str">
        <f>TEXT(Table1[[#This Row],[Order_Date]],"mmm")</f>
        <v>Apr</v>
      </c>
      <c r="D591" t="s">
        <v>1292</v>
      </c>
      <c r="E591" t="s">
        <v>22</v>
      </c>
      <c r="F591">
        <v>4</v>
      </c>
      <c r="G591">
        <v>37300.31</v>
      </c>
      <c r="H591">
        <v>149201.24</v>
      </c>
      <c r="I591" t="s">
        <v>23</v>
      </c>
      <c r="J591" t="s">
        <v>35</v>
      </c>
    </row>
    <row r="592" spans="1:10" x14ac:dyDescent="0.35">
      <c r="A592" t="s">
        <v>1293</v>
      </c>
      <c r="B592" t="s">
        <v>1289</v>
      </c>
      <c r="C592" t="str">
        <f>TEXT(Table1[[#This Row],[Order_Date]],"mmm")</f>
        <v>Apr</v>
      </c>
      <c r="D592" t="s">
        <v>1294</v>
      </c>
      <c r="E592" t="s">
        <v>32</v>
      </c>
      <c r="F592">
        <v>2</v>
      </c>
      <c r="G592">
        <v>41908.28</v>
      </c>
      <c r="H592">
        <v>83816.56</v>
      </c>
      <c r="I592" t="s">
        <v>23</v>
      </c>
      <c r="J592" t="s">
        <v>14</v>
      </c>
    </row>
    <row r="593" spans="1:10" x14ac:dyDescent="0.35">
      <c r="A593" t="s">
        <v>1295</v>
      </c>
      <c r="B593" t="s">
        <v>1289</v>
      </c>
      <c r="C593" t="str">
        <f>TEXT(Table1[[#This Row],[Order_Date]],"mmm")</f>
        <v>Apr</v>
      </c>
      <c r="D593" t="s">
        <v>1296</v>
      </c>
      <c r="E593" t="s">
        <v>38</v>
      </c>
      <c r="F593">
        <v>1</v>
      </c>
      <c r="G593">
        <v>24403.97</v>
      </c>
      <c r="H593">
        <v>24403.97</v>
      </c>
      <c r="I593" t="s">
        <v>13</v>
      </c>
      <c r="J593" t="s">
        <v>35</v>
      </c>
    </row>
    <row r="594" spans="1:10" x14ac:dyDescent="0.35">
      <c r="A594" t="s">
        <v>1297</v>
      </c>
      <c r="B594" t="s">
        <v>1289</v>
      </c>
      <c r="C594" t="str">
        <f>TEXT(Table1[[#This Row],[Order_Date]],"mmm")</f>
        <v>Apr</v>
      </c>
      <c r="D594" t="s">
        <v>1298</v>
      </c>
      <c r="E594" t="s">
        <v>72</v>
      </c>
      <c r="F594">
        <v>5</v>
      </c>
      <c r="G594">
        <v>4704.3</v>
      </c>
      <c r="H594">
        <v>23521.5</v>
      </c>
      <c r="I594" t="s">
        <v>18</v>
      </c>
      <c r="J594" t="s">
        <v>24</v>
      </c>
    </row>
    <row r="595" spans="1:10" x14ac:dyDescent="0.35">
      <c r="A595" t="s">
        <v>1299</v>
      </c>
      <c r="B595" t="s">
        <v>1289</v>
      </c>
      <c r="C595" t="str">
        <f>TEXT(Table1[[#This Row],[Order_Date]],"mmm")</f>
        <v>Apr</v>
      </c>
      <c r="D595" t="s">
        <v>1300</v>
      </c>
      <c r="E595" t="s">
        <v>56</v>
      </c>
      <c r="F595">
        <v>5</v>
      </c>
      <c r="G595">
        <v>46895.16</v>
      </c>
      <c r="H595">
        <v>234475.8</v>
      </c>
      <c r="I595" t="s">
        <v>18</v>
      </c>
      <c r="J595" t="s">
        <v>19</v>
      </c>
    </row>
    <row r="596" spans="1:10" x14ac:dyDescent="0.35">
      <c r="A596" t="s">
        <v>1301</v>
      </c>
      <c r="B596" t="s">
        <v>1289</v>
      </c>
      <c r="C596" t="str">
        <f>TEXT(Table1[[#This Row],[Order_Date]],"mmm")</f>
        <v>Apr</v>
      </c>
      <c r="D596" t="s">
        <v>1302</v>
      </c>
      <c r="E596" t="s">
        <v>32</v>
      </c>
      <c r="F596">
        <v>1</v>
      </c>
      <c r="G596">
        <v>9018.86</v>
      </c>
      <c r="H596">
        <v>9018.86</v>
      </c>
      <c r="I596" t="s">
        <v>13</v>
      </c>
      <c r="J596" t="s">
        <v>24</v>
      </c>
    </row>
    <row r="597" spans="1:10" x14ac:dyDescent="0.35">
      <c r="A597" t="s">
        <v>1303</v>
      </c>
      <c r="B597" t="s">
        <v>1289</v>
      </c>
      <c r="C597" t="str">
        <f>TEXT(Table1[[#This Row],[Order_Date]],"mmm")</f>
        <v>Apr</v>
      </c>
      <c r="D597" t="s">
        <v>1304</v>
      </c>
      <c r="E597" t="s">
        <v>22</v>
      </c>
      <c r="F597">
        <v>1</v>
      </c>
      <c r="G597">
        <v>8724.24</v>
      </c>
      <c r="H597">
        <v>8724.24</v>
      </c>
      <c r="I597" t="s">
        <v>18</v>
      </c>
      <c r="J597" t="s">
        <v>19</v>
      </c>
    </row>
    <row r="598" spans="1:10" x14ac:dyDescent="0.35">
      <c r="A598" t="s">
        <v>1305</v>
      </c>
      <c r="B598" t="s">
        <v>1306</v>
      </c>
      <c r="C598" t="str">
        <f>TEXT(Table1[[#This Row],[Order_Date]],"mmm")</f>
        <v>Apr</v>
      </c>
      <c r="D598" t="s">
        <v>893</v>
      </c>
      <c r="E598" t="s">
        <v>75</v>
      </c>
      <c r="F598">
        <v>1</v>
      </c>
      <c r="G598">
        <v>6812.37</v>
      </c>
      <c r="H598">
        <v>6812.37</v>
      </c>
      <c r="I598" t="s">
        <v>13</v>
      </c>
      <c r="J598" t="s">
        <v>14</v>
      </c>
    </row>
    <row r="599" spans="1:10" x14ac:dyDescent="0.35">
      <c r="A599" t="s">
        <v>1307</v>
      </c>
      <c r="B599" t="s">
        <v>1306</v>
      </c>
      <c r="C599" t="str">
        <f>TEXT(Table1[[#This Row],[Order_Date]],"mmm")</f>
        <v>Apr</v>
      </c>
      <c r="D599" t="s">
        <v>1308</v>
      </c>
      <c r="E599" t="s">
        <v>38</v>
      </c>
      <c r="F599">
        <v>5</v>
      </c>
      <c r="G599">
        <v>11288.48</v>
      </c>
      <c r="H599">
        <v>56442.400000000001</v>
      </c>
      <c r="I599" t="s">
        <v>23</v>
      </c>
      <c r="J599" t="s">
        <v>35</v>
      </c>
    </row>
    <row r="600" spans="1:10" x14ac:dyDescent="0.35">
      <c r="A600" t="s">
        <v>1309</v>
      </c>
      <c r="B600" t="s">
        <v>1306</v>
      </c>
      <c r="C600" t="str">
        <f>TEXT(Table1[[#This Row],[Order_Date]],"mmm")</f>
        <v>Apr</v>
      </c>
      <c r="D600" t="s">
        <v>1310</v>
      </c>
      <c r="E600" t="s">
        <v>56</v>
      </c>
      <c r="F600">
        <v>2</v>
      </c>
      <c r="G600">
        <v>5652.53</v>
      </c>
      <c r="H600">
        <v>11305.06</v>
      </c>
      <c r="I600" t="s">
        <v>23</v>
      </c>
      <c r="J600" t="s">
        <v>35</v>
      </c>
    </row>
    <row r="601" spans="1:10" x14ac:dyDescent="0.35">
      <c r="A601" t="s">
        <v>1311</v>
      </c>
      <c r="B601" t="s">
        <v>1306</v>
      </c>
      <c r="C601" t="str">
        <f>TEXT(Table1[[#This Row],[Order_Date]],"mmm")</f>
        <v>Apr</v>
      </c>
      <c r="D601" t="s">
        <v>1312</v>
      </c>
      <c r="E601" t="s">
        <v>47</v>
      </c>
      <c r="F601">
        <v>3</v>
      </c>
      <c r="G601">
        <v>42988.11</v>
      </c>
      <c r="H601">
        <v>128964.33</v>
      </c>
      <c r="I601" t="s">
        <v>18</v>
      </c>
      <c r="J601" t="s">
        <v>24</v>
      </c>
    </row>
    <row r="602" spans="1:10" x14ac:dyDescent="0.35">
      <c r="A602" t="s">
        <v>1313</v>
      </c>
      <c r="B602" t="s">
        <v>1306</v>
      </c>
      <c r="C602" t="str">
        <f>TEXT(Table1[[#This Row],[Order_Date]],"mmm")</f>
        <v>Apr</v>
      </c>
      <c r="D602" t="s">
        <v>1314</v>
      </c>
      <c r="E602" t="s">
        <v>47</v>
      </c>
      <c r="F602">
        <v>2</v>
      </c>
      <c r="G602">
        <v>41036.269999999997</v>
      </c>
      <c r="H602">
        <v>82072.539999999994</v>
      </c>
      <c r="I602" t="s">
        <v>18</v>
      </c>
      <c r="J602" t="s">
        <v>19</v>
      </c>
    </row>
    <row r="603" spans="1:10" x14ac:dyDescent="0.35">
      <c r="A603" t="s">
        <v>1315</v>
      </c>
      <c r="B603" t="s">
        <v>1306</v>
      </c>
      <c r="C603" t="str">
        <f>TEXT(Table1[[#This Row],[Order_Date]],"mmm")</f>
        <v>Apr</v>
      </c>
      <c r="D603" t="s">
        <v>1316</v>
      </c>
      <c r="E603" t="s">
        <v>72</v>
      </c>
      <c r="F603">
        <v>3</v>
      </c>
      <c r="G603">
        <v>33839.040000000001</v>
      </c>
      <c r="H603">
        <v>101517.12</v>
      </c>
      <c r="I603" t="s">
        <v>42</v>
      </c>
      <c r="J603" t="s">
        <v>35</v>
      </c>
    </row>
    <row r="604" spans="1:10" x14ac:dyDescent="0.35">
      <c r="A604" t="s">
        <v>1317</v>
      </c>
      <c r="B604" t="s">
        <v>1318</v>
      </c>
      <c r="C604" t="str">
        <f>TEXT(Table1[[#This Row],[Order_Date]],"mmm")</f>
        <v>Apr</v>
      </c>
      <c r="D604" t="s">
        <v>1319</v>
      </c>
      <c r="E604" t="s">
        <v>32</v>
      </c>
      <c r="F604">
        <v>3</v>
      </c>
      <c r="G604">
        <v>24802.81</v>
      </c>
      <c r="H604">
        <v>74408.429999999993</v>
      </c>
      <c r="I604" t="s">
        <v>13</v>
      </c>
      <c r="J604" t="s">
        <v>24</v>
      </c>
    </row>
    <row r="605" spans="1:10" x14ac:dyDescent="0.35">
      <c r="A605" t="s">
        <v>1320</v>
      </c>
      <c r="B605" t="s">
        <v>1318</v>
      </c>
      <c r="C605" t="str">
        <f>TEXT(Table1[[#This Row],[Order_Date]],"mmm")</f>
        <v>Apr</v>
      </c>
      <c r="D605" t="s">
        <v>1321</v>
      </c>
      <c r="E605" t="s">
        <v>72</v>
      </c>
      <c r="F605">
        <v>1</v>
      </c>
      <c r="G605">
        <v>49568.83</v>
      </c>
      <c r="H605">
        <v>49568.83</v>
      </c>
      <c r="I605" t="s">
        <v>42</v>
      </c>
      <c r="J605" t="s">
        <v>35</v>
      </c>
    </row>
    <row r="606" spans="1:10" x14ac:dyDescent="0.35">
      <c r="A606" t="s">
        <v>1322</v>
      </c>
      <c r="B606" t="s">
        <v>1318</v>
      </c>
      <c r="C606" t="str">
        <f>TEXT(Table1[[#This Row],[Order_Date]],"mmm")</f>
        <v>Apr</v>
      </c>
      <c r="D606" t="s">
        <v>1323</v>
      </c>
      <c r="E606" t="s">
        <v>38</v>
      </c>
      <c r="F606">
        <v>1</v>
      </c>
      <c r="G606">
        <v>19276.38</v>
      </c>
      <c r="H606">
        <v>19276.38</v>
      </c>
      <c r="I606" t="s">
        <v>13</v>
      </c>
      <c r="J606" t="s">
        <v>24</v>
      </c>
    </row>
    <row r="607" spans="1:10" x14ac:dyDescent="0.35">
      <c r="A607" t="s">
        <v>1324</v>
      </c>
      <c r="B607" t="s">
        <v>1325</v>
      </c>
      <c r="C607" t="str">
        <f>TEXT(Table1[[#This Row],[Order_Date]],"mmm")</f>
        <v>Apr</v>
      </c>
      <c r="D607" t="s">
        <v>1326</v>
      </c>
      <c r="E607" t="s">
        <v>53</v>
      </c>
      <c r="F607">
        <v>2</v>
      </c>
      <c r="G607">
        <v>15036.2</v>
      </c>
      <c r="H607">
        <v>30072.400000000001</v>
      </c>
      <c r="I607" t="s">
        <v>23</v>
      </c>
      <c r="J607" t="s">
        <v>24</v>
      </c>
    </row>
    <row r="608" spans="1:10" x14ac:dyDescent="0.35">
      <c r="A608" t="s">
        <v>1327</v>
      </c>
      <c r="B608" t="s">
        <v>1325</v>
      </c>
      <c r="C608" t="str">
        <f>TEXT(Table1[[#This Row],[Order_Date]],"mmm")</f>
        <v>Apr</v>
      </c>
      <c r="D608" t="s">
        <v>1328</v>
      </c>
      <c r="E608" t="s">
        <v>47</v>
      </c>
      <c r="F608">
        <v>3</v>
      </c>
      <c r="G608">
        <v>20583.59</v>
      </c>
      <c r="H608">
        <v>61750.77</v>
      </c>
      <c r="I608" t="s">
        <v>18</v>
      </c>
      <c r="J608" t="s">
        <v>14</v>
      </c>
    </row>
    <row r="609" spans="1:10" x14ac:dyDescent="0.35">
      <c r="A609" t="s">
        <v>1329</v>
      </c>
      <c r="B609" t="s">
        <v>1325</v>
      </c>
      <c r="C609" t="str">
        <f>TEXT(Table1[[#This Row],[Order_Date]],"mmm")</f>
        <v>Apr</v>
      </c>
      <c r="D609" t="s">
        <v>1330</v>
      </c>
      <c r="E609" t="s">
        <v>12</v>
      </c>
      <c r="F609">
        <v>5</v>
      </c>
      <c r="G609">
        <v>42335.1</v>
      </c>
      <c r="H609">
        <v>211675.5</v>
      </c>
      <c r="I609" t="s">
        <v>13</v>
      </c>
      <c r="J609" t="s">
        <v>19</v>
      </c>
    </row>
    <row r="610" spans="1:10" x14ac:dyDescent="0.35">
      <c r="A610" t="s">
        <v>1331</v>
      </c>
      <c r="B610" t="s">
        <v>1325</v>
      </c>
      <c r="C610" t="str">
        <f>TEXT(Table1[[#This Row],[Order_Date]],"mmm")</f>
        <v>Apr</v>
      </c>
      <c r="D610" t="s">
        <v>513</v>
      </c>
      <c r="E610" t="s">
        <v>38</v>
      </c>
      <c r="F610">
        <v>2</v>
      </c>
      <c r="G610">
        <v>49667.42</v>
      </c>
      <c r="H610">
        <v>99334.84</v>
      </c>
      <c r="I610" t="s">
        <v>13</v>
      </c>
      <c r="J610" t="s">
        <v>35</v>
      </c>
    </row>
    <row r="611" spans="1:10" x14ac:dyDescent="0.35">
      <c r="A611" t="s">
        <v>1332</v>
      </c>
      <c r="B611" t="s">
        <v>1325</v>
      </c>
      <c r="C611" t="str">
        <f>TEXT(Table1[[#This Row],[Order_Date]],"mmm")</f>
        <v>Apr</v>
      </c>
      <c r="D611" t="s">
        <v>1333</v>
      </c>
      <c r="E611" t="s">
        <v>12</v>
      </c>
      <c r="F611">
        <v>1</v>
      </c>
      <c r="G611">
        <v>48414.94</v>
      </c>
      <c r="H611">
        <v>48414.94</v>
      </c>
      <c r="I611" t="s">
        <v>18</v>
      </c>
      <c r="J611" t="s">
        <v>14</v>
      </c>
    </row>
    <row r="612" spans="1:10" x14ac:dyDescent="0.35">
      <c r="A612" t="s">
        <v>1334</v>
      </c>
      <c r="B612" t="s">
        <v>1325</v>
      </c>
      <c r="C612" t="str">
        <f>TEXT(Table1[[#This Row],[Order_Date]],"mmm")</f>
        <v>Apr</v>
      </c>
      <c r="D612" t="s">
        <v>1335</v>
      </c>
      <c r="E612" t="s">
        <v>53</v>
      </c>
      <c r="F612">
        <v>3</v>
      </c>
      <c r="G612">
        <v>29603.37</v>
      </c>
      <c r="H612">
        <v>88810.11</v>
      </c>
      <c r="I612" t="s">
        <v>13</v>
      </c>
      <c r="J612" t="s">
        <v>24</v>
      </c>
    </row>
    <row r="613" spans="1:10" x14ac:dyDescent="0.35">
      <c r="A613" t="s">
        <v>1336</v>
      </c>
      <c r="B613" t="s">
        <v>1325</v>
      </c>
      <c r="C613" t="str">
        <f>TEXT(Table1[[#This Row],[Order_Date]],"mmm")</f>
        <v>Apr</v>
      </c>
      <c r="D613" t="s">
        <v>1337</v>
      </c>
      <c r="E613" t="s">
        <v>17</v>
      </c>
      <c r="F613">
        <v>3</v>
      </c>
      <c r="G613">
        <v>46916.76</v>
      </c>
      <c r="H613">
        <v>140750.28</v>
      </c>
      <c r="I613" t="s">
        <v>18</v>
      </c>
      <c r="J613" t="s">
        <v>24</v>
      </c>
    </row>
    <row r="614" spans="1:10" x14ac:dyDescent="0.35">
      <c r="A614" t="s">
        <v>1338</v>
      </c>
      <c r="B614" t="s">
        <v>1339</v>
      </c>
      <c r="C614" t="str">
        <f>TEXT(Table1[[#This Row],[Order_Date]],"mmm")</f>
        <v>Apr</v>
      </c>
      <c r="D614" t="s">
        <v>1340</v>
      </c>
      <c r="E614" t="s">
        <v>38</v>
      </c>
      <c r="F614">
        <v>4</v>
      </c>
      <c r="G614">
        <v>22799.11</v>
      </c>
      <c r="H614">
        <v>91196.44</v>
      </c>
      <c r="I614" t="s">
        <v>18</v>
      </c>
      <c r="J614" t="s">
        <v>35</v>
      </c>
    </row>
    <row r="615" spans="1:10" x14ac:dyDescent="0.35">
      <c r="A615" t="s">
        <v>1341</v>
      </c>
      <c r="B615" t="s">
        <v>1339</v>
      </c>
      <c r="C615" t="str">
        <f>TEXT(Table1[[#This Row],[Order_Date]],"mmm")</f>
        <v>Apr</v>
      </c>
      <c r="D615" t="s">
        <v>1342</v>
      </c>
      <c r="E615" t="s">
        <v>75</v>
      </c>
      <c r="F615">
        <v>4</v>
      </c>
      <c r="G615">
        <v>38340.71</v>
      </c>
      <c r="H615">
        <v>153362.84</v>
      </c>
      <c r="I615" t="s">
        <v>23</v>
      </c>
      <c r="J615" t="s">
        <v>35</v>
      </c>
    </row>
    <row r="616" spans="1:10" x14ac:dyDescent="0.35">
      <c r="A616" t="s">
        <v>1343</v>
      </c>
      <c r="B616" t="s">
        <v>1339</v>
      </c>
      <c r="C616" t="str">
        <f>TEXT(Table1[[#This Row],[Order_Date]],"mmm")</f>
        <v>Apr</v>
      </c>
      <c r="D616" t="s">
        <v>1344</v>
      </c>
      <c r="E616" t="s">
        <v>32</v>
      </c>
      <c r="F616">
        <v>3</v>
      </c>
      <c r="G616">
        <v>6778</v>
      </c>
      <c r="H616">
        <v>20334</v>
      </c>
      <c r="I616" t="s">
        <v>13</v>
      </c>
      <c r="J616" t="s">
        <v>19</v>
      </c>
    </row>
    <row r="617" spans="1:10" x14ac:dyDescent="0.35">
      <c r="A617" t="s">
        <v>1345</v>
      </c>
      <c r="B617" t="s">
        <v>1339</v>
      </c>
      <c r="C617" t="str">
        <f>TEXT(Table1[[#This Row],[Order_Date]],"mmm")</f>
        <v>Apr</v>
      </c>
      <c r="D617" t="s">
        <v>1346</v>
      </c>
      <c r="E617" t="s">
        <v>12</v>
      </c>
      <c r="F617">
        <v>5</v>
      </c>
      <c r="G617">
        <v>40787.370000000003</v>
      </c>
      <c r="H617">
        <v>203936.85</v>
      </c>
      <c r="I617" t="s">
        <v>23</v>
      </c>
      <c r="J617" t="s">
        <v>19</v>
      </c>
    </row>
    <row r="618" spans="1:10" x14ac:dyDescent="0.35">
      <c r="A618" t="s">
        <v>1347</v>
      </c>
      <c r="B618" t="s">
        <v>1339</v>
      </c>
      <c r="C618" t="str">
        <f>TEXT(Table1[[#This Row],[Order_Date]],"mmm")</f>
        <v>Apr</v>
      </c>
      <c r="D618" t="s">
        <v>1348</v>
      </c>
      <c r="E618" t="s">
        <v>72</v>
      </c>
      <c r="F618">
        <v>5</v>
      </c>
      <c r="G618">
        <v>19850.53</v>
      </c>
      <c r="H618">
        <v>99252.65</v>
      </c>
      <c r="I618" t="s">
        <v>42</v>
      </c>
      <c r="J618" t="s">
        <v>35</v>
      </c>
    </row>
    <row r="619" spans="1:10" x14ac:dyDescent="0.35">
      <c r="A619" t="s">
        <v>1349</v>
      </c>
      <c r="B619" t="s">
        <v>1339</v>
      </c>
      <c r="C619" t="str">
        <f>TEXT(Table1[[#This Row],[Order_Date]],"mmm")</f>
        <v>Apr</v>
      </c>
      <c r="D619" t="s">
        <v>1350</v>
      </c>
      <c r="E619" t="s">
        <v>22</v>
      </c>
      <c r="F619">
        <v>5</v>
      </c>
      <c r="G619">
        <v>25692.75</v>
      </c>
      <c r="H619">
        <v>128463.75</v>
      </c>
      <c r="I619" t="s">
        <v>23</v>
      </c>
      <c r="J619" t="s">
        <v>14</v>
      </c>
    </row>
    <row r="620" spans="1:10" x14ac:dyDescent="0.35">
      <c r="A620" t="s">
        <v>1351</v>
      </c>
      <c r="B620" t="s">
        <v>1339</v>
      </c>
      <c r="C620" t="str">
        <f>TEXT(Table1[[#This Row],[Order_Date]],"mmm")</f>
        <v>Apr</v>
      </c>
      <c r="D620" t="s">
        <v>1352</v>
      </c>
      <c r="E620" t="s">
        <v>53</v>
      </c>
      <c r="F620">
        <v>3</v>
      </c>
      <c r="G620">
        <v>41197.39</v>
      </c>
      <c r="H620">
        <v>123592.17</v>
      </c>
      <c r="I620" t="s">
        <v>13</v>
      </c>
      <c r="J620" t="s">
        <v>24</v>
      </c>
    </row>
    <row r="621" spans="1:10" x14ac:dyDescent="0.35">
      <c r="A621" t="s">
        <v>1353</v>
      </c>
      <c r="B621" t="s">
        <v>1354</v>
      </c>
      <c r="C621" t="str">
        <f>TEXT(Table1[[#This Row],[Order_Date]],"mmm")</f>
        <v>Apr</v>
      </c>
      <c r="D621" t="s">
        <v>1355</v>
      </c>
      <c r="E621" t="s">
        <v>32</v>
      </c>
      <c r="F621">
        <v>5</v>
      </c>
      <c r="G621">
        <v>4972.18</v>
      </c>
      <c r="H621">
        <v>24860.9</v>
      </c>
      <c r="I621" t="s">
        <v>13</v>
      </c>
      <c r="J621" t="s">
        <v>14</v>
      </c>
    </row>
    <row r="622" spans="1:10" x14ac:dyDescent="0.35">
      <c r="A622" t="s">
        <v>1356</v>
      </c>
      <c r="B622" t="s">
        <v>1354</v>
      </c>
      <c r="C622" t="str">
        <f>TEXT(Table1[[#This Row],[Order_Date]],"mmm")</f>
        <v>Apr</v>
      </c>
      <c r="D622" t="s">
        <v>1357</v>
      </c>
      <c r="E622" t="s">
        <v>22</v>
      </c>
      <c r="F622">
        <v>5</v>
      </c>
      <c r="G622">
        <v>25673.87</v>
      </c>
      <c r="H622">
        <v>128369.35</v>
      </c>
      <c r="I622" t="s">
        <v>42</v>
      </c>
      <c r="J622" t="s">
        <v>35</v>
      </c>
    </row>
    <row r="623" spans="1:10" x14ac:dyDescent="0.35">
      <c r="A623" t="s">
        <v>1358</v>
      </c>
      <c r="B623" t="s">
        <v>1354</v>
      </c>
      <c r="C623" t="str">
        <f>TEXT(Table1[[#This Row],[Order_Date]],"mmm")</f>
        <v>Apr</v>
      </c>
      <c r="D623" t="s">
        <v>1359</v>
      </c>
      <c r="E623" t="s">
        <v>47</v>
      </c>
      <c r="F623">
        <v>1</v>
      </c>
      <c r="G623">
        <v>35196.300000000003</v>
      </c>
      <c r="H623">
        <v>35196.300000000003</v>
      </c>
      <c r="I623" t="s">
        <v>23</v>
      </c>
      <c r="J623" t="s">
        <v>24</v>
      </c>
    </row>
    <row r="624" spans="1:10" x14ac:dyDescent="0.35">
      <c r="A624" t="s">
        <v>1360</v>
      </c>
      <c r="B624" t="s">
        <v>1354</v>
      </c>
      <c r="C624" t="str">
        <f>TEXT(Table1[[#This Row],[Order_Date]],"mmm")</f>
        <v>Apr</v>
      </c>
      <c r="D624" t="s">
        <v>1361</v>
      </c>
      <c r="E624" t="s">
        <v>32</v>
      </c>
      <c r="F624">
        <v>1</v>
      </c>
      <c r="G624">
        <v>29887.4</v>
      </c>
      <c r="H624">
        <v>29887.4</v>
      </c>
      <c r="I624" t="s">
        <v>42</v>
      </c>
      <c r="J624" t="s">
        <v>35</v>
      </c>
    </row>
    <row r="625" spans="1:10" x14ac:dyDescent="0.35">
      <c r="A625" t="s">
        <v>1362</v>
      </c>
      <c r="B625" t="s">
        <v>1363</v>
      </c>
      <c r="C625" t="str">
        <f>TEXT(Table1[[#This Row],[Order_Date]],"mmm")</f>
        <v>Apr</v>
      </c>
      <c r="D625" t="s">
        <v>1364</v>
      </c>
      <c r="E625" t="s">
        <v>72</v>
      </c>
      <c r="F625">
        <v>3</v>
      </c>
      <c r="G625">
        <v>34519.040000000001</v>
      </c>
      <c r="H625">
        <v>103557.12</v>
      </c>
      <c r="I625" t="s">
        <v>23</v>
      </c>
      <c r="J625" t="s">
        <v>35</v>
      </c>
    </row>
    <row r="626" spans="1:10" x14ac:dyDescent="0.35">
      <c r="A626" t="s">
        <v>1365</v>
      </c>
      <c r="B626" t="s">
        <v>1363</v>
      </c>
      <c r="C626" t="str">
        <f>TEXT(Table1[[#This Row],[Order_Date]],"mmm")</f>
        <v>Apr</v>
      </c>
      <c r="D626" t="s">
        <v>1366</v>
      </c>
      <c r="E626" t="s">
        <v>72</v>
      </c>
      <c r="F626">
        <v>3</v>
      </c>
      <c r="G626">
        <v>19103.11</v>
      </c>
      <c r="H626">
        <v>57309.33</v>
      </c>
      <c r="I626" t="s">
        <v>18</v>
      </c>
      <c r="J626" t="s">
        <v>24</v>
      </c>
    </row>
    <row r="627" spans="1:10" x14ac:dyDescent="0.35">
      <c r="A627" t="s">
        <v>1367</v>
      </c>
      <c r="B627" t="s">
        <v>1363</v>
      </c>
      <c r="C627" t="str">
        <f>TEXT(Table1[[#This Row],[Order_Date]],"mmm")</f>
        <v>Apr</v>
      </c>
      <c r="D627" t="s">
        <v>1368</v>
      </c>
      <c r="E627" t="s">
        <v>38</v>
      </c>
      <c r="F627">
        <v>3</v>
      </c>
      <c r="G627">
        <v>16254.98</v>
      </c>
      <c r="H627">
        <v>48764.94</v>
      </c>
      <c r="I627" t="s">
        <v>18</v>
      </c>
      <c r="J627" t="s">
        <v>35</v>
      </c>
    </row>
    <row r="628" spans="1:10" x14ac:dyDescent="0.35">
      <c r="A628" t="s">
        <v>1369</v>
      </c>
      <c r="B628" t="s">
        <v>1363</v>
      </c>
      <c r="C628" t="str">
        <f>TEXT(Table1[[#This Row],[Order_Date]],"mmm")</f>
        <v>Apr</v>
      </c>
      <c r="D628" t="s">
        <v>1370</v>
      </c>
      <c r="E628" t="s">
        <v>32</v>
      </c>
      <c r="F628">
        <v>2</v>
      </c>
      <c r="G628">
        <v>22179.26</v>
      </c>
      <c r="H628">
        <v>44358.52</v>
      </c>
      <c r="I628" t="s">
        <v>18</v>
      </c>
      <c r="J628" t="s">
        <v>14</v>
      </c>
    </row>
    <row r="629" spans="1:10" x14ac:dyDescent="0.35">
      <c r="A629" t="s">
        <v>1371</v>
      </c>
      <c r="B629" t="s">
        <v>1363</v>
      </c>
      <c r="C629" t="str">
        <f>TEXT(Table1[[#This Row],[Order_Date]],"mmm")</f>
        <v>Apr</v>
      </c>
      <c r="D629" t="s">
        <v>1372</v>
      </c>
      <c r="E629" t="s">
        <v>47</v>
      </c>
      <c r="F629">
        <v>4</v>
      </c>
      <c r="G629">
        <v>27230.91</v>
      </c>
      <c r="H629">
        <v>108923.64</v>
      </c>
      <c r="I629" t="s">
        <v>23</v>
      </c>
      <c r="J629" t="s">
        <v>19</v>
      </c>
    </row>
    <row r="630" spans="1:10" x14ac:dyDescent="0.35">
      <c r="A630" t="s">
        <v>1373</v>
      </c>
      <c r="B630" t="s">
        <v>1374</v>
      </c>
      <c r="C630" t="str">
        <f>TEXT(Table1[[#This Row],[Order_Date]],"mmm")</f>
        <v>Apr</v>
      </c>
      <c r="D630" t="s">
        <v>1375</v>
      </c>
      <c r="E630" t="s">
        <v>22</v>
      </c>
      <c r="F630">
        <v>4</v>
      </c>
      <c r="G630">
        <v>35528.47</v>
      </c>
      <c r="H630">
        <v>142113.88</v>
      </c>
      <c r="I630" t="s">
        <v>13</v>
      </c>
      <c r="J630" t="s">
        <v>19</v>
      </c>
    </row>
    <row r="631" spans="1:10" x14ac:dyDescent="0.35">
      <c r="A631" t="s">
        <v>1376</v>
      </c>
      <c r="B631" t="s">
        <v>1374</v>
      </c>
      <c r="C631" t="str">
        <f>TEXT(Table1[[#This Row],[Order_Date]],"mmm")</f>
        <v>Apr</v>
      </c>
      <c r="D631" t="s">
        <v>1377</v>
      </c>
      <c r="E631" t="s">
        <v>22</v>
      </c>
      <c r="F631">
        <v>1</v>
      </c>
      <c r="G631">
        <v>20835.13</v>
      </c>
      <c r="H631">
        <v>20835.13</v>
      </c>
      <c r="I631" t="s">
        <v>13</v>
      </c>
      <c r="J631" t="s">
        <v>24</v>
      </c>
    </row>
    <row r="632" spans="1:10" x14ac:dyDescent="0.35">
      <c r="A632" t="s">
        <v>1378</v>
      </c>
      <c r="B632" t="s">
        <v>1374</v>
      </c>
      <c r="C632" t="str">
        <f>TEXT(Table1[[#This Row],[Order_Date]],"mmm")</f>
        <v>Apr</v>
      </c>
      <c r="D632" t="s">
        <v>1379</v>
      </c>
      <c r="E632" t="s">
        <v>12</v>
      </c>
      <c r="F632">
        <v>1</v>
      </c>
      <c r="G632">
        <v>41003.480000000003</v>
      </c>
      <c r="H632">
        <v>41003.480000000003</v>
      </c>
      <c r="I632" t="s">
        <v>23</v>
      </c>
      <c r="J632" t="s">
        <v>14</v>
      </c>
    </row>
    <row r="633" spans="1:10" x14ac:dyDescent="0.35">
      <c r="A633" t="s">
        <v>1380</v>
      </c>
      <c r="B633" t="s">
        <v>1374</v>
      </c>
      <c r="C633" t="str">
        <f>TEXT(Table1[[#This Row],[Order_Date]],"mmm")</f>
        <v>Apr</v>
      </c>
      <c r="D633" t="s">
        <v>1381</v>
      </c>
      <c r="E633" t="s">
        <v>72</v>
      </c>
      <c r="F633">
        <v>1</v>
      </c>
      <c r="G633">
        <v>9140.5300000000007</v>
      </c>
      <c r="H633">
        <v>9140.5300000000007</v>
      </c>
      <c r="I633" t="s">
        <v>42</v>
      </c>
      <c r="J633" t="s">
        <v>24</v>
      </c>
    </row>
    <row r="634" spans="1:10" x14ac:dyDescent="0.35">
      <c r="A634" t="s">
        <v>1382</v>
      </c>
      <c r="B634" t="s">
        <v>1374</v>
      </c>
      <c r="C634" t="str">
        <f>TEXT(Table1[[#This Row],[Order_Date]],"mmm")</f>
        <v>Apr</v>
      </c>
      <c r="D634" t="s">
        <v>1383</v>
      </c>
      <c r="E634" t="s">
        <v>38</v>
      </c>
      <c r="F634">
        <v>1</v>
      </c>
      <c r="G634">
        <v>18238.330000000002</v>
      </c>
      <c r="H634">
        <v>18238.330000000002</v>
      </c>
      <c r="I634" t="s">
        <v>42</v>
      </c>
      <c r="J634" t="s">
        <v>19</v>
      </c>
    </row>
    <row r="635" spans="1:10" x14ac:dyDescent="0.35">
      <c r="A635" t="s">
        <v>1384</v>
      </c>
      <c r="B635" t="s">
        <v>1374</v>
      </c>
      <c r="C635" t="str">
        <f>TEXT(Table1[[#This Row],[Order_Date]],"mmm")</f>
        <v>Apr</v>
      </c>
      <c r="D635" t="s">
        <v>1385</v>
      </c>
      <c r="E635" t="s">
        <v>22</v>
      </c>
      <c r="F635">
        <v>2</v>
      </c>
      <c r="G635">
        <v>36743.31</v>
      </c>
      <c r="H635">
        <v>73486.62</v>
      </c>
      <c r="I635" t="s">
        <v>23</v>
      </c>
      <c r="J635" t="s">
        <v>14</v>
      </c>
    </row>
    <row r="636" spans="1:10" x14ac:dyDescent="0.35">
      <c r="A636" t="s">
        <v>1386</v>
      </c>
      <c r="B636" t="s">
        <v>1374</v>
      </c>
      <c r="C636" t="str">
        <f>TEXT(Table1[[#This Row],[Order_Date]],"mmm")</f>
        <v>Apr</v>
      </c>
      <c r="D636" t="s">
        <v>1228</v>
      </c>
      <c r="E636" t="s">
        <v>38</v>
      </c>
      <c r="F636">
        <v>1</v>
      </c>
      <c r="G636">
        <v>32143.51</v>
      </c>
      <c r="H636">
        <v>32143.51</v>
      </c>
      <c r="I636" t="s">
        <v>18</v>
      </c>
      <c r="J636" t="s">
        <v>19</v>
      </c>
    </row>
    <row r="637" spans="1:10" x14ac:dyDescent="0.35">
      <c r="A637" t="s">
        <v>1387</v>
      </c>
      <c r="B637" t="s">
        <v>1388</v>
      </c>
      <c r="C637" t="str">
        <f>TEXT(Table1[[#This Row],[Order_Date]],"mmm")</f>
        <v>Apr</v>
      </c>
      <c r="D637" t="s">
        <v>1389</v>
      </c>
      <c r="E637" t="s">
        <v>17</v>
      </c>
      <c r="F637">
        <v>3</v>
      </c>
      <c r="G637">
        <v>36889.19</v>
      </c>
      <c r="H637">
        <v>110667.57</v>
      </c>
      <c r="I637" t="s">
        <v>42</v>
      </c>
      <c r="J637" t="s">
        <v>19</v>
      </c>
    </row>
    <row r="638" spans="1:10" x14ac:dyDescent="0.35">
      <c r="A638" t="s">
        <v>1390</v>
      </c>
      <c r="B638" t="s">
        <v>1388</v>
      </c>
      <c r="C638" t="str">
        <f>TEXT(Table1[[#This Row],[Order_Date]],"mmm")</f>
        <v>Apr</v>
      </c>
      <c r="D638" t="s">
        <v>1391</v>
      </c>
      <c r="E638" t="s">
        <v>32</v>
      </c>
      <c r="F638">
        <v>3</v>
      </c>
      <c r="G638">
        <v>25125.55</v>
      </c>
      <c r="H638">
        <v>75376.649999999994</v>
      </c>
      <c r="I638" t="s">
        <v>13</v>
      </c>
      <c r="J638" t="s">
        <v>35</v>
      </c>
    </row>
    <row r="639" spans="1:10" x14ac:dyDescent="0.35">
      <c r="A639" t="s">
        <v>1392</v>
      </c>
      <c r="B639" t="s">
        <v>1388</v>
      </c>
      <c r="C639" t="str">
        <f>TEXT(Table1[[#This Row],[Order_Date]],"mmm")</f>
        <v>Apr</v>
      </c>
      <c r="D639" t="s">
        <v>1393</v>
      </c>
      <c r="E639" t="s">
        <v>75</v>
      </c>
      <c r="F639">
        <v>2</v>
      </c>
      <c r="G639">
        <v>47163.05</v>
      </c>
      <c r="H639">
        <v>94326.1</v>
      </c>
      <c r="I639" t="s">
        <v>42</v>
      </c>
      <c r="J639" t="s">
        <v>19</v>
      </c>
    </row>
    <row r="640" spans="1:10" x14ac:dyDescent="0.35">
      <c r="A640" t="s">
        <v>1394</v>
      </c>
      <c r="B640" t="s">
        <v>1388</v>
      </c>
      <c r="C640" t="str">
        <f>TEXT(Table1[[#This Row],[Order_Date]],"mmm")</f>
        <v>Apr</v>
      </c>
      <c r="D640" t="s">
        <v>1395</v>
      </c>
      <c r="E640" t="s">
        <v>75</v>
      </c>
      <c r="F640">
        <v>3</v>
      </c>
      <c r="G640">
        <v>8084.98</v>
      </c>
      <c r="H640">
        <v>24254.94</v>
      </c>
      <c r="I640" t="s">
        <v>13</v>
      </c>
      <c r="J640" t="s">
        <v>14</v>
      </c>
    </row>
    <row r="641" spans="1:10" x14ac:dyDescent="0.35">
      <c r="A641" t="s">
        <v>1396</v>
      </c>
      <c r="B641" t="s">
        <v>1388</v>
      </c>
      <c r="C641" t="str">
        <f>TEXT(Table1[[#This Row],[Order_Date]],"mmm")</f>
        <v>Apr</v>
      </c>
      <c r="D641" t="s">
        <v>1397</v>
      </c>
      <c r="E641" t="s">
        <v>47</v>
      </c>
      <c r="F641">
        <v>2</v>
      </c>
      <c r="G641">
        <v>47689.42</v>
      </c>
      <c r="H641">
        <v>95378.84</v>
      </c>
      <c r="I641" t="s">
        <v>13</v>
      </c>
      <c r="J641" t="s">
        <v>19</v>
      </c>
    </row>
    <row r="642" spans="1:10" x14ac:dyDescent="0.35">
      <c r="A642" t="s">
        <v>1398</v>
      </c>
      <c r="B642" t="s">
        <v>1388</v>
      </c>
      <c r="C642" t="str">
        <f>TEXT(Table1[[#This Row],[Order_Date]],"mmm")</f>
        <v>Apr</v>
      </c>
      <c r="D642" t="s">
        <v>1399</v>
      </c>
      <c r="E642" t="s">
        <v>12</v>
      </c>
      <c r="F642">
        <v>1</v>
      </c>
      <c r="G642">
        <v>38350.22</v>
      </c>
      <c r="H642">
        <v>38350.22</v>
      </c>
      <c r="I642" t="s">
        <v>23</v>
      </c>
      <c r="J642" t="s">
        <v>24</v>
      </c>
    </row>
    <row r="643" spans="1:10" x14ac:dyDescent="0.35">
      <c r="A643" t="s">
        <v>1400</v>
      </c>
      <c r="B643" t="s">
        <v>1388</v>
      </c>
      <c r="C643" t="str">
        <f>TEXT(Table1[[#This Row],[Order_Date]],"mmm")</f>
        <v>Apr</v>
      </c>
      <c r="D643" t="s">
        <v>1401</v>
      </c>
      <c r="E643" t="s">
        <v>12</v>
      </c>
      <c r="F643">
        <v>1</v>
      </c>
      <c r="G643">
        <v>5735.16</v>
      </c>
      <c r="H643">
        <v>5735.16</v>
      </c>
      <c r="I643" t="s">
        <v>42</v>
      </c>
      <c r="J643" t="s">
        <v>24</v>
      </c>
    </row>
    <row r="644" spans="1:10" x14ac:dyDescent="0.35">
      <c r="A644" t="s">
        <v>1402</v>
      </c>
      <c r="B644" t="s">
        <v>1403</v>
      </c>
      <c r="C644" t="str">
        <f>TEXT(Table1[[#This Row],[Order_Date]],"mmm")</f>
        <v>Apr</v>
      </c>
      <c r="D644" t="s">
        <v>1404</v>
      </c>
      <c r="E644" t="s">
        <v>22</v>
      </c>
      <c r="F644">
        <v>3</v>
      </c>
      <c r="G644">
        <v>18145.89</v>
      </c>
      <c r="H644">
        <v>54437.67</v>
      </c>
      <c r="I644" t="s">
        <v>23</v>
      </c>
      <c r="J644" t="s">
        <v>14</v>
      </c>
    </row>
    <row r="645" spans="1:10" x14ac:dyDescent="0.35">
      <c r="A645" t="s">
        <v>1405</v>
      </c>
      <c r="B645" t="s">
        <v>1403</v>
      </c>
      <c r="C645" t="str">
        <f>TEXT(Table1[[#This Row],[Order_Date]],"mmm")</f>
        <v>Apr</v>
      </c>
      <c r="D645" t="s">
        <v>1406</v>
      </c>
      <c r="E645" t="s">
        <v>38</v>
      </c>
      <c r="F645">
        <v>4</v>
      </c>
      <c r="G645">
        <v>17020.330000000002</v>
      </c>
      <c r="H645">
        <v>68081.320000000007</v>
      </c>
      <c r="I645" t="s">
        <v>13</v>
      </c>
      <c r="J645" t="s">
        <v>14</v>
      </c>
    </row>
    <row r="646" spans="1:10" x14ac:dyDescent="0.35">
      <c r="A646" t="s">
        <v>1407</v>
      </c>
      <c r="B646" t="s">
        <v>1403</v>
      </c>
      <c r="C646" t="str">
        <f>TEXT(Table1[[#This Row],[Order_Date]],"mmm")</f>
        <v>Apr</v>
      </c>
      <c r="D646" t="s">
        <v>1408</v>
      </c>
      <c r="E646" t="s">
        <v>22</v>
      </c>
      <c r="F646">
        <v>2</v>
      </c>
      <c r="G646">
        <v>43241.19</v>
      </c>
      <c r="H646">
        <v>86482.38</v>
      </c>
      <c r="I646" t="s">
        <v>13</v>
      </c>
      <c r="J646" t="s">
        <v>35</v>
      </c>
    </row>
    <row r="647" spans="1:10" x14ac:dyDescent="0.35">
      <c r="A647" t="s">
        <v>1409</v>
      </c>
      <c r="B647" t="s">
        <v>1403</v>
      </c>
      <c r="C647" t="str">
        <f>TEXT(Table1[[#This Row],[Order_Date]],"mmm")</f>
        <v>Apr</v>
      </c>
      <c r="D647" t="s">
        <v>792</v>
      </c>
      <c r="E647" t="s">
        <v>12</v>
      </c>
      <c r="F647">
        <v>5</v>
      </c>
      <c r="G647">
        <v>43654.6</v>
      </c>
      <c r="H647">
        <v>218273</v>
      </c>
      <c r="I647" t="s">
        <v>23</v>
      </c>
      <c r="J647" t="s">
        <v>19</v>
      </c>
    </row>
    <row r="648" spans="1:10" x14ac:dyDescent="0.35">
      <c r="A648" t="s">
        <v>1410</v>
      </c>
      <c r="B648" t="s">
        <v>1411</v>
      </c>
      <c r="C648" t="str">
        <f>TEXT(Table1[[#This Row],[Order_Date]],"mmm")</f>
        <v>Apr</v>
      </c>
      <c r="D648" t="s">
        <v>1412</v>
      </c>
      <c r="E648" t="s">
        <v>47</v>
      </c>
      <c r="F648">
        <v>3</v>
      </c>
      <c r="G648">
        <v>24738.52</v>
      </c>
      <c r="H648">
        <v>74215.56</v>
      </c>
      <c r="I648" t="s">
        <v>42</v>
      </c>
      <c r="J648" t="s">
        <v>24</v>
      </c>
    </row>
    <row r="649" spans="1:10" x14ac:dyDescent="0.35">
      <c r="A649" t="s">
        <v>1413</v>
      </c>
      <c r="B649" t="s">
        <v>1411</v>
      </c>
      <c r="C649" t="str">
        <f>TEXT(Table1[[#This Row],[Order_Date]],"mmm")</f>
        <v>Apr</v>
      </c>
      <c r="D649" t="s">
        <v>362</v>
      </c>
      <c r="E649" t="s">
        <v>17</v>
      </c>
      <c r="F649">
        <v>2</v>
      </c>
      <c r="G649">
        <v>28696.99</v>
      </c>
      <c r="H649">
        <v>57393.98</v>
      </c>
      <c r="I649" t="s">
        <v>18</v>
      </c>
      <c r="J649" t="s">
        <v>14</v>
      </c>
    </row>
    <row r="650" spans="1:10" x14ac:dyDescent="0.35">
      <c r="A650" t="s">
        <v>1414</v>
      </c>
      <c r="B650" t="s">
        <v>1411</v>
      </c>
      <c r="C650" t="str">
        <f>TEXT(Table1[[#This Row],[Order_Date]],"mmm")</f>
        <v>Apr</v>
      </c>
      <c r="D650" t="s">
        <v>1415</v>
      </c>
      <c r="E650" t="s">
        <v>32</v>
      </c>
      <c r="F650">
        <v>3</v>
      </c>
      <c r="G650">
        <v>28785.14</v>
      </c>
      <c r="H650">
        <v>86355.42</v>
      </c>
      <c r="I650" t="s">
        <v>23</v>
      </c>
      <c r="J650" t="s">
        <v>14</v>
      </c>
    </row>
    <row r="651" spans="1:10" x14ac:dyDescent="0.35">
      <c r="A651" t="s">
        <v>1416</v>
      </c>
      <c r="B651" t="s">
        <v>1411</v>
      </c>
      <c r="C651" t="str">
        <f>TEXT(Table1[[#This Row],[Order_Date]],"mmm")</f>
        <v>Apr</v>
      </c>
      <c r="D651" t="s">
        <v>1417</v>
      </c>
      <c r="E651" t="s">
        <v>56</v>
      </c>
      <c r="F651">
        <v>3</v>
      </c>
      <c r="G651">
        <v>21779.86</v>
      </c>
      <c r="H651">
        <v>65339.58</v>
      </c>
      <c r="I651" t="s">
        <v>42</v>
      </c>
      <c r="J651" t="s">
        <v>19</v>
      </c>
    </row>
    <row r="652" spans="1:10" x14ac:dyDescent="0.35">
      <c r="A652" t="s">
        <v>1418</v>
      </c>
      <c r="B652" t="s">
        <v>1411</v>
      </c>
      <c r="C652" t="str">
        <f>TEXT(Table1[[#This Row],[Order_Date]],"mmm")</f>
        <v>Apr</v>
      </c>
      <c r="D652" t="s">
        <v>1419</v>
      </c>
      <c r="E652" t="s">
        <v>17</v>
      </c>
      <c r="F652">
        <v>3</v>
      </c>
      <c r="G652">
        <v>26032.13</v>
      </c>
      <c r="H652">
        <v>78096.39</v>
      </c>
      <c r="I652" t="s">
        <v>18</v>
      </c>
      <c r="J652" t="s">
        <v>14</v>
      </c>
    </row>
    <row r="653" spans="1:10" x14ac:dyDescent="0.35">
      <c r="A653" t="s">
        <v>1420</v>
      </c>
      <c r="B653" t="s">
        <v>1421</v>
      </c>
      <c r="C653" t="str">
        <f>TEXT(Table1[[#This Row],[Order_Date]],"mmm")</f>
        <v>Apr</v>
      </c>
      <c r="D653" t="s">
        <v>1422</v>
      </c>
      <c r="E653" t="s">
        <v>75</v>
      </c>
      <c r="F653">
        <v>2</v>
      </c>
      <c r="G653">
        <v>23456.26</v>
      </c>
      <c r="H653">
        <v>46912.52</v>
      </c>
      <c r="I653" t="s">
        <v>18</v>
      </c>
      <c r="J653" t="s">
        <v>24</v>
      </c>
    </row>
    <row r="654" spans="1:10" x14ac:dyDescent="0.35">
      <c r="A654" t="s">
        <v>1423</v>
      </c>
      <c r="B654" t="s">
        <v>1421</v>
      </c>
      <c r="C654" t="str">
        <f>TEXT(Table1[[#This Row],[Order_Date]],"mmm")</f>
        <v>Apr</v>
      </c>
      <c r="D654" t="s">
        <v>1424</v>
      </c>
      <c r="E654" t="s">
        <v>75</v>
      </c>
      <c r="F654">
        <v>2</v>
      </c>
      <c r="G654">
        <v>17599.32</v>
      </c>
      <c r="H654">
        <v>35198.639999999999</v>
      </c>
      <c r="I654" t="s">
        <v>23</v>
      </c>
      <c r="J654" t="s">
        <v>24</v>
      </c>
    </row>
    <row r="655" spans="1:10" x14ac:dyDescent="0.35">
      <c r="A655" t="s">
        <v>1425</v>
      </c>
      <c r="B655" t="s">
        <v>1421</v>
      </c>
      <c r="C655" t="str">
        <f>TEXT(Table1[[#This Row],[Order_Date]],"mmm")</f>
        <v>Apr</v>
      </c>
      <c r="D655" t="s">
        <v>691</v>
      </c>
      <c r="E655" t="s">
        <v>56</v>
      </c>
      <c r="F655">
        <v>1</v>
      </c>
      <c r="G655">
        <v>13737.6</v>
      </c>
      <c r="H655">
        <v>13737.6</v>
      </c>
      <c r="I655" t="s">
        <v>42</v>
      </c>
      <c r="J655" t="s">
        <v>24</v>
      </c>
    </row>
    <row r="656" spans="1:10" x14ac:dyDescent="0.35">
      <c r="A656" t="s">
        <v>1426</v>
      </c>
      <c r="B656" t="s">
        <v>1421</v>
      </c>
      <c r="C656" t="str">
        <f>TEXT(Table1[[#This Row],[Order_Date]],"mmm")</f>
        <v>Apr</v>
      </c>
      <c r="D656" t="s">
        <v>1427</v>
      </c>
      <c r="E656" t="s">
        <v>32</v>
      </c>
      <c r="F656">
        <v>5</v>
      </c>
      <c r="G656">
        <v>14187.09</v>
      </c>
      <c r="H656">
        <v>70935.45</v>
      </c>
      <c r="I656" t="s">
        <v>23</v>
      </c>
      <c r="J656" t="s">
        <v>35</v>
      </c>
    </row>
    <row r="657" spans="1:10" x14ac:dyDescent="0.35">
      <c r="A657" t="s">
        <v>1428</v>
      </c>
      <c r="B657" t="s">
        <v>1421</v>
      </c>
      <c r="C657" t="str">
        <f>TEXT(Table1[[#This Row],[Order_Date]],"mmm")</f>
        <v>Apr</v>
      </c>
      <c r="D657" t="s">
        <v>1429</v>
      </c>
      <c r="E657" t="s">
        <v>32</v>
      </c>
      <c r="F657">
        <v>2</v>
      </c>
      <c r="G657">
        <v>5956.49</v>
      </c>
      <c r="H657">
        <v>11912.98</v>
      </c>
      <c r="I657" t="s">
        <v>42</v>
      </c>
      <c r="J657" t="s">
        <v>24</v>
      </c>
    </row>
    <row r="658" spans="1:10" x14ac:dyDescent="0.35">
      <c r="A658" t="s">
        <v>1430</v>
      </c>
      <c r="B658" t="s">
        <v>1431</v>
      </c>
      <c r="C658" t="str">
        <f>TEXT(Table1[[#This Row],[Order_Date]],"mmm")</f>
        <v>Apr</v>
      </c>
      <c r="D658" t="s">
        <v>1432</v>
      </c>
      <c r="E658" t="s">
        <v>32</v>
      </c>
      <c r="F658">
        <v>2</v>
      </c>
      <c r="G658">
        <v>16240.79</v>
      </c>
      <c r="H658">
        <v>32481.58</v>
      </c>
      <c r="I658" t="s">
        <v>23</v>
      </c>
      <c r="J658" t="s">
        <v>35</v>
      </c>
    </row>
    <row r="659" spans="1:10" x14ac:dyDescent="0.35">
      <c r="A659" t="s">
        <v>1433</v>
      </c>
      <c r="B659" t="s">
        <v>1431</v>
      </c>
      <c r="C659" t="str">
        <f>TEXT(Table1[[#This Row],[Order_Date]],"mmm")</f>
        <v>Apr</v>
      </c>
      <c r="D659" t="s">
        <v>1434</v>
      </c>
      <c r="E659" t="s">
        <v>38</v>
      </c>
      <c r="F659">
        <v>3</v>
      </c>
      <c r="G659">
        <v>34581.29</v>
      </c>
      <c r="H659">
        <v>103743.87</v>
      </c>
      <c r="I659" t="s">
        <v>42</v>
      </c>
      <c r="J659" t="s">
        <v>14</v>
      </c>
    </row>
    <row r="660" spans="1:10" x14ac:dyDescent="0.35">
      <c r="A660" t="s">
        <v>1435</v>
      </c>
      <c r="B660" t="s">
        <v>1431</v>
      </c>
      <c r="C660" t="str">
        <f>TEXT(Table1[[#This Row],[Order_Date]],"mmm")</f>
        <v>Apr</v>
      </c>
      <c r="D660" t="s">
        <v>1436</v>
      </c>
      <c r="E660" t="s">
        <v>32</v>
      </c>
      <c r="F660">
        <v>1</v>
      </c>
      <c r="G660">
        <v>29970.16</v>
      </c>
      <c r="H660">
        <v>29970.16</v>
      </c>
      <c r="I660" t="s">
        <v>18</v>
      </c>
      <c r="J660" t="s">
        <v>35</v>
      </c>
    </row>
    <row r="661" spans="1:10" x14ac:dyDescent="0.35">
      <c r="A661" t="s">
        <v>1437</v>
      </c>
      <c r="B661" t="s">
        <v>1431</v>
      </c>
      <c r="C661" t="str">
        <f>TEXT(Table1[[#This Row],[Order_Date]],"mmm")</f>
        <v>Apr</v>
      </c>
      <c r="D661" t="s">
        <v>1438</v>
      </c>
      <c r="E661" t="s">
        <v>17</v>
      </c>
      <c r="F661">
        <v>5</v>
      </c>
      <c r="G661">
        <v>42514.87</v>
      </c>
      <c r="H661">
        <v>212574.35</v>
      </c>
      <c r="I661" t="s">
        <v>42</v>
      </c>
      <c r="J661" t="s">
        <v>24</v>
      </c>
    </row>
    <row r="662" spans="1:10" x14ac:dyDescent="0.35">
      <c r="A662" t="s">
        <v>1439</v>
      </c>
      <c r="B662" t="s">
        <v>1440</v>
      </c>
      <c r="C662" t="str">
        <f>TEXT(Table1[[#This Row],[Order_Date]],"mmm")</f>
        <v>Apr</v>
      </c>
      <c r="D662" t="s">
        <v>1441</v>
      </c>
      <c r="E662" t="s">
        <v>22</v>
      </c>
      <c r="F662">
        <v>3</v>
      </c>
      <c r="G662">
        <v>46012.72</v>
      </c>
      <c r="H662">
        <v>138038.16</v>
      </c>
      <c r="I662" t="s">
        <v>42</v>
      </c>
      <c r="J662" t="s">
        <v>24</v>
      </c>
    </row>
    <row r="663" spans="1:10" x14ac:dyDescent="0.35">
      <c r="A663" t="s">
        <v>1442</v>
      </c>
      <c r="B663" t="s">
        <v>1440</v>
      </c>
      <c r="C663" t="str">
        <f>TEXT(Table1[[#This Row],[Order_Date]],"mmm")</f>
        <v>Apr</v>
      </c>
      <c r="D663" t="s">
        <v>1443</v>
      </c>
      <c r="E663" t="s">
        <v>12</v>
      </c>
      <c r="F663">
        <v>3</v>
      </c>
      <c r="G663">
        <v>45601.88</v>
      </c>
      <c r="H663">
        <v>136805.64000000001</v>
      </c>
      <c r="I663" t="s">
        <v>13</v>
      </c>
      <c r="J663" t="s">
        <v>19</v>
      </c>
    </row>
    <row r="664" spans="1:10" x14ac:dyDescent="0.35">
      <c r="A664" t="s">
        <v>1444</v>
      </c>
      <c r="B664" t="s">
        <v>1440</v>
      </c>
      <c r="C664" t="str">
        <f>TEXT(Table1[[#This Row],[Order_Date]],"mmm")</f>
        <v>Apr</v>
      </c>
      <c r="D664" t="s">
        <v>1445</v>
      </c>
      <c r="E664" t="s">
        <v>47</v>
      </c>
      <c r="F664">
        <v>5</v>
      </c>
      <c r="G664">
        <v>30629.09</v>
      </c>
      <c r="H664">
        <v>153145.45000000001</v>
      </c>
      <c r="I664" t="s">
        <v>13</v>
      </c>
      <c r="J664" t="s">
        <v>35</v>
      </c>
    </row>
    <row r="665" spans="1:10" x14ac:dyDescent="0.35">
      <c r="A665" t="s">
        <v>1446</v>
      </c>
      <c r="B665" t="s">
        <v>1440</v>
      </c>
      <c r="C665" t="str">
        <f>TEXT(Table1[[#This Row],[Order_Date]],"mmm")</f>
        <v>Apr</v>
      </c>
      <c r="D665" t="s">
        <v>1447</v>
      </c>
      <c r="E665" t="s">
        <v>32</v>
      </c>
      <c r="F665">
        <v>2</v>
      </c>
      <c r="G665">
        <v>4660.07</v>
      </c>
      <c r="H665">
        <v>9320.14</v>
      </c>
      <c r="I665" t="s">
        <v>42</v>
      </c>
      <c r="J665" t="s">
        <v>24</v>
      </c>
    </row>
    <row r="666" spans="1:10" x14ac:dyDescent="0.35">
      <c r="A666" t="s">
        <v>1448</v>
      </c>
      <c r="B666" t="s">
        <v>1440</v>
      </c>
      <c r="C666" t="str">
        <f>TEXT(Table1[[#This Row],[Order_Date]],"mmm")</f>
        <v>Apr</v>
      </c>
      <c r="D666" t="s">
        <v>1449</v>
      </c>
      <c r="E666" t="s">
        <v>47</v>
      </c>
      <c r="F666">
        <v>5</v>
      </c>
      <c r="G666">
        <v>15131.04</v>
      </c>
      <c r="H666">
        <v>75655.199999999997</v>
      </c>
      <c r="I666" t="s">
        <v>42</v>
      </c>
      <c r="J666" t="s">
        <v>19</v>
      </c>
    </row>
    <row r="667" spans="1:10" x14ac:dyDescent="0.35">
      <c r="A667" t="s">
        <v>1450</v>
      </c>
      <c r="B667" t="s">
        <v>1451</v>
      </c>
      <c r="C667" t="str">
        <f>TEXT(Table1[[#This Row],[Order_Date]],"mmm")</f>
        <v>Apr</v>
      </c>
      <c r="D667" t="s">
        <v>1452</v>
      </c>
      <c r="E667" t="s">
        <v>72</v>
      </c>
      <c r="F667">
        <v>5</v>
      </c>
      <c r="G667">
        <v>27615.32</v>
      </c>
      <c r="H667">
        <v>138076.6</v>
      </c>
      <c r="I667" t="s">
        <v>23</v>
      </c>
      <c r="J667" t="s">
        <v>19</v>
      </c>
    </row>
    <row r="668" spans="1:10" x14ac:dyDescent="0.35">
      <c r="A668" t="s">
        <v>1453</v>
      </c>
      <c r="B668" t="s">
        <v>1451</v>
      </c>
      <c r="C668" t="str">
        <f>TEXT(Table1[[#This Row],[Order_Date]],"mmm")</f>
        <v>Apr</v>
      </c>
      <c r="D668" t="s">
        <v>1454</v>
      </c>
      <c r="E668" t="s">
        <v>17</v>
      </c>
      <c r="F668">
        <v>4</v>
      </c>
      <c r="G668">
        <v>47952.6</v>
      </c>
      <c r="H668">
        <v>191810.4</v>
      </c>
      <c r="I668" t="s">
        <v>23</v>
      </c>
      <c r="J668" t="s">
        <v>19</v>
      </c>
    </row>
    <row r="669" spans="1:10" x14ac:dyDescent="0.35">
      <c r="A669" t="s">
        <v>1455</v>
      </c>
      <c r="B669" t="s">
        <v>1451</v>
      </c>
      <c r="C669" t="str">
        <f>TEXT(Table1[[#This Row],[Order_Date]],"mmm")</f>
        <v>Apr</v>
      </c>
      <c r="D669" t="s">
        <v>1456</v>
      </c>
      <c r="E669" t="s">
        <v>22</v>
      </c>
      <c r="F669">
        <v>1</v>
      </c>
      <c r="G669">
        <v>8020.97</v>
      </c>
      <c r="H669">
        <v>8020.97</v>
      </c>
      <c r="I669" t="s">
        <v>13</v>
      </c>
      <c r="J669" t="s">
        <v>19</v>
      </c>
    </row>
    <row r="670" spans="1:10" x14ac:dyDescent="0.35">
      <c r="A670" t="s">
        <v>1457</v>
      </c>
      <c r="B670" t="s">
        <v>1451</v>
      </c>
      <c r="C670" t="str">
        <f>TEXT(Table1[[#This Row],[Order_Date]],"mmm")</f>
        <v>Apr</v>
      </c>
      <c r="D670" t="s">
        <v>1458</v>
      </c>
      <c r="E670" t="s">
        <v>32</v>
      </c>
      <c r="F670">
        <v>5</v>
      </c>
      <c r="G670">
        <v>27635.72</v>
      </c>
      <c r="H670">
        <v>138178.6</v>
      </c>
      <c r="I670" t="s">
        <v>42</v>
      </c>
      <c r="J670" t="s">
        <v>24</v>
      </c>
    </row>
    <row r="671" spans="1:10" x14ac:dyDescent="0.35">
      <c r="A671" t="s">
        <v>1459</v>
      </c>
      <c r="B671" t="s">
        <v>1451</v>
      </c>
      <c r="C671" t="str">
        <f>TEXT(Table1[[#This Row],[Order_Date]],"mmm")</f>
        <v>Apr</v>
      </c>
      <c r="D671" t="s">
        <v>1460</v>
      </c>
      <c r="E671" t="s">
        <v>32</v>
      </c>
      <c r="F671">
        <v>5</v>
      </c>
      <c r="G671">
        <v>27841.43</v>
      </c>
      <c r="H671">
        <v>139207.15</v>
      </c>
      <c r="I671" t="s">
        <v>23</v>
      </c>
      <c r="J671" t="s">
        <v>19</v>
      </c>
    </row>
    <row r="672" spans="1:10" x14ac:dyDescent="0.35">
      <c r="A672" t="s">
        <v>1461</v>
      </c>
      <c r="B672" t="s">
        <v>1451</v>
      </c>
      <c r="C672" t="str">
        <f>TEXT(Table1[[#This Row],[Order_Date]],"mmm")</f>
        <v>Apr</v>
      </c>
      <c r="D672" t="s">
        <v>1462</v>
      </c>
      <c r="E672" t="s">
        <v>17</v>
      </c>
      <c r="F672">
        <v>2</v>
      </c>
      <c r="G672">
        <v>47121.42</v>
      </c>
      <c r="H672">
        <v>94242.84</v>
      </c>
      <c r="I672" t="s">
        <v>18</v>
      </c>
      <c r="J672" t="s">
        <v>24</v>
      </c>
    </row>
    <row r="673" spans="1:10" x14ac:dyDescent="0.35">
      <c r="A673" t="s">
        <v>1463</v>
      </c>
      <c r="B673" t="s">
        <v>1451</v>
      </c>
      <c r="C673" t="str">
        <f>TEXT(Table1[[#This Row],[Order_Date]],"mmm")</f>
        <v>Apr</v>
      </c>
      <c r="D673" t="s">
        <v>1464</v>
      </c>
      <c r="E673" t="s">
        <v>75</v>
      </c>
      <c r="F673">
        <v>1</v>
      </c>
      <c r="G673">
        <v>44438.52</v>
      </c>
      <c r="H673">
        <v>44438.52</v>
      </c>
      <c r="I673" t="s">
        <v>42</v>
      </c>
      <c r="J673" t="s">
        <v>24</v>
      </c>
    </row>
    <row r="674" spans="1:10" x14ac:dyDescent="0.35">
      <c r="A674" t="s">
        <v>1465</v>
      </c>
      <c r="B674" t="s">
        <v>1466</v>
      </c>
      <c r="C674" t="str">
        <f>TEXT(Table1[[#This Row],[Order_Date]],"mmm")</f>
        <v>May</v>
      </c>
      <c r="D674" t="s">
        <v>518</v>
      </c>
      <c r="E674" t="s">
        <v>32</v>
      </c>
      <c r="F674">
        <v>2</v>
      </c>
      <c r="G674">
        <v>34459.06</v>
      </c>
      <c r="H674">
        <v>68918.12</v>
      </c>
      <c r="I674" t="s">
        <v>13</v>
      </c>
      <c r="J674" t="s">
        <v>24</v>
      </c>
    </row>
    <row r="675" spans="1:10" x14ac:dyDescent="0.35">
      <c r="A675" t="s">
        <v>1467</v>
      </c>
      <c r="B675" t="s">
        <v>1466</v>
      </c>
      <c r="C675" t="str">
        <f>TEXT(Table1[[#This Row],[Order_Date]],"mmm")</f>
        <v>May</v>
      </c>
      <c r="D675" t="s">
        <v>1468</v>
      </c>
      <c r="E675" t="s">
        <v>53</v>
      </c>
      <c r="F675">
        <v>1</v>
      </c>
      <c r="G675">
        <v>6204.73</v>
      </c>
      <c r="H675">
        <v>6204.73</v>
      </c>
      <c r="I675" t="s">
        <v>13</v>
      </c>
      <c r="J675" t="s">
        <v>19</v>
      </c>
    </row>
    <row r="676" spans="1:10" x14ac:dyDescent="0.35">
      <c r="A676" t="s">
        <v>1469</v>
      </c>
      <c r="B676" t="s">
        <v>1466</v>
      </c>
      <c r="C676" t="str">
        <f>TEXT(Table1[[#This Row],[Order_Date]],"mmm")</f>
        <v>May</v>
      </c>
      <c r="D676" t="s">
        <v>1470</v>
      </c>
      <c r="E676" t="s">
        <v>17</v>
      </c>
      <c r="F676">
        <v>5</v>
      </c>
      <c r="G676">
        <v>49990.73</v>
      </c>
      <c r="H676">
        <v>249953.65</v>
      </c>
      <c r="I676" t="s">
        <v>23</v>
      </c>
      <c r="J676" t="s">
        <v>19</v>
      </c>
    </row>
    <row r="677" spans="1:10" x14ac:dyDescent="0.35">
      <c r="A677" t="s">
        <v>1471</v>
      </c>
      <c r="B677" t="s">
        <v>1466</v>
      </c>
      <c r="C677" t="str">
        <f>TEXT(Table1[[#This Row],[Order_Date]],"mmm")</f>
        <v>May</v>
      </c>
      <c r="D677" t="s">
        <v>1472</v>
      </c>
      <c r="E677" t="s">
        <v>75</v>
      </c>
      <c r="F677">
        <v>5</v>
      </c>
      <c r="G677">
        <v>41923.29</v>
      </c>
      <c r="H677">
        <v>209616.45</v>
      </c>
      <c r="I677" t="s">
        <v>13</v>
      </c>
      <c r="J677" t="s">
        <v>35</v>
      </c>
    </row>
    <row r="678" spans="1:10" x14ac:dyDescent="0.35">
      <c r="A678" t="s">
        <v>1473</v>
      </c>
      <c r="B678" t="s">
        <v>1474</v>
      </c>
      <c r="C678" t="str">
        <f>TEXT(Table1[[#This Row],[Order_Date]],"mmm")</f>
        <v>May</v>
      </c>
      <c r="D678" t="s">
        <v>1475</v>
      </c>
      <c r="E678" t="s">
        <v>47</v>
      </c>
      <c r="F678">
        <v>4</v>
      </c>
      <c r="G678">
        <v>11022.99</v>
      </c>
      <c r="H678">
        <v>44091.96</v>
      </c>
      <c r="I678" t="s">
        <v>42</v>
      </c>
      <c r="J678" t="s">
        <v>35</v>
      </c>
    </row>
    <row r="679" spans="1:10" x14ac:dyDescent="0.35">
      <c r="A679" t="s">
        <v>1476</v>
      </c>
      <c r="B679" t="s">
        <v>1474</v>
      </c>
      <c r="C679" t="str">
        <f>TEXT(Table1[[#This Row],[Order_Date]],"mmm")</f>
        <v>May</v>
      </c>
      <c r="D679" t="s">
        <v>1477</v>
      </c>
      <c r="E679" t="s">
        <v>32</v>
      </c>
      <c r="F679">
        <v>5</v>
      </c>
      <c r="G679">
        <v>8443.91</v>
      </c>
      <c r="H679">
        <v>42219.55</v>
      </c>
      <c r="I679" t="s">
        <v>13</v>
      </c>
      <c r="J679" t="s">
        <v>35</v>
      </c>
    </row>
    <row r="680" spans="1:10" x14ac:dyDescent="0.35">
      <c r="A680" t="s">
        <v>1478</v>
      </c>
      <c r="B680" t="s">
        <v>1474</v>
      </c>
      <c r="C680" t="str">
        <f>TEXT(Table1[[#This Row],[Order_Date]],"mmm")</f>
        <v>May</v>
      </c>
      <c r="D680" t="s">
        <v>1479</v>
      </c>
      <c r="E680" t="s">
        <v>47</v>
      </c>
      <c r="F680">
        <v>4</v>
      </c>
      <c r="G680">
        <v>42743.73</v>
      </c>
      <c r="H680">
        <v>170974.92</v>
      </c>
      <c r="I680" t="s">
        <v>23</v>
      </c>
      <c r="J680" t="s">
        <v>35</v>
      </c>
    </row>
    <row r="681" spans="1:10" x14ac:dyDescent="0.35">
      <c r="A681" t="s">
        <v>1480</v>
      </c>
      <c r="B681" t="s">
        <v>1474</v>
      </c>
      <c r="C681" t="str">
        <f>TEXT(Table1[[#This Row],[Order_Date]],"mmm")</f>
        <v>May</v>
      </c>
      <c r="D681" t="s">
        <v>1346</v>
      </c>
      <c r="E681" t="s">
        <v>53</v>
      </c>
      <c r="F681">
        <v>1</v>
      </c>
      <c r="G681">
        <v>31947.13</v>
      </c>
      <c r="H681">
        <v>31947.13</v>
      </c>
      <c r="I681" t="s">
        <v>42</v>
      </c>
      <c r="J681" t="s">
        <v>24</v>
      </c>
    </row>
    <row r="682" spans="1:10" x14ac:dyDescent="0.35">
      <c r="A682" t="s">
        <v>1481</v>
      </c>
      <c r="B682" t="s">
        <v>1474</v>
      </c>
      <c r="C682" t="str">
        <f>TEXT(Table1[[#This Row],[Order_Date]],"mmm")</f>
        <v>May</v>
      </c>
      <c r="D682" t="s">
        <v>1482</v>
      </c>
      <c r="E682" t="s">
        <v>53</v>
      </c>
      <c r="F682">
        <v>2</v>
      </c>
      <c r="G682">
        <v>32488.21</v>
      </c>
      <c r="H682">
        <v>64976.42</v>
      </c>
      <c r="I682" t="s">
        <v>18</v>
      </c>
      <c r="J682" t="s">
        <v>14</v>
      </c>
    </row>
    <row r="683" spans="1:10" x14ac:dyDescent="0.35">
      <c r="A683" t="s">
        <v>1483</v>
      </c>
      <c r="B683" t="s">
        <v>1474</v>
      </c>
      <c r="C683" t="str">
        <f>TEXT(Table1[[#This Row],[Order_Date]],"mmm")</f>
        <v>May</v>
      </c>
      <c r="D683" t="s">
        <v>1484</v>
      </c>
      <c r="E683" t="s">
        <v>56</v>
      </c>
      <c r="F683">
        <v>1</v>
      </c>
      <c r="G683">
        <v>32675.87</v>
      </c>
      <c r="H683">
        <v>32675.87</v>
      </c>
      <c r="I683" t="s">
        <v>13</v>
      </c>
      <c r="J683" t="s">
        <v>19</v>
      </c>
    </row>
    <row r="684" spans="1:10" x14ac:dyDescent="0.35">
      <c r="A684" t="s">
        <v>1485</v>
      </c>
      <c r="B684" t="s">
        <v>1474</v>
      </c>
      <c r="C684" t="str">
        <f>TEXT(Table1[[#This Row],[Order_Date]],"mmm")</f>
        <v>May</v>
      </c>
      <c r="D684" t="s">
        <v>1486</v>
      </c>
      <c r="E684" t="s">
        <v>75</v>
      </c>
      <c r="F684">
        <v>4</v>
      </c>
      <c r="G684">
        <v>49461.02</v>
      </c>
      <c r="H684">
        <v>197844.08</v>
      </c>
      <c r="I684" t="s">
        <v>42</v>
      </c>
      <c r="J684" t="s">
        <v>19</v>
      </c>
    </row>
    <row r="685" spans="1:10" x14ac:dyDescent="0.35">
      <c r="A685" t="s">
        <v>1487</v>
      </c>
      <c r="B685" t="s">
        <v>1474</v>
      </c>
      <c r="C685" t="str">
        <f>TEXT(Table1[[#This Row],[Order_Date]],"mmm")</f>
        <v>May</v>
      </c>
      <c r="D685" t="s">
        <v>1488</v>
      </c>
      <c r="E685" t="s">
        <v>17</v>
      </c>
      <c r="F685">
        <v>4</v>
      </c>
      <c r="G685">
        <v>15122.9</v>
      </c>
      <c r="H685">
        <v>60491.6</v>
      </c>
      <c r="I685" t="s">
        <v>42</v>
      </c>
      <c r="J685" t="s">
        <v>24</v>
      </c>
    </row>
    <row r="686" spans="1:10" x14ac:dyDescent="0.35">
      <c r="A686" t="s">
        <v>1489</v>
      </c>
      <c r="B686" t="s">
        <v>1490</v>
      </c>
      <c r="C686" t="str">
        <f>TEXT(Table1[[#This Row],[Order_Date]],"mmm")</f>
        <v>May</v>
      </c>
      <c r="D686" t="s">
        <v>1491</v>
      </c>
      <c r="E686" t="s">
        <v>38</v>
      </c>
      <c r="F686">
        <v>1</v>
      </c>
      <c r="G686">
        <v>10321.43</v>
      </c>
      <c r="H686">
        <v>10321.43</v>
      </c>
      <c r="I686" t="s">
        <v>18</v>
      </c>
      <c r="J686" t="s">
        <v>35</v>
      </c>
    </row>
    <row r="687" spans="1:10" x14ac:dyDescent="0.35">
      <c r="A687" t="s">
        <v>1492</v>
      </c>
      <c r="B687" t="s">
        <v>1490</v>
      </c>
      <c r="C687" t="str">
        <f>TEXT(Table1[[#This Row],[Order_Date]],"mmm")</f>
        <v>May</v>
      </c>
      <c r="D687" t="s">
        <v>1493</v>
      </c>
      <c r="E687" t="s">
        <v>22</v>
      </c>
      <c r="F687">
        <v>4</v>
      </c>
      <c r="G687">
        <v>5254.55</v>
      </c>
      <c r="H687">
        <v>21018.2</v>
      </c>
      <c r="I687" t="s">
        <v>18</v>
      </c>
      <c r="J687" t="s">
        <v>19</v>
      </c>
    </row>
    <row r="688" spans="1:10" x14ac:dyDescent="0.35">
      <c r="A688" t="s">
        <v>1494</v>
      </c>
      <c r="B688" t="s">
        <v>1490</v>
      </c>
      <c r="C688" t="str">
        <f>TEXT(Table1[[#This Row],[Order_Date]],"mmm")</f>
        <v>May</v>
      </c>
      <c r="D688" t="s">
        <v>1495</v>
      </c>
      <c r="E688" t="s">
        <v>32</v>
      </c>
      <c r="F688">
        <v>3</v>
      </c>
      <c r="G688">
        <v>5633.23</v>
      </c>
      <c r="H688">
        <v>16899.689999999999</v>
      </c>
      <c r="I688" t="s">
        <v>18</v>
      </c>
      <c r="J688" t="s">
        <v>35</v>
      </c>
    </row>
    <row r="689" spans="1:10" x14ac:dyDescent="0.35">
      <c r="A689" t="s">
        <v>1496</v>
      </c>
      <c r="B689" t="s">
        <v>1490</v>
      </c>
      <c r="C689" t="str">
        <f>TEXT(Table1[[#This Row],[Order_Date]],"mmm")</f>
        <v>May</v>
      </c>
      <c r="D689" t="s">
        <v>1497</v>
      </c>
      <c r="E689" t="s">
        <v>56</v>
      </c>
      <c r="F689">
        <v>4</v>
      </c>
      <c r="G689">
        <v>2777.2</v>
      </c>
      <c r="H689">
        <v>11108.8</v>
      </c>
      <c r="I689" t="s">
        <v>13</v>
      </c>
      <c r="J689" t="s">
        <v>24</v>
      </c>
    </row>
    <row r="690" spans="1:10" x14ac:dyDescent="0.35">
      <c r="A690" t="s">
        <v>1498</v>
      </c>
      <c r="B690" t="s">
        <v>1499</v>
      </c>
      <c r="C690" t="str">
        <f>TEXT(Table1[[#This Row],[Order_Date]],"mmm")</f>
        <v>May</v>
      </c>
      <c r="D690" t="s">
        <v>1500</v>
      </c>
      <c r="E690" t="s">
        <v>56</v>
      </c>
      <c r="F690">
        <v>5</v>
      </c>
      <c r="G690">
        <v>13623.99</v>
      </c>
      <c r="H690">
        <v>68119.95</v>
      </c>
      <c r="I690" t="s">
        <v>18</v>
      </c>
      <c r="J690" t="s">
        <v>24</v>
      </c>
    </row>
    <row r="691" spans="1:10" x14ac:dyDescent="0.35">
      <c r="A691" t="s">
        <v>1501</v>
      </c>
      <c r="B691" t="s">
        <v>1499</v>
      </c>
      <c r="C691" t="str">
        <f>TEXT(Table1[[#This Row],[Order_Date]],"mmm")</f>
        <v>May</v>
      </c>
      <c r="D691" t="s">
        <v>1502</v>
      </c>
      <c r="E691" t="s">
        <v>47</v>
      </c>
      <c r="F691">
        <v>3</v>
      </c>
      <c r="G691">
        <v>21963.9</v>
      </c>
      <c r="H691">
        <v>65891.7</v>
      </c>
      <c r="I691" t="s">
        <v>42</v>
      </c>
      <c r="J691" t="s">
        <v>24</v>
      </c>
    </row>
    <row r="692" spans="1:10" x14ac:dyDescent="0.35">
      <c r="A692" t="s">
        <v>1503</v>
      </c>
      <c r="B692" t="s">
        <v>1499</v>
      </c>
      <c r="C692" t="str">
        <f>TEXT(Table1[[#This Row],[Order_Date]],"mmm")</f>
        <v>May</v>
      </c>
      <c r="D692" t="s">
        <v>1187</v>
      </c>
      <c r="E692" t="s">
        <v>75</v>
      </c>
      <c r="F692">
        <v>4</v>
      </c>
      <c r="G692">
        <v>46333.52</v>
      </c>
      <c r="H692">
        <v>185334.08</v>
      </c>
      <c r="I692" t="s">
        <v>13</v>
      </c>
      <c r="J692" t="s">
        <v>19</v>
      </c>
    </row>
    <row r="693" spans="1:10" x14ac:dyDescent="0.35">
      <c r="A693" t="s">
        <v>1504</v>
      </c>
      <c r="B693" t="s">
        <v>1499</v>
      </c>
      <c r="C693" t="str">
        <f>TEXT(Table1[[#This Row],[Order_Date]],"mmm")</f>
        <v>May</v>
      </c>
      <c r="D693" t="s">
        <v>1505</v>
      </c>
      <c r="E693" t="s">
        <v>22</v>
      </c>
      <c r="F693">
        <v>3</v>
      </c>
      <c r="G693">
        <v>13588.96</v>
      </c>
      <c r="H693">
        <v>40766.879999999997</v>
      </c>
      <c r="I693" t="s">
        <v>42</v>
      </c>
      <c r="J693" t="s">
        <v>24</v>
      </c>
    </row>
    <row r="694" spans="1:10" x14ac:dyDescent="0.35">
      <c r="A694" t="s">
        <v>1506</v>
      </c>
      <c r="B694" t="s">
        <v>1499</v>
      </c>
      <c r="C694" t="str">
        <f>TEXT(Table1[[#This Row],[Order_Date]],"mmm")</f>
        <v>May</v>
      </c>
      <c r="D694" t="s">
        <v>1507</v>
      </c>
      <c r="E694" t="s">
        <v>53</v>
      </c>
      <c r="F694">
        <v>4</v>
      </c>
      <c r="G694">
        <v>49436.75</v>
      </c>
      <c r="H694">
        <v>197747</v>
      </c>
      <c r="I694" t="s">
        <v>23</v>
      </c>
      <c r="J694" t="s">
        <v>14</v>
      </c>
    </row>
    <row r="695" spans="1:10" x14ac:dyDescent="0.35">
      <c r="A695" t="s">
        <v>1508</v>
      </c>
      <c r="B695" t="s">
        <v>1499</v>
      </c>
      <c r="C695" t="str">
        <f>TEXT(Table1[[#This Row],[Order_Date]],"mmm")</f>
        <v>May</v>
      </c>
      <c r="D695" t="s">
        <v>1509</v>
      </c>
      <c r="E695" t="s">
        <v>32</v>
      </c>
      <c r="F695">
        <v>4</v>
      </c>
      <c r="G695">
        <v>21330.19</v>
      </c>
      <c r="H695">
        <v>85320.76</v>
      </c>
      <c r="I695" t="s">
        <v>23</v>
      </c>
      <c r="J695" t="s">
        <v>19</v>
      </c>
    </row>
    <row r="696" spans="1:10" x14ac:dyDescent="0.35">
      <c r="A696" t="s">
        <v>1510</v>
      </c>
      <c r="B696" t="s">
        <v>1499</v>
      </c>
      <c r="C696" t="str">
        <f>TEXT(Table1[[#This Row],[Order_Date]],"mmm")</f>
        <v>May</v>
      </c>
      <c r="D696" t="s">
        <v>1511</v>
      </c>
      <c r="E696" t="s">
        <v>56</v>
      </c>
      <c r="F696">
        <v>3</v>
      </c>
      <c r="G696">
        <v>8623.33</v>
      </c>
      <c r="H696">
        <v>25869.99</v>
      </c>
      <c r="I696" t="s">
        <v>18</v>
      </c>
      <c r="J696" t="s">
        <v>24</v>
      </c>
    </row>
    <row r="697" spans="1:10" x14ac:dyDescent="0.35">
      <c r="A697" t="s">
        <v>1512</v>
      </c>
      <c r="B697" t="s">
        <v>1513</v>
      </c>
      <c r="C697" t="str">
        <f>TEXT(Table1[[#This Row],[Order_Date]],"mmm")</f>
        <v>May</v>
      </c>
      <c r="D697" t="s">
        <v>1514</v>
      </c>
      <c r="E697" t="s">
        <v>75</v>
      </c>
      <c r="F697">
        <v>5</v>
      </c>
      <c r="G697">
        <v>38498.160000000003</v>
      </c>
      <c r="H697">
        <v>192490.8</v>
      </c>
      <c r="I697" t="s">
        <v>42</v>
      </c>
      <c r="J697" t="s">
        <v>35</v>
      </c>
    </row>
    <row r="698" spans="1:10" x14ac:dyDescent="0.35">
      <c r="A698" t="s">
        <v>1515</v>
      </c>
      <c r="B698" t="s">
        <v>1513</v>
      </c>
      <c r="C698" t="str">
        <f>TEXT(Table1[[#This Row],[Order_Date]],"mmm")</f>
        <v>May</v>
      </c>
      <c r="D698" t="s">
        <v>1516</v>
      </c>
      <c r="E698" t="s">
        <v>75</v>
      </c>
      <c r="F698">
        <v>2</v>
      </c>
      <c r="G698">
        <v>510.3</v>
      </c>
      <c r="H698">
        <v>1020.6</v>
      </c>
      <c r="I698" t="s">
        <v>42</v>
      </c>
      <c r="J698" t="s">
        <v>24</v>
      </c>
    </row>
    <row r="699" spans="1:10" x14ac:dyDescent="0.35">
      <c r="A699" t="s">
        <v>1517</v>
      </c>
      <c r="B699" t="s">
        <v>1513</v>
      </c>
      <c r="C699" t="str">
        <f>TEXT(Table1[[#This Row],[Order_Date]],"mmm")</f>
        <v>May</v>
      </c>
      <c r="D699" t="s">
        <v>915</v>
      </c>
      <c r="E699" t="s">
        <v>75</v>
      </c>
      <c r="F699">
        <v>1</v>
      </c>
      <c r="G699">
        <v>48018.09</v>
      </c>
      <c r="H699">
        <v>48018.09</v>
      </c>
      <c r="I699" t="s">
        <v>23</v>
      </c>
      <c r="J699" t="s">
        <v>35</v>
      </c>
    </row>
    <row r="700" spans="1:10" x14ac:dyDescent="0.35">
      <c r="A700" t="s">
        <v>1518</v>
      </c>
      <c r="B700" t="s">
        <v>1513</v>
      </c>
      <c r="C700" t="str">
        <f>TEXT(Table1[[#This Row],[Order_Date]],"mmm")</f>
        <v>May</v>
      </c>
      <c r="D700" t="s">
        <v>1519</v>
      </c>
      <c r="E700" t="s">
        <v>75</v>
      </c>
      <c r="F700">
        <v>4</v>
      </c>
      <c r="G700">
        <v>38698.639999999999</v>
      </c>
      <c r="H700">
        <v>154794.56</v>
      </c>
      <c r="I700" t="s">
        <v>18</v>
      </c>
      <c r="J700" t="s">
        <v>19</v>
      </c>
    </row>
    <row r="701" spans="1:10" x14ac:dyDescent="0.35">
      <c r="A701" t="s">
        <v>1520</v>
      </c>
      <c r="B701" t="s">
        <v>1521</v>
      </c>
      <c r="C701" t="str">
        <f>TEXT(Table1[[#This Row],[Order_Date]],"mmm")</f>
        <v>May</v>
      </c>
      <c r="D701" t="s">
        <v>1522</v>
      </c>
      <c r="E701" t="s">
        <v>32</v>
      </c>
      <c r="F701">
        <v>1</v>
      </c>
      <c r="G701">
        <v>3000.19</v>
      </c>
      <c r="H701">
        <v>3000.19</v>
      </c>
      <c r="I701" t="s">
        <v>23</v>
      </c>
      <c r="J701" t="s">
        <v>35</v>
      </c>
    </row>
    <row r="702" spans="1:10" x14ac:dyDescent="0.35">
      <c r="A702" t="s">
        <v>1523</v>
      </c>
      <c r="B702" t="s">
        <v>1521</v>
      </c>
      <c r="C702" t="str">
        <f>TEXT(Table1[[#This Row],[Order_Date]],"mmm")</f>
        <v>May</v>
      </c>
      <c r="D702" t="s">
        <v>1524</v>
      </c>
      <c r="E702" t="s">
        <v>47</v>
      </c>
      <c r="F702">
        <v>3</v>
      </c>
      <c r="G702">
        <v>6710.83</v>
      </c>
      <c r="H702">
        <v>20132.490000000002</v>
      </c>
      <c r="I702" t="s">
        <v>42</v>
      </c>
      <c r="J702" t="s">
        <v>24</v>
      </c>
    </row>
    <row r="703" spans="1:10" x14ac:dyDescent="0.35">
      <c r="A703" t="s">
        <v>1525</v>
      </c>
      <c r="B703" t="s">
        <v>1521</v>
      </c>
      <c r="C703" t="str">
        <f>TEXT(Table1[[#This Row],[Order_Date]],"mmm")</f>
        <v>May</v>
      </c>
      <c r="D703" t="s">
        <v>1526</v>
      </c>
      <c r="E703" t="s">
        <v>47</v>
      </c>
      <c r="F703">
        <v>1</v>
      </c>
      <c r="G703">
        <v>17700.47</v>
      </c>
      <c r="H703">
        <v>17700.47</v>
      </c>
      <c r="I703" t="s">
        <v>18</v>
      </c>
      <c r="J703" t="s">
        <v>14</v>
      </c>
    </row>
    <row r="704" spans="1:10" x14ac:dyDescent="0.35">
      <c r="A704" t="s">
        <v>1527</v>
      </c>
      <c r="B704" t="s">
        <v>1521</v>
      </c>
      <c r="C704" t="str">
        <f>TEXT(Table1[[#This Row],[Order_Date]],"mmm")</f>
        <v>May</v>
      </c>
      <c r="D704" t="s">
        <v>1528</v>
      </c>
      <c r="E704" t="s">
        <v>22</v>
      </c>
      <c r="F704">
        <v>2</v>
      </c>
      <c r="G704">
        <v>23790.080000000002</v>
      </c>
      <c r="H704">
        <v>47580.160000000003</v>
      </c>
      <c r="I704" t="s">
        <v>13</v>
      </c>
      <c r="J704" t="s">
        <v>14</v>
      </c>
    </row>
    <row r="705" spans="1:10" x14ac:dyDescent="0.35">
      <c r="A705" t="s">
        <v>1529</v>
      </c>
      <c r="B705" t="s">
        <v>1521</v>
      </c>
      <c r="C705" t="str">
        <f>TEXT(Table1[[#This Row],[Order_Date]],"mmm")</f>
        <v>May</v>
      </c>
      <c r="D705" t="s">
        <v>1530</v>
      </c>
      <c r="E705" t="s">
        <v>22</v>
      </c>
      <c r="F705">
        <v>3</v>
      </c>
      <c r="G705">
        <v>1591.68</v>
      </c>
      <c r="H705">
        <v>4775.04</v>
      </c>
      <c r="I705" t="s">
        <v>13</v>
      </c>
      <c r="J705" t="s">
        <v>19</v>
      </c>
    </row>
    <row r="706" spans="1:10" x14ac:dyDescent="0.35">
      <c r="A706" t="s">
        <v>1531</v>
      </c>
      <c r="B706" t="s">
        <v>1521</v>
      </c>
      <c r="C706" t="str">
        <f>TEXT(Table1[[#This Row],[Order_Date]],"mmm")</f>
        <v>May</v>
      </c>
      <c r="D706" t="s">
        <v>1532</v>
      </c>
      <c r="E706" t="s">
        <v>53</v>
      </c>
      <c r="F706">
        <v>5</v>
      </c>
      <c r="G706">
        <v>39651.78</v>
      </c>
      <c r="H706">
        <v>198258.9</v>
      </c>
      <c r="I706" t="s">
        <v>13</v>
      </c>
      <c r="J706" t="s">
        <v>14</v>
      </c>
    </row>
    <row r="707" spans="1:10" x14ac:dyDescent="0.35">
      <c r="A707" t="s">
        <v>1533</v>
      </c>
      <c r="B707" t="s">
        <v>1521</v>
      </c>
      <c r="C707" t="str">
        <f>TEXT(Table1[[#This Row],[Order_Date]],"mmm")</f>
        <v>May</v>
      </c>
      <c r="D707" t="s">
        <v>1534</v>
      </c>
      <c r="E707" t="s">
        <v>22</v>
      </c>
      <c r="F707">
        <v>4</v>
      </c>
      <c r="G707">
        <v>4063.21</v>
      </c>
      <c r="H707">
        <v>16252.84</v>
      </c>
      <c r="I707" t="s">
        <v>42</v>
      </c>
      <c r="J707" t="s">
        <v>19</v>
      </c>
    </row>
    <row r="708" spans="1:10" x14ac:dyDescent="0.35">
      <c r="A708" t="s">
        <v>1535</v>
      </c>
      <c r="B708" t="s">
        <v>1521</v>
      </c>
      <c r="C708" t="str">
        <f>TEXT(Table1[[#This Row],[Order_Date]],"mmm")</f>
        <v>May</v>
      </c>
      <c r="D708" t="s">
        <v>1536</v>
      </c>
      <c r="E708" t="s">
        <v>12</v>
      </c>
      <c r="F708">
        <v>4</v>
      </c>
      <c r="G708">
        <v>14290.91</v>
      </c>
      <c r="H708">
        <v>57163.64</v>
      </c>
      <c r="I708" t="s">
        <v>18</v>
      </c>
      <c r="J708" t="s">
        <v>19</v>
      </c>
    </row>
    <row r="709" spans="1:10" x14ac:dyDescent="0.35">
      <c r="A709" t="s">
        <v>1537</v>
      </c>
      <c r="B709" t="s">
        <v>1538</v>
      </c>
      <c r="C709" t="str">
        <f>TEXT(Table1[[#This Row],[Order_Date]],"mmm")</f>
        <v>May</v>
      </c>
      <c r="D709" t="s">
        <v>1539</v>
      </c>
      <c r="E709" t="s">
        <v>38</v>
      </c>
      <c r="F709">
        <v>4</v>
      </c>
      <c r="G709">
        <v>32765.19</v>
      </c>
      <c r="H709">
        <v>131060.76</v>
      </c>
      <c r="I709" t="s">
        <v>13</v>
      </c>
      <c r="J709" t="s">
        <v>14</v>
      </c>
    </row>
    <row r="710" spans="1:10" x14ac:dyDescent="0.35">
      <c r="A710" t="s">
        <v>1540</v>
      </c>
      <c r="B710" t="s">
        <v>1538</v>
      </c>
      <c r="C710" t="str">
        <f>TEXT(Table1[[#This Row],[Order_Date]],"mmm")</f>
        <v>May</v>
      </c>
      <c r="D710" t="s">
        <v>1541</v>
      </c>
      <c r="E710" t="s">
        <v>56</v>
      </c>
      <c r="F710">
        <v>4</v>
      </c>
      <c r="G710">
        <v>42592.25</v>
      </c>
      <c r="H710">
        <v>170369</v>
      </c>
      <c r="I710" t="s">
        <v>42</v>
      </c>
      <c r="J710" t="s">
        <v>24</v>
      </c>
    </row>
    <row r="711" spans="1:10" x14ac:dyDescent="0.35">
      <c r="A711" t="s">
        <v>1542</v>
      </c>
      <c r="B711" t="s">
        <v>1538</v>
      </c>
      <c r="C711" t="str">
        <f>TEXT(Table1[[#This Row],[Order_Date]],"mmm")</f>
        <v>May</v>
      </c>
      <c r="D711" t="s">
        <v>1543</v>
      </c>
      <c r="E711" t="s">
        <v>38</v>
      </c>
      <c r="F711">
        <v>2</v>
      </c>
      <c r="G711">
        <v>11313.09</v>
      </c>
      <c r="H711">
        <v>22626.18</v>
      </c>
      <c r="I711" t="s">
        <v>13</v>
      </c>
      <c r="J711" t="s">
        <v>24</v>
      </c>
    </row>
    <row r="712" spans="1:10" x14ac:dyDescent="0.35">
      <c r="A712" t="s">
        <v>1544</v>
      </c>
      <c r="B712" t="s">
        <v>1538</v>
      </c>
      <c r="C712" t="str">
        <f>TEXT(Table1[[#This Row],[Order_Date]],"mmm")</f>
        <v>May</v>
      </c>
      <c r="D712" t="s">
        <v>1545</v>
      </c>
      <c r="E712" t="s">
        <v>22</v>
      </c>
      <c r="F712">
        <v>1</v>
      </c>
      <c r="G712">
        <v>24825.040000000001</v>
      </c>
      <c r="H712">
        <v>24825.040000000001</v>
      </c>
      <c r="I712" t="s">
        <v>13</v>
      </c>
      <c r="J712" t="s">
        <v>14</v>
      </c>
    </row>
    <row r="713" spans="1:10" x14ac:dyDescent="0.35">
      <c r="A713" t="s">
        <v>1546</v>
      </c>
      <c r="B713" t="s">
        <v>1538</v>
      </c>
      <c r="C713" t="str">
        <f>TEXT(Table1[[#This Row],[Order_Date]],"mmm")</f>
        <v>May</v>
      </c>
      <c r="D713" t="s">
        <v>1547</v>
      </c>
      <c r="E713" t="s">
        <v>17</v>
      </c>
      <c r="F713">
        <v>2</v>
      </c>
      <c r="G713">
        <v>49241.01</v>
      </c>
      <c r="H713">
        <v>98482.02</v>
      </c>
      <c r="I713" t="s">
        <v>42</v>
      </c>
      <c r="J713" t="s">
        <v>14</v>
      </c>
    </row>
    <row r="714" spans="1:10" x14ac:dyDescent="0.35">
      <c r="A714" t="s">
        <v>1548</v>
      </c>
      <c r="B714" t="s">
        <v>1549</v>
      </c>
      <c r="C714" t="str">
        <f>TEXT(Table1[[#This Row],[Order_Date]],"mmm")</f>
        <v>May</v>
      </c>
      <c r="D714" t="s">
        <v>1550</v>
      </c>
      <c r="E714" t="s">
        <v>75</v>
      </c>
      <c r="F714">
        <v>4</v>
      </c>
      <c r="G714">
        <v>16491.599999999999</v>
      </c>
      <c r="H714">
        <v>65966.399999999994</v>
      </c>
      <c r="I714" t="s">
        <v>42</v>
      </c>
      <c r="J714" t="s">
        <v>35</v>
      </c>
    </row>
    <row r="715" spans="1:10" x14ac:dyDescent="0.35">
      <c r="A715" t="s">
        <v>1551</v>
      </c>
      <c r="B715" t="s">
        <v>1549</v>
      </c>
      <c r="C715" t="str">
        <f>TEXT(Table1[[#This Row],[Order_Date]],"mmm")</f>
        <v>May</v>
      </c>
      <c r="D715" t="s">
        <v>1552</v>
      </c>
      <c r="E715" t="s">
        <v>12</v>
      </c>
      <c r="F715">
        <v>2</v>
      </c>
      <c r="G715">
        <v>19806.57</v>
      </c>
      <c r="H715">
        <v>39613.14</v>
      </c>
      <c r="I715" t="s">
        <v>23</v>
      </c>
      <c r="J715" t="s">
        <v>35</v>
      </c>
    </row>
    <row r="716" spans="1:10" x14ac:dyDescent="0.35">
      <c r="A716" t="s">
        <v>1553</v>
      </c>
      <c r="B716" t="s">
        <v>1549</v>
      </c>
      <c r="C716" t="str">
        <f>TEXT(Table1[[#This Row],[Order_Date]],"mmm")</f>
        <v>May</v>
      </c>
      <c r="D716" t="s">
        <v>1554</v>
      </c>
      <c r="E716" t="s">
        <v>22</v>
      </c>
      <c r="F716">
        <v>3</v>
      </c>
      <c r="G716">
        <v>19261.09</v>
      </c>
      <c r="H716">
        <v>57783.27</v>
      </c>
      <c r="I716" t="s">
        <v>23</v>
      </c>
      <c r="J716" t="s">
        <v>14</v>
      </c>
    </row>
    <row r="717" spans="1:10" x14ac:dyDescent="0.35">
      <c r="A717" t="s">
        <v>1555</v>
      </c>
      <c r="B717" t="s">
        <v>1556</v>
      </c>
      <c r="C717" t="str">
        <f>TEXT(Table1[[#This Row],[Order_Date]],"mmm")</f>
        <v>May</v>
      </c>
      <c r="D717" t="s">
        <v>1557</v>
      </c>
      <c r="E717" t="s">
        <v>56</v>
      </c>
      <c r="F717">
        <v>2</v>
      </c>
      <c r="G717">
        <v>3008.76</v>
      </c>
      <c r="H717">
        <v>6017.52</v>
      </c>
      <c r="I717" t="s">
        <v>13</v>
      </c>
      <c r="J717" t="s">
        <v>35</v>
      </c>
    </row>
    <row r="718" spans="1:10" x14ac:dyDescent="0.35">
      <c r="A718" t="s">
        <v>1558</v>
      </c>
      <c r="B718" t="s">
        <v>1556</v>
      </c>
      <c r="C718" t="str">
        <f>TEXT(Table1[[#This Row],[Order_Date]],"mmm")</f>
        <v>May</v>
      </c>
      <c r="D718" t="s">
        <v>1559</v>
      </c>
      <c r="E718" t="s">
        <v>22</v>
      </c>
      <c r="F718">
        <v>5</v>
      </c>
      <c r="G718">
        <v>23912.65</v>
      </c>
      <c r="H718">
        <v>119563.25</v>
      </c>
      <c r="I718" t="s">
        <v>13</v>
      </c>
      <c r="J718" t="s">
        <v>35</v>
      </c>
    </row>
    <row r="719" spans="1:10" x14ac:dyDescent="0.35">
      <c r="A719" t="s">
        <v>1560</v>
      </c>
      <c r="B719" t="s">
        <v>1556</v>
      </c>
      <c r="C719" t="str">
        <f>TEXT(Table1[[#This Row],[Order_Date]],"mmm")</f>
        <v>May</v>
      </c>
      <c r="D719" t="s">
        <v>1561</v>
      </c>
      <c r="E719" t="s">
        <v>47</v>
      </c>
      <c r="F719">
        <v>3</v>
      </c>
      <c r="G719">
        <v>27541.87</v>
      </c>
      <c r="H719">
        <v>82625.61</v>
      </c>
      <c r="I719" t="s">
        <v>23</v>
      </c>
      <c r="J719" t="s">
        <v>24</v>
      </c>
    </row>
    <row r="720" spans="1:10" x14ac:dyDescent="0.35">
      <c r="A720" t="s">
        <v>1562</v>
      </c>
      <c r="B720" t="s">
        <v>1563</v>
      </c>
      <c r="C720" t="str">
        <f>TEXT(Table1[[#This Row],[Order_Date]],"mmm")</f>
        <v>May</v>
      </c>
      <c r="D720" t="s">
        <v>1564</v>
      </c>
      <c r="E720" t="s">
        <v>72</v>
      </c>
      <c r="F720">
        <v>4</v>
      </c>
      <c r="G720">
        <v>44009.32</v>
      </c>
      <c r="H720">
        <v>176037.28</v>
      </c>
      <c r="I720" t="s">
        <v>42</v>
      </c>
      <c r="J720" t="s">
        <v>35</v>
      </c>
    </row>
    <row r="721" spans="1:10" x14ac:dyDescent="0.35">
      <c r="A721" t="s">
        <v>1565</v>
      </c>
      <c r="B721" t="s">
        <v>1563</v>
      </c>
      <c r="C721" t="str">
        <f>TEXT(Table1[[#This Row],[Order_Date]],"mmm")</f>
        <v>May</v>
      </c>
      <c r="D721" t="s">
        <v>1566</v>
      </c>
      <c r="E721" t="s">
        <v>22</v>
      </c>
      <c r="F721">
        <v>1</v>
      </c>
      <c r="G721">
        <v>22902.01</v>
      </c>
      <c r="H721">
        <v>22902.01</v>
      </c>
      <c r="I721" t="s">
        <v>42</v>
      </c>
      <c r="J721" t="s">
        <v>35</v>
      </c>
    </row>
    <row r="722" spans="1:10" x14ac:dyDescent="0.35">
      <c r="A722" t="s">
        <v>1567</v>
      </c>
      <c r="B722" t="s">
        <v>1563</v>
      </c>
      <c r="C722" t="str">
        <f>TEXT(Table1[[#This Row],[Order_Date]],"mmm")</f>
        <v>May</v>
      </c>
      <c r="D722" t="s">
        <v>1568</v>
      </c>
      <c r="E722" t="s">
        <v>47</v>
      </c>
      <c r="F722">
        <v>1</v>
      </c>
      <c r="G722">
        <v>38627.879999999997</v>
      </c>
      <c r="H722">
        <v>38627.879999999997</v>
      </c>
      <c r="I722" t="s">
        <v>18</v>
      </c>
      <c r="J722" t="s">
        <v>35</v>
      </c>
    </row>
    <row r="723" spans="1:10" x14ac:dyDescent="0.35">
      <c r="A723" t="s">
        <v>1569</v>
      </c>
      <c r="B723" t="s">
        <v>1563</v>
      </c>
      <c r="C723" t="str">
        <f>TEXT(Table1[[#This Row],[Order_Date]],"mmm")</f>
        <v>May</v>
      </c>
      <c r="D723" t="s">
        <v>1570</v>
      </c>
      <c r="E723" t="s">
        <v>47</v>
      </c>
      <c r="F723">
        <v>4</v>
      </c>
      <c r="G723">
        <v>28404.5</v>
      </c>
      <c r="H723">
        <v>113618</v>
      </c>
      <c r="I723" t="s">
        <v>42</v>
      </c>
      <c r="J723" t="s">
        <v>24</v>
      </c>
    </row>
    <row r="724" spans="1:10" x14ac:dyDescent="0.35">
      <c r="A724" t="s">
        <v>1571</v>
      </c>
      <c r="B724" t="s">
        <v>1563</v>
      </c>
      <c r="C724" t="str">
        <f>TEXT(Table1[[#This Row],[Order_Date]],"mmm")</f>
        <v>May</v>
      </c>
      <c r="D724" t="s">
        <v>781</v>
      </c>
      <c r="E724" t="s">
        <v>56</v>
      </c>
      <c r="F724">
        <v>1</v>
      </c>
      <c r="G724">
        <v>16895.060000000001</v>
      </c>
      <c r="H724">
        <v>16895.060000000001</v>
      </c>
      <c r="I724" t="s">
        <v>23</v>
      </c>
      <c r="J724" t="s">
        <v>14</v>
      </c>
    </row>
    <row r="725" spans="1:10" x14ac:dyDescent="0.35">
      <c r="A725" t="s">
        <v>1572</v>
      </c>
      <c r="B725" t="s">
        <v>1563</v>
      </c>
      <c r="C725" t="str">
        <f>TEXT(Table1[[#This Row],[Order_Date]],"mmm")</f>
        <v>May</v>
      </c>
      <c r="D725" t="s">
        <v>346</v>
      </c>
      <c r="E725" t="s">
        <v>22</v>
      </c>
      <c r="F725">
        <v>3</v>
      </c>
      <c r="G725">
        <v>39486.6</v>
      </c>
      <c r="H725">
        <v>118459.8</v>
      </c>
      <c r="I725" t="s">
        <v>42</v>
      </c>
      <c r="J725" t="s">
        <v>19</v>
      </c>
    </row>
    <row r="726" spans="1:10" x14ac:dyDescent="0.35">
      <c r="A726" t="s">
        <v>1573</v>
      </c>
      <c r="B726" t="s">
        <v>1563</v>
      </c>
      <c r="C726" t="str">
        <f>TEXT(Table1[[#This Row],[Order_Date]],"mmm")</f>
        <v>May</v>
      </c>
      <c r="D726" t="s">
        <v>1574</v>
      </c>
      <c r="E726" t="s">
        <v>75</v>
      </c>
      <c r="F726">
        <v>5</v>
      </c>
      <c r="G726">
        <v>42584.24</v>
      </c>
      <c r="H726">
        <v>212921.2</v>
      </c>
      <c r="I726" t="s">
        <v>23</v>
      </c>
      <c r="J726" t="s">
        <v>14</v>
      </c>
    </row>
    <row r="727" spans="1:10" x14ac:dyDescent="0.35">
      <c r="A727" t="s">
        <v>1575</v>
      </c>
      <c r="B727" t="s">
        <v>1576</v>
      </c>
      <c r="C727" t="str">
        <f>TEXT(Table1[[#This Row],[Order_Date]],"mmm")</f>
        <v>May</v>
      </c>
      <c r="D727" t="s">
        <v>1577</v>
      </c>
      <c r="E727" t="s">
        <v>32</v>
      </c>
      <c r="F727">
        <v>2</v>
      </c>
      <c r="G727">
        <v>22454.18</v>
      </c>
      <c r="H727">
        <v>44908.36</v>
      </c>
      <c r="I727" t="s">
        <v>13</v>
      </c>
      <c r="J727" t="s">
        <v>14</v>
      </c>
    </row>
    <row r="728" spans="1:10" x14ac:dyDescent="0.35">
      <c r="A728" t="s">
        <v>1578</v>
      </c>
      <c r="B728" t="s">
        <v>1576</v>
      </c>
      <c r="C728" t="str">
        <f>TEXT(Table1[[#This Row],[Order_Date]],"mmm")</f>
        <v>May</v>
      </c>
      <c r="D728" t="s">
        <v>805</v>
      </c>
      <c r="E728" t="s">
        <v>72</v>
      </c>
      <c r="F728">
        <v>3</v>
      </c>
      <c r="G728">
        <v>18240.509999999998</v>
      </c>
      <c r="H728">
        <v>54721.53</v>
      </c>
      <c r="I728" t="s">
        <v>23</v>
      </c>
      <c r="J728" t="s">
        <v>14</v>
      </c>
    </row>
    <row r="729" spans="1:10" x14ac:dyDescent="0.35">
      <c r="A729" t="s">
        <v>1579</v>
      </c>
      <c r="B729" t="s">
        <v>1576</v>
      </c>
      <c r="C729" t="str">
        <f>TEXT(Table1[[#This Row],[Order_Date]],"mmm")</f>
        <v>May</v>
      </c>
      <c r="D729" t="s">
        <v>1580</v>
      </c>
      <c r="E729" t="s">
        <v>72</v>
      </c>
      <c r="F729">
        <v>1</v>
      </c>
      <c r="G729">
        <v>25508.11</v>
      </c>
      <c r="H729">
        <v>25508.11</v>
      </c>
      <c r="I729" t="s">
        <v>18</v>
      </c>
      <c r="J729" t="s">
        <v>19</v>
      </c>
    </row>
    <row r="730" spans="1:10" x14ac:dyDescent="0.35">
      <c r="A730" t="s">
        <v>1581</v>
      </c>
      <c r="B730" t="s">
        <v>1576</v>
      </c>
      <c r="C730" t="str">
        <f>TEXT(Table1[[#This Row],[Order_Date]],"mmm")</f>
        <v>May</v>
      </c>
      <c r="D730" t="s">
        <v>1582</v>
      </c>
      <c r="E730" t="s">
        <v>56</v>
      </c>
      <c r="F730">
        <v>4</v>
      </c>
      <c r="G730">
        <v>27143.7</v>
      </c>
      <c r="H730">
        <v>108574.8</v>
      </c>
      <c r="I730" t="s">
        <v>13</v>
      </c>
      <c r="J730" t="s">
        <v>24</v>
      </c>
    </row>
    <row r="731" spans="1:10" x14ac:dyDescent="0.35">
      <c r="A731" t="s">
        <v>1583</v>
      </c>
      <c r="B731" t="s">
        <v>1576</v>
      </c>
      <c r="C731" t="str">
        <f>TEXT(Table1[[#This Row],[Order_Date]],"mmm")</f>
        <v>May</v>
      </c>
      <c r="D731" t="s">
        <v>1584</v>
      </c>
      <c r="E731" t="s">
        <v>32</v>
      </c>
      <c r="F731">
        <v>1</v>
      </c>
      <c r="G731">
        <v>39319.620000000003</v>
      </c>
      <c r="H731">
        <v>39319.620000000003</v>
      </c>
      <c r="I731" t="s">
        <v>13</v>
      </c>
      <c r="J731" t="s">
        <v>19</v>
      </c>
    </row>
    <row r="732" spans="1:10" x14ac:dyDescent="0.35">
      <c r="A732" t="s">
        <v>1585</v>
      </c>
      <c r="B732" t="s">
        <v>1576</v>
      </c>
      <c r="C732" t="str">
        <f>TEXT(Table1[[#This Row],[Order_Date]],"mmm")</f>
        <v>May</v>
      </c>
      <c r="D732" t="s">
        <v>1586</v>
      </c>
      <c r="E732" t="s">
        <v>56</v>
      </c>
      <c r="F732">
        <v>1</v>
      </c>
      <c r="G732">
        <v>49308.32</v>
      </c>
      <c r="H732">
        <v>49308.32</v>
      </c>
      <c r="I732" t="s">
        <v>18</v>
      </c>
      <c r="J732" t="s">
        <v>35</v>
      </c>
    </row>
    <row r="733" spans="1:10" x14ac:dyDescent="0.35">
      <c r="A733" t="s">
        <v>1587</v>
      </c>
      <c r="B733" t="s">
        <v>1576</v>
      </c>
      <c r="C733" t="str">
        <f>TEXT(Table1[[#This Row],[Order_Date]],"mmm")</f>
        <v>May</v>
      </c>
      <c r="D733" t="s">
        <v>1588</v>
      </c>
      <c r="E733" t="s">
        <v>38</v>
      </c>
      <c r="F733">
        <v>1</v>
      </c>
      <c r="G733">
        <v>41942.07</v>
      </c>
      <c r="H733">
        <v>41942.07</v>
      </c>
      <c r="I733" t="s">
        <v>23</v>
      </c>
      <c r="J733" t="s">
        <v>14</v>
      </c>
    </row>
    <row r="734" spans="1:10" x14ac:dyDescent="0.35">
      <c r="A734" t="s">
        <v>1589</v>
      </c>
      <c r="B734" t="s">
        <v>1576</v>
      </c>
      <c r="C734" t="str">
        <f>TEXT(Table1[[#This Row],[Order_Date]],"mmm")</f>
        <v>May</v>
      </c>
      <c r="D734" t="s">
        <v>1590</v>
      </c>
      <c r="E734" t="s">
        <v>38</v>
      </c>
      <c r="F734">
        <v>3</v>
      </c>
      <c r="G734">
        <v>32520.61</v>
      </c>
      <c r="H734">
        <v>97561.83</v>
      </c>
      <c r="I734" t="s">
        <v>23</v>
      </c>
      <c r="J734" t="s">
        <v>14</v>
      </c>
    </row>
    <row r="735" spans="1:10" x14ac:dyDescent="0.35">
      <c r="A735" t="s">
        <v>1591</v>
      </c>
      <c r="B735" t="s">
        <v>1592</v>
      </c>
      <c r="C735" t="str">
        <f>TEXT(Table1[[#This Row],[Order_Date]],"mmm")</f>
        <v>May</v>
      </c>
      <c r="D735" t="s">
        <v>762</v>
      </c>
      <c r="E735" t="s">
        <v>56</v>
      </c>
      <c r="F735">
        <v>1</v>
      </c>
      <c r="G735">
        <v>42192.7</v>
      </c>
      <c r="H735">
        <v>42192.7</v>
      </c>
      <c r="I735" t="s">
        <v>18</v>
      </c>
      <c r="J735" t="s">
        <v>35</v>
      </c>
    </row>
    <row r="736" spans="1:10" x14ac:dyDescent="0.35">
      <c r="A736" t="s">
        <v>1593</v>
      </c>
      <c r="B736" t="s">
        <v>1592</v>
      </c>
      <c r="C736" t="str">
        <f>TEXT(Table1[[#This Row],[Order_Date]],"mmm")</f>
        <v>May</v>
      </c>
      <c r="D736" t="s">
        <v>1594</v>
      </c>
      <c r="E736" t="s">
        <v>47</v>
      </c>
      <c r="F736">
        <v>2</v>
      </c>
      <c r="G736">
        <v>23581.9</v>
      </c>
      <c r="H736">
        <v>47163.8</v>
      </c>
      <c r="I736" t="s">
        <v>13</v>
      </c>
      <c r="J736" t="s">
        <v>19</v>
      </c>
    </row>
    <row r="737" spans="1:10" x14ac:dyDescent="0.35">
      <c r="A737" t="s">
        <v>1595</v>
      </c>
      <c r="B737" t="s">
        <v>1592</v>
      </c>
      <c r="C737" t="str">
        <f>TEXT(Table1[[#This Row],[Order_Date]],"mmm")</f>
        <v>May</v>
      </c>
      <c r="D737" t="s">
        <v>1596</v>
      </c>
      <c r="E737" t="s">
        <v>22</v>
      </c>
      <c r="F737">
        <v>5</v>
      </c>
      <c r="G737">
        <v>49840.95</v>
      </c>
      <c r="H737">
        <v>249204.75</v>
      </c>
      <c r="I737" t="s">
        <v>13</v>
      </c>
      <c r="J737" t="s">
        <v>35</v>
      </c>
    </row>
    <row r="738" spans="1:10" x14ac:dyDescent="0.35">
      <c r="A738" t="s">
        <v>1597</v>
      </c>
      <c r="B738" t="s">
        <v>1592</v>
      </c>
      <c r="C738" t="str">
        <f>TEXT(Table1[[#This Row],[Order_Date]],"mmm")</f>
        <v>May</v>
      </c>
      <c r="D738" t="s">
        <v>1091</v>
      </c>
      <c r="E738" t="s">
        <v>56</v>
      </c>
      <c r="F738">
        <v>3</v>
      </c>
      <c r="G738">
        <v>34381.17</v>
      </c>
      <c r="H738">
        <v>103143.51</v>
      </c>
      <c r="I738" t="s">
        <v>23</v>
      </c>
      <c r="J738" t="s">
        <v>35</v>
      </c>
    </row>
    <row r="739" spans="1:10" x14ac:dyDescent="0.35">
      <c r="A739" t="s">
        <v>1598</v>
      </c>
      <c r="B739" t="s">
        <v>1592</v>
      </c>
      <c r="C739" t="str">
        <f>TEXT(Table1[[#This Row],[Order_Date]],"mmm")</f>
        <v>May</v>
      </c>
      <c r="D739" t="s">
        <v>1599</v>
      </c>
      <c r="E739" t="s">
        <v>12</v>
      </c>
      <c r="F739">
        <v>4</v>
      </c>
      <c r="G739">
        <v>39757.78</v>
      </c>
      <c r="H739">
        <v>159031.12</v>
      </c>
      <c r="I739" t="s">
        <v>18</v>
      </c>
      <c r="J739" t="s">
        <v>19</v>
      </c>
    </row>
    <row r="740" spans="1:10" x14ac:dyDescent="0.35">
      <c r="A740" t="s">
        <v>1600</v>
      </c>
      <c r="B740" t="s">
        <v>1601</v>
      </c>
      <c r="C740" t="str">
        <f>TEXT(Table1[[#This Row],[Order_Date]],"mmm")</f>
        <v>May</v>
      </c>
      <c r="D740" t="s">
        <v>1602</v>
      </c>
      <c r="E740" t="s">
        <v>17</v>
      </c>
      <c r="F740">
        <v>4</v>
      </c>
      <c r="G740">
        <v>32917.1</v>
      </c>
      <c r="H740">
        <v>131668.4</v>
      </c>
      <c r="I740" t="s">
        <v>13</v>
      </c>
      <c r="J740" t="s">
        <v>35</v>
      </c>
    </row>
    <row r="741" spans="1:10" x14ac:dyDescent="0.35">
      <c r="A741" t="s">
        <v>1603</v>
      </c>
      <c r="B741" t="s">
        <v>1601</v>
      </c>
      <c r="C741" t="str">
        <f>TEXT(Table1[[#This Row],[Order_Date]],"mmm")</f>
        <v>May</v>
      </c>
      <c r="D741" t="s">
        <v>1604</v>
      </c>
      <c r="E741" t="s">
        <v>32</v>
      </c>
      <c r="F741">
        <v>4</v>
      </c>
      <c r="G741">
        <v>17844.78</v>
      </c>
      <c r="H741">
        <v>71379.12</v>
      </c>
      <c r="I741" t="s">
        <v>42</v>
      </c>
      <c r="J741" t="s">
        <v>35</v>
      </c>
    </row>
    <row r="742" spans="1:10" x14ac:dyDescent="0.35">
      <c r="A742" t="s">
        <v>1605</v>
      </c>
      <c r="B742" t="s">
        <v>1601</v>
      </c>
      <c r="C742" t="str">
        <f>TEXT(Table1[[#This Row],[Order_Date]],"mmm")</f>
        <v>May</v>
      </c>
      <c r="D742" t="s">
        <v>1606</v>
      </c>
      <c r="E742" t="s">
        <v>56</v>
      </c>
      <c r="F742">
        <v>1</v>
      </c>
      <c r="G742">
        <v>34139.879999999997</v>
      </c>
      <c r="H742">
        <v>34139.879999999997</v>
      </c>
      <c r="I742" t="s">
        <v>23</v>
      </c>
      <c r="J742" t="s">
        <v>14</v>
      </c>
    </row>
    <row r="743" spans="1:10" x14ac:dyDescent="0.35">
      <c r="A743" t="s">
        <v>1607</v>
      </c>
      <c r="B743" t="s">
        <v>1601</v>
      </c>
      <c r="C743" t="str">
        <f>TEXT(Table1[[#This Row],[Order_Date]],"mmm")</f>
        <v>May</v>
      </c>
      <c r="D743" t="s">
        <v>1608</v>
      </c>
      <c r="E743" t="s">
        <v>72</v>
      </c>
      <c r="F743">
        <v>4</v>
      </c>
      <c r="G743">
        <v>5196.16</v>
      </c>
      <c r="H743">
        <v>20784.64</v>
      </c>
      <c r="I743" t="s">
        <v>18</v>
      </c>
      <c r="J743" t="s">
        <v>19</v>
      </c>
    </row>
    <row r="744" spans="1:10" x14ac:dyDescent="0.35">
      <c r="A744" t="s">
        <v>1609</v>
      </c>
      <c r="B744" t="s">
        <v>1601</v>
      </c>
      <c r="C744" t="str">
        <f>TEXT(Table1[[#This Row],[Order_Date]],"mmm")</f>
        <v>May</v>
      </c>
      <c r="D744" t="s">
        <v>1610</v>
      </c>
      <c r="E744" t="s">
        <v>56</v>
      </c>
      <c r="F744">
        <v>4</v>
      </c>
      <c r="G744">
        <v>6911.38</v>
      </c>
      <c r="H744">
        <v>27645.52</v>
      </c>
      <c r="I744" t="s">
        <v>23</v>
      </c>
      <c r="J744" t="s">
        <v>35</v>
      </c>
    </row>
    <row r="745" spans="1:10" x14ac:dyDescent="0.35">
      <c r="A745" t="s">
        <v>1611</v>
      </c>
      <c r="B745" t="s">
        <v>1601</v>
      </c>
      <c r="C745" t="str">
        <f>TEXT(Table1[[#This Row],[Order_Date]],"mmm")</f>
        <v>May</v>
      </c>
      <c r="D745" t="s">
        <v>980</v>
      </c>
      <c r="E745" t="s">
        <v>17</v>
      </c>
      <c r="F745">
        <v>5</v>
      </c>
      <c r="G745">
        <v>33749.49</v>
      </c>
      <c r="H745">
        <v>168747.45</v>
      </c>
      <c r="I745" t="s">
        <v>13</v>
      </c>
      <c r="J745" t="s">
        <v>19</v>
      </c>
    </row>
    <row r="746" spans="1:10" x14ac:dyDescent="0.35">
      <c r="A746" t="s">
        <v>1612</v>
      </c>
      <c r="B746" t="s">
        <v>1613</v>
      </c>
      <c r="C746" t="str">
        <f>TEXT(Table1[[#This Row],[Order_Date]],"mmm")</f>
        <v>May</v>
      </c>
      <c r="D746" t="s">
        <v>1614</v>
      </c>
      <c r="E746" t="s">
        <v>72</v>
      </c>
      <c r="F746">
        <v>5</v>
      </c>
      <c r="G746">
        <v>19793.669999999998</v>
      </c>
      <c r="H746">
        <v>98968.35</v>
      </c>
      <c r="I746" t="s">
        <v>13</v>
      </c>
      <c r="J746" t="s">
        <v>24</v>
      </c>
    </row>
    <row r="747" spans="1:10" x14ac:dyDescent="0.35">
      <c r="A747" t="s">
        <v>1615</v>
      </c>
      <c r="B747" t="s">
        <v>1613</v>
      </c>
      <c r="C747" t="str">
        <f>TEXT(Table1[[#This Row],[Order_Date]],"mmm")</f>
        <v>May</v>
      </c>
      <c r="D747" t="s">
        <v>1616</v>
      </c>
      <c r="E747" t="s">
        <v>32</v>
      </c>
      <c r="F747">
        <v>4</v>
      </c>
      <c r="G747">
        <v>33072.43</v>
      </c>
      <c r="H747">
        <v>132289.72</v>
      </c>
      <c r="I747" t="s">
        <v>42</v>
      </c>
      <c r="J747" t="s">
        <v>19</v>
      </c>
    </row>
    <row r="748" spans="1:10" x14ac:dyDescent="0.35">
      <c r="A748" t="s">
        <v>1617</v>
      </c>
      <c r="B748" t="s">
        <v>1613</v>
      </c>
      <c r="C748" t="str">
        <f>TEXT(Table1[[#This Row],[Order_Date]],"mmm")</f>
        <v>May</v>
      </c>
      <c r="D748" t="s">
        <v>1618</v>
      </c>
      <c r="E748" t="s">
        <v>53</v>
      </c>
      <c r="F748">
        <v>2</v>
      </c>
      <c r="G748">
        <v>14934.36</v>
      </c>
      <c r="H748">
        <v>29868.720000000001</v>
      </c>
      <c r="I748" t="s">
        <v>42</v>
      </c>
      <c r="J748" t="s">
        <v>24</v>
      </c>
    </row>
    <row r="749" spans="1:10" x14ac:dyDescent="0.35">
      <c r="A749" t="s">
        <v>1619</v>
      </c>
      <c r="B749" t="s">
        <v>1613</v>
      </c>
      <c r="C749" t="str">
        <f>TEXT(Table1[[#This Row],[Order_Date]],"mmm")</f>
        <v>May</v>
      </c>
      <c r="D749" t="s">
        <v>1620</v>
      </c>
      <c r="E749" t="s">
        <v>38</v>
      </c>
      <c r="F749">
        <v>1</v>
      </c>
      <c r="G749">
        <v>49025.36</v>
      </c>
      <c r="H749">
        <v>49025.36</v>
      </c>
      <c r="I749" t="s">
        <v>42</v>
      </c>
      <c r="J749" t="s">
        <v>35</v>
      </c>
    </row>
    <row r="750" spans="1:10" x14ac:dyDescent="0.35">
      <c r="A750" t="s">
        <v>1621</v>
      </c>
      <c r="B750" t="s">
        <v>1622</v>
      </c>
      <c r="C750" t="str">
        <f>TEXT(Table1[[#This Row],[Order_Date]],"mmm")</f>
        <v>May</v>
      </c>
      <c r="D750" t="s">
        <v>1623</v>
      </c>
      <c r="E750" t="s">
        <v>72</v>
      </c>
      <c r="F750">
        <v>3</v>
      </c>
      <c r="G750">
        <v>39210.120000000003</v>
      </c>
      <c r="H750">
        <v>117630.36</v>
      </c>
      <c r="I750" t="s">
        <v>18</v>
      </c>
      <c r="J750" t="s">
        <v>24</v>
      </c>
    </row>
    <row r="751" spans="1:10" x14ac:dyDescent="0.35">
      <c r="A751" t="s">
        <v>1624</v>
      </c>
      <c r="B751" t="s">
        <v>1622</v>
      </c>
      <c r="C751" t="str">
        <f>TEXT(Table1[[#This Row],[Order_Date]],"mmm")</f>
        <v>May</v>
      </c>
      <c r="D751" t="s">
        <v>1625</v>
      </c>
      <c r="E751" t="s">
        <v>47</v>
      </c>
      <c r="F751">
        <v>3</v>
      </c>
      <c r="G751">
        <v>12929.24</v>
      </c>
      <c r="H751">
        <v>38787.72</v>
      </c>
      <c r="I751" t="s">
        <v>18</v>
      </c>
      <c r="J751" t="s">
        <v>19</v>
      </c>
    </row>
    <row r="752" spans="1:10" x14ac:dyDescent="0.35">
      <c r="A752" t="s">
        <v>1626</v>
      </c>
      <c r="B752" t="s">
        <v>1622</v>
      </c>
      <c r="C752" t="str">
        <f>TEXT(Table1[[#This Row],[Order_Date]],"mmm")</f>
        <v>May</v>
      </c>
      <c r="D752" t="s">
        <v>1627</v>
      </c>
      <c r="E752" t="s">
        <v>32</v>
      </c>
      <c r="F752">
        <v>4</v>
      </c>
      <c r="G752">
        <v>28660.73</v>
      </c>
      <c r="H752">
        <v>114642.92</v>
      </c>
      <c r="I752" t="s">
        <v>23</v>
      </c>
      <c r="J752" t="s">
        <v>24</v>
      </c>
    </row>
    <row r="753" spans="1:10" x14ac:dyDescent="0.35">
      <c r="A753" t="s">
        <v>1628</v>
      </c>
      <c r="B753" t="s">
        <v>1622</v>
      </c>
      <c r="C753" t="str">
        <f>TEXT(Table1[[#This Row],[Order_Date]],"mmm")</f>
        <v>May</v>
      </c>
      <c r="D753" t="s">
        <v>1629</v>
      </c>
      <c r="E753" t="s">
        <v>56</v>
      </c>
      <c r="F753">
        <v>1</v>
      </c>
      <c r="G753">
        <v>33012.65</v>
      </c>
      <c r="H753">
        <v>33012.65</v>
      </c>
      <c r="I753" t="s">
        <v>13</v>
      </c>
      <c r="J753" t="s">
        <v>35</v>
      </c>
    </row>
    <row r="754" spans="1:10" x14ac:dyDescent="0.35">
      <c r="A754" t="s">
        <v>1630</v>
      </c>
      <c r="B754" t="s">
        <v>1631</v>
      </c>
      <c r="C754" t="str">
        <f>TEXT(Table1[[#This Row],[Order_Date]],"mmm")</f>
        <v>May</v>
      </c>
      <c r="D754" t="s">
        <v>1632</v>
      </c>
      <c r="E754" t="s">
        <v>56</v>
      </c>
      <c r="F754">
        <v>5</v>
      </c>
      <c r="G754">
        <v>13975.18</v>
      </c>
      <c r="H754">
        <v>69875.899999999994</v>
      </c>
      <c r="I754" t="s">
        <v>18</v>
      </c>
      <c r="J754" t="s">
        <v>19</v>
      </c>
    </row>
    <row r="755" spans="1:10" x14ac:dyDescent="0.35">
      <c r="A755" t="s">
        <v>1633</v>
      </c>
      <c r="B755" t="s">
        <v>1631</v>
      </c>
      <c r="C755" t="str">
        <f>TEXT(Table1[[#This Row],[Order_Date]],"mmm")</f>
        <v>May</v>
      </c>
      <c r="D755" t="s">
        <v>1634</v>
      </c>
      <c r="E755" t="s">
        <v>12</v>
      </c>
      <c r="F755">
        <v>5</v>
      </c>
      <c r="G755">
        <v>9371.15</v>
      </c>
      <c r="H755">
        <v>46855.75</v>
      </c>
      <c r="I755" t="s">
        <v>18</v>
      </c>
      <c r="J755" t="s">
        <v>35</v>
      </c>
    </row>
    <row r="756" spans="1:10" x14ac:dyDescent="0.35">
      <c r="A756" t="s">
        <v>1635</v>
      </c>
      <c r="B756" t="s">
        <v>1631</v>
      </c>
      <c r="C756" t="str">
        <f>TEXT(Table1[[#This Row],[Order_Date]],"mmm")</f>
        <v>May</v>
      </c>
      <c r="D756" t="s">
        <v>1636</v>
      </c>
      <c r="E756" t="s">
        <v>72</v>
      </c>
      <c r="F756">
        <v>1</v>
      </c>
      <c r="G756">
        <v>25102.15</v>
      </c>
      <c r="H756">
        <v>25102.15</v>
      </c>
      <c r="I756" t="s">
        <v>13</v>
      </c>
      <c r="J756" t="s">
        <v>14</v>
      </c>
    </row>
    <row r="757" spans="1:10" x14ac:dyDescent="0.35">
      <c r="A757" t="s">
        <v>1637</v>
      </c>
      <c r="B757" t="s">
        <v>1631</v>
      </c>
      <c r="C757" t="str">
        <f>TEXT(Table1[[#This Row],[Order_Date]],"mmm")</f>
        <v>May</v>
      </c>
      <c r="D757" t="s">
        <v>1189</v>
      </c>
      <c r="E757" t="s">
        <v>72</v>
      </c>
      <c r="F757">
        <v>5</v>
      </c>
      <c r="G757">
        <v>35882.410000000003</v>
      </c>
      <c r="H757">
        <v>179412.05</v>
      </c>
      <c r="I757" t="s">
        <v>13</v>
      </c>
      <c r="J757" t="s">
        <v>35</v>
      </c>
    </row>
    <row r="758" spans="1:10" x14ac:dyDescent="0.35">
      <c r="A758" t="s">
        <v>1638</v>
      </c>
      <c r="B758" t="s">
        <v>1639</v>
      </c>
      <c r="C758" t="str">
        <f>TEXT(Table1[[#This Row],[Order_Date]],"mmm")</f>
        <v>May</v>
      </c>
      <c r="D758" t="s">
        <v>1640</v>
      </c>
      <c r="E758" t="s">
        <v>12</v>
      </c>
      <c r="F758">
        <v>5</v>
      </c>
      <c r="G758">
        <v>15224.96</v>
      </c>
      <c r="H758">
        <v>76124.800000000003</v>
      </c>
      <c r="I758" t="s">
        <v>42</v>
      </c>
      <c r="J758" t="s">
        <v>14</v>
      </c>
    </row>
    <row r="759" spans="1:10" x14ac:dyDescent="0.35">
      <c r="A759" t="s">
        <v>1641</v>
      </c>
      <c r="B759" t="s">
        <v>1639</v>
      </c>
      <c r="C759" t="str">
        <f>TEXT(Table1[[#This Row],[Order_Date]],"mmm")</f>
        <v>May</v>
      </c>
      <c r="D759" t="s">
        <v>1642</v>
      </c>
      <c r="E759" t="s">
        <v>38</v>
      </c>
      <c r="F759">
        <v>3</v>
      </c>
      <c r="G759">
        <v>46350.93</v>
      </c>
      <c r="H759">
        <v>139052.79</v>
      </c>
      <c r="I759" t="s">
        <v>23</v>
      </c>
      <c r="J759" t="s">
        <v>35</v>
      </c>
    </row>
    <row r="760" spans="1:10" x14ac:dyDescent="0.35">
      <c r="A760" t="s">
        <v>1643</v>
      </c>
      <c r="B760" t="s">
        <v>1639</v>
      </c>
      <c r="C760" t="str">
        <f>TEXT(Table1[[#This Row],[Order_Date]],"mmm")</f>
        <v>May</v>
      </c>
      <c r="D760" t="s">
        <v>213</v>
      </c>
      <c r="E760" t="s">
        <v>75</v>
      </c>
      <c r="F760">
        <v>1</v>
      </c>
      <c r="G760">
        <v>42575.39</v>
      </c>
      <c r="H760">
        <v>42575.39</v>
      </c>
      <c r="I760" t="s">
        <v>42</v>
      </c>
      <c r="J760" t="s">
        <v>19</v>
      </c>
    </row>
    <row r="761" spans="1:10" x14ac:dyDescent="0.35">
      <c r="A761" t="s">
        <v>1644</v>
      </c>
      <c r="B761" t="s">
        <v>1639</v>
      </c>
      <c r="C761" t="str">
        <f>TEXT(Table1[[#This Row],[Order_Date]],"mmm")</f>
        <v>May</v>
      </c>
      <c r="D761" t="s">
        <v>423</v>
      </c>
      <c r="E761" t="s">
        <v>17</v>
      </c>
      <c r="F761">
        <v>1</v>
      </c>
      <c r="G761">
        <v>21869.79</v>
      </c>
      <c r="H761">
        <v>21869.79</v>
      </c>
      <c r="I761" t="s">
        <v>42</v>
      </c>
      <c r="J761" t="s">
        <v>24</v>
      </c>
    </row>
    <row r="762" spans="1:10" x14ac:dyDescent="0.35">
      <c r="A762" t="s">
        <v>1645</v>
      </c>
      <c r="B762" t="s">
        <v>1639</v>
      </c>
      <c r="C762" t="str">
        <f>TEXT(Table1[[#This Row],[Order_Date]],"mmm")</f>
        <v>May</v>
      </c>
      <c r="D762" t="s">
        <v>1646</v>
      </c>
      <c r="E762" t="s">
        <v>53</v>
      </c>
      <c r="F762">
        <v>2</v>
      </c>
      <c r="G762">
        <v>13933.45</v>
      </c>
      <c r="H762">
        <v>27866.9</v>
      </c>
      <c r="I762" t="s">
        <v>23</v>
      </c>
      <c r="J762" t="s">
        <v>19</v>
      </c>
    </row>
    <row r="763" spans="1:10" x14ac:dyDescent="0.35">
      <c r="A763" t="s">
        <v>1647</v>
      </c>
      <c r="B763" t="s">
        <v>1648</v>
      </c>
      <c r="C763" t="str">
        <f>TEXT(Table1[[#This Row],[Order_Date]],"mmm")</f>
        <v>May</v>
      </c>
      <c r="D763" t="s">
        <v>992</v>
      </c>
      <c r="E763" t="s">
        <v>47</v>
      </c>
      <c r="F763">
        <v>3</v>
      </c>
      <c r="G763">
        <v>17539.95</v>
      </c>
      <c r="H763">
        <v>52619.85</v>
      </c>
      <c r="I763" t="s">
        <v>18</v>
      </c>
      <c r="J763" t="s">
        <v>14</v>
      </c>
    </row>
    <row r="764" spans="1:10" x14ac:dyDescent="0.35">
      <c r="A764" t="s">
        <v>1649</v>
      </c>
      <c r="B764" t="s">
        <v>1648</v>
      </c>
      <c r="C764" t="str">
        <f>TEXT(Table1[[#This Row],[Order_Date]],"mmm")</f>
        <v>May</v>
      </c>
      <c r="D764" t="s">
        <v>1650</v>
      </c>
      <c r="E764" t="s">
        <v>12</v>
      </c>
      <c r="F764">
        <v>1</v>
      </c>
      <c r="G764">
        <v>13782.84</v>
      </c>
      <c r="H764">
        <v>13782.84</v>
      </c>
      <c r="I764" t="s">
        <v>18</v>
      </c>
      <c r="J764" t="s">
        <v>19</v>
      </c>
    </row>
    <row r="765" spans="1:10" x14ac:dyDescent="0.35">
      <c r="A765" t="s">
        <v>1651</v>
      </c>
      <c r="B765" t="s">
        <v>1648</v>
      </c>
      <c r="C765" t="str">
        <f>TEXT(Table1[[#This Row],[Order_Date]],"mmm")</f>
        <v>May</v>
      </c>
      <c r="D765" t="s">
        <v>1652</v>
      </c>
      <c r="E765" t="s">
        <v>47</v>
      </c>
      <c r="F765">
        <v>4</v>
      </c>
      <c r="G765">
        <v>10089.67</v>
      </c>
      <c r="H765">
        <v>40358.68</v>
      </c>
      <c r="I765" t="s">
        <v>13</v>
      </c>
      <c r="J765" t="s">
        <v>35</v>
      </c>
    </row>
    <row r="766" spans="1:10" x14ac:dyDescent="0.35">
      <c r="A766" t="s">
        <v>1653</v>
      </c>
      <c r="B766" t="s">
        <v>1648</v>
      </c>
      <c r="C766" t="str">
        <f>TEXT(Table1[[#This Row],[Order_Date]],"mmm")</f>
        <v>May</v>
      </c>
      <c r="D766" t="s">
        <v>1654</v>
      </c>
      <c r="E766" t="s">
        <v>32</v>
      </c>
      <c r="F766">
        <v>5</v>
      </c>
      <c r="G766">
        <v>9843.5300000000007</v>
      </c>
      <c r="H766">
        <v>49217.65</v>
      </c>
      <c r="I766" t="s">
        <v>18</v>
      </c>
      <c r="J766" t="s">
        <v>35</v>
      </c>
    </row>
    <row r="767" spans="1:10" x14ac:dyDescent="0.35">
      <c r="A767" t="s">
        <v>1655</v>
      </c>
      <c r="B767" t="s">
        <v>1648</v>
      </c>
      <c r="C767" t="str">
        <f>TEXT(Table1[[#This Row],[Order_Date]],"mmm")</f>
        <v>May</v>
      </c>
      <c r="D767" t="s">
        <v>1656</v>
      </c>
      <c r="E767" t="s">
        <v>53</v>
      </c>
      <c r="F767">
        <v>4</v>
      </c>
      <c r="G767">
        <v>10966.14</v>
      </c>
      <c r="H767">
        <v>43864.56</v>
      </c>
      <c r="I767" t="s">
        <v>23</v>
      </c>
      <c r="J767" t="s">
        <v>35</v>
      </c>
    </row>
    <row r="768" spans="1:10" x14ac:dyDescent="0.35">
      <c r="A768" t="s">
        <v>1657</v>
      </c>
      <c r="B768" t="s">
        <v>1648</v>
      </c>
      <c r="C768" t="str">
        <f>TEXT(Table1[[#This Row],[Order_Date]],"mmm")</f>
        <v>May</v>
      </c>
      <c r="D768" t="s">
        <v>1658</v>
      </c>
      <c r="E768" t="s">
        <v>53</v>
      </c>
      <c r="F768">
        <v>1</v>
      </c>
      <c r="G768">
        <v>9175.01</v>
      </c>
      <c r="H768">
        <v>9175.01</v>
      </c>
      <c r="I768" t="s">
        <v>13</v>
      </c>
      <c r="J768" t="s">
        <v>14</v>
      </c>
    </row>
    <row r="769" spans="1:10" x14ac:dyDescent="0.35">
      <c r="A769" t="s">
        <v>1659</v>
      </c>
      <c r="B769" t="s">
        <v>1648</v>
      </c>
      <c r="C769" t="str">
        <f>TEXT(Table1[[#This Row],[Order_Date]],"mmm")</f>
        <v>May</v>
      </c>
      <c r="D769" t="s">
        <v>1660</v>
      </c>
      <c r="E769" t="s">
        <v>56</v>
      </c>
      <c r="F769">
        <v>4</v>
      </c>
      <c r="G769">
        <v>18660.82</v>
      </c>
      <c r="H769">
        <v>74643.28</v>
      </c>
      <c r="I769" t="s">
        <v>13</v>
      </c>
      <c r="J769" t="s">
        <v>14</v>
      </c>
    </row>
    <row r="770" spans="1:10" x14ac:dyDescent="0.35">
      <c r="A770" t="s">
        <v>1661</v>
      </c>
      <c r="B770" t="s">
        <v>1662</v>
      </c>
      <c r="C770" t="str">
        <f>TEXT(Table1[[#This Row],[Order_Date]],"mmm")</f>
        <v>May</v>
      </c>
      <c r="D770" t="s">
        <v>1663</v>
      </c>
      <c r="E770" t="s">
        <v>56</v>
      </c>
      <c r="F770">
        <v>1</v>
      </c>
      <c r="G770">
        <v>10274.33</v>
      </c>
      <c r="H770">
        <v>10274.33</v>
      </c>
      <c r="I770" t="s">
        <v>42</v>
      </c>
      <c r="J770" t="s">
        <v>14</v>
      </c>
    </row>
    <row r="771" spans="1:10" x14ac:dyDescent="0.35">
      <c r="A771" t="s">
        <v>1664</v>
      </c>
      <c r="B771" t="s">
        <v>1662</v>
      </c>
      <c r="C771" t="str">
        <f>TEXT(Table1[[#This Row],[Order_Date]],"mmm")</f>
        <v>May</v>
      </c>
      <c r="D771" t="s">
        <v>1665</v>
      </c>
      <c r="E771" t="s">
        <v>72</v>
      </c>
      <c r="F771">
        <v>5</v>
      </c>
      <c r="G771">
        <v>47138.52</v>
      </c>
      <c r="H771">
        <v>235692.6</v>
      </c>
      <c r="I771" t="s">
        <v>23</v>
      </c>
      <c r="J771" t="s">
        <v>14</v>
      </c>
    </row>
    <row r="772" spans="1:10" x14ac:dyDescent="0.35">
      <c r="A772" t="s">
        <v>1666</v>
      </c>
      <c r="B772" t="s">
        <v>1662</v>
      </c>
      <c r="C772" t="str">
        <f>TEXT(Table1[[#This Row],[Order_Date]],"mmm")</f>
        <v>May</v>
      </c>
      <c r="D772" t="s">
        <v>1667</v>
      </c>
      <c r="E772" t="s">
        <v>56</v>
      </c>
      <c r="F772">
        <v>5</v>
      </c>
      <c r="G772">
        <v>38893.18</v>
      </c>
      <c r="H772">
        <v>194465.9</v>
      </c>
      <c r="I772" t="s">
        <v>42</v>
      </c>
      <c r="J772" t="s">
        <v>24</v>
      </c>
    </row>
    <row r="773" spans="1:10" x14ac:dyDescent="0.35">
      <c r="A773" t="s">
        <v>1668</v>
      </c>
      <c r="B773" t="s">
        <v>1662</v>
      </c>
      <c r="C773" t="str">
        <f>TEXT(Table1[[#This Row],[Order_Date]],"mmm")</f>
        <v>May</v>
      </c>
      <c r="D773" t="s">
        <v>1669</v>
      </c>
      <c r="E773" t="s">
        <v>32</v>
      </c>
      <c r="F773">
        <v>5</v>
      </c>
      <c r="G773">
        <v>7315.31</v>
      </c>
      <c r="H773">
        <v>36576.550000000003</v>
      </c>
      <c r="I773" t="s">
        <v>23</v>
      </c>
      <c r="J773" t="s">
        <v>35</v>
      </c>
    </row>
    <row r="774" spans="1:10" x14ac:dyDescent="0.35">
      <c r="A774" t="s">
        <v>1670</v>
      </c>
      <c r="B774" t="s">
        <v>1662</v>
      </c>
      <c r="C774" t="str">
        <f>TEXT(Table1[[#This Row],[Order_Date]],"mmm")</f>
        <v>May</v>
      </c>
      <c r="D774" t="s">
        <v>1671</v>
      </c>
      <c r="E774" t="s">
        <v>53</v>
      </c>
      <c r="F774">
        <v>3</v>
      </c>
      <c r="G774">
        <v>32464.28</v>
      </c>
      <c r="H774">
        <v>97392.84</v>
      </c>
      <c r="I774" t="s">
        <v>18</v>
      </c>
      <c r="J774" t="s">
        <v>24</v>
      </c>
    </row>
    <row r="775" spans="1:10" x14ac:dyDescent="0.35">
      <c r="A775" t="s">
        <v>1672</v>
      </c>
      <c r="B775" t="s">
        <v>1662</v>
      </c>
      <c r="C775" t="str">
        <f>TEXT(Table1[[#This Row],[Order_Date]],"mmm")</f>
        <v>May</v>
      </c>
      <c r="D775" t="s">
        <v>1673</v>
      </c>
      <c r="E775" t="s">
        <v>38</v>
      </c>
      <c r="F775">
        <v>4</v>
      </c>
      <c r="G775">
        <v>39132.39</v>
      </c>
      <c r="H775">
        <v>156529.56</v>
      </c>
      <c r="I775" t="s">
        <v>23</v>
      </c>
      <c r="J775" t="s">
        <v>35</v>
      </c>
    </row>
    <row r="776" spans="1:10" x14ac:dyDescent="0.35">
      <c r="A776" t="s">
        <v>1674</v>
      </c>
      <c r="B776" t="s">
        <v>1675</v>
      </c>
      <c r="C776" t="str">
        <f>TEXT(Table1[[#This Row],[Order_Date]],"mmm")</f>
        <v>May</v>
      </c>
      <c r="D776" t="s">
        <v>1676</v>
      </c>
      <c r="E776" t="s">
        <v>22</v>
      </c>
      <c r="F776">
        <v>2</v>
      </c>
      <c r="G776">
        <v>26681.89</v>
      </c>
      <c r="H776">
        <v>53363.78</v>
      </c>
      <c r="I776" t="s">
        <v>23</v>
      </c>
      <c r="J776" t="s">
        <v>14</v>
      </c>
    </row>
    <row r="777" spans="1:10" x14ac:dyDescent="0.35">
      <c r="A777" t="s">
        <v>1677</v>
      </c>
      <c r="B777" t="s">
        <v>1675</v>
      </c>
      <c r="C777" t="str">
        <f>TEXT(Table1[[#This Row],[Order_Date]],"mmm")</f>
        <v>May</v>
      </c>
      <c r="D777" t="s">
        <v>1678</v>
      </c>
      <c r="E777" t="s">
        <v>32</v>
      </c>
      <c r="F777">
        <v>5</v>
      </c>
      <c r="G777">
        <v>31510.5</v>
      </c>
      <c r="H777">
        <v>157552.5</v>
      </c>
      <c r="I777" t="s">
        <v>23</v>
      </c>
      <c r="J777" t="s">
        <v>19</v>
      </c>
    </row>
    <row r="778" spans="1:10" x14ac:dyDescent="0.35">
      <c r="A778" t="s">
        <v>1679</v>
      </c>
      <c r="B778" t="s">
        <v>1675</v>
      </c>
      <c r="C778" t="str">
        <f>TEXT(Table1[[#This Row],[Order_Date]],"mmm")</f>
        <v>May</v>
      </c>
      <c r="D778" t="s">
        <v>1680</v>
      </c>
      <c r="E778" t="s">
        <v>22</v>
      </c>
      <c r="F778">
        <v>5</v>
      </c>
      <c r="G778">
        <v>45502.86</v>
      </c>
      <c r="H778">
        <v>227514.3</v>
      </c>
      <c r="I778" t="s">
        <v>42</v>
      </c>
      <c r="J778" t="s">
        <v>14</v>
      </c>
    </row>
    <row r="779" spans="1:10" x14ac:dyDescent="0.35">
      <c r="A779" t="s">
        <v>1681</v>
      </c>
      <c r="B779" t="s">
        <v>1675</v>
      </c>
      <c r="C779" t="str">
        <f>TEXT(Table1[[#This Row],[Order_Date]],"mmm")</f>
        <v>May</v>
      </c>
      <c r="D779" t="s">
        <v>1682</v>
      </c>
      <c r="E779" t="s">
        <v>22</v>
      </c>
      <c r="F779">
        <v>4</v>
      </c>
      <c r="G779">
        <v>12248.24</v>
      </c>
      <c r="H779">
        <v>48992.959999999999</v>
      </c>
      <c r="I779" t="s">
        <v>42</v>
      </c>
      <c r="J779" t="s">
        <v>24</v>
      </c>
    </row>
    <row r="780" spans="1:10" x14ac:dyDescent="0.35">
      <c r="A780" t="s">
        <v>1683</v>
      </c>
      <c r="B780" t="s">
        <v>1684</v>
      </c>
      <c r="C780" t="str">
        <f>TEXT(Table1[[#This Row],[Order_Date]],"mmm")</f>
        <v>May</v>
      </c>
      <c r="D780" t="s">
        <v>1685</v>
      </c>
      <c r="E780" t="s">
        <v>38</v>
      </c>
      <c r="F780">
        <v>1</v>
      </c>
      <c r="G780">
        <v>21550.67</v>
      </c>
      <c r="H780">
        <v>21550.67</v>
      </c>
      <c r="I780" t="s">
        <v>23</v>
      </c>
      <c r="J780" t="s">
        <v>35</v>
      </c>
    </row>
    <row r="781" spans="1:10" x14ac:dyDescent="0.35">
      <c r="A781" t="s">
        <v>1686</v>
      </c>
      <c r="B781" t="s">
        <v>1684</v>
      </c>
      <c r="C781" t="str">
        <f>TEXT(Table1[[#This Row],[Order_Date]],"mmm")</f>
        <v>May</v>
      </c>
      <c r="D781" t="s">
        <v>1687</v>
      </c>
      <c r="E781" t="s">
        <v>32</v>
      </c>
      <c r="F781">
        <v>4</v>
      </c>
      <c r="G781">
        <v>20539.72</v>
      </c>
      <c r="H781">
        <v>82158.880000000005</v>
      </c>
      <c r="I781" t="s">
        <v>23</v>
      </c>
      <c r="J781" t="s">
        <v>24</v>
      </c>
    </row>
    <row r="782" spans="1:10" x14ac:dyDescent="0.35">
      <c r="A782" t="s">
        <v>1688</v>
      </c>
      <c r="B782" t="s">
        <v>1684</v>
      </c>
      <c r="C782" t="str">
        <f>TEXT(Table1[[#This Row],[Order_Date]],"mmm")</f>
        <v>May</v>
      </c>
      <c r="D782" t="s">
        <v>1689</v>
      </c>
      <c r="E782" t="s">
        <v>56</v>
      </c>
      <c r="F782">
        <v>3</v>
      </c>
      <c r="G782">
        <v>6549.41</v>
      </c>
      <c r="H782">
        <v>19648.23</v>
      </c>
      <c r="I782" t="s">
        <v>18</v>
      </c>
      <c r="J782" t="s">
        <v>19</v>
      </c>
    </row>
    <row r="783" spans="1:10" x14ac:dyDescent="0.35">
      <c r="A783" t="s">
        <v>1690</v>
      </c>
      <c r="B783" t="s">
        <v>1691</v>
      </c>
      <c r="C783" t="str">
        <f>TEXT(Table1[[#This Row],[Order_Date]],"mmm")</f>
        <v>May</v>
      </c>
      <c r="D783" t="s">
        <v>1692</v>
      </c>
      <c r="E783" t="s">
        <v>72</v>
      </c>
      <c r="F783">
        <v>2</v>
      </c>
      <c r="G783">
        <v>32915.300000000003</v>
      </c>
      <c r="H783">
        <v>65830.600000000006</v>
      </c>
      <c r="I783" t="s">
        <v>42</v>
      </c>
      <c r="J783" t="s">
        <v>14</v>
      </c>
    </row>
    <row r="784" spans="1:10" x14ac:dyDescent="0.35">
      <c r="A784" t="s">
        <v>1693</v>
      </c>
      <c r="B784" t="s">
        <v>1691</v>
      </c>
      <c r="C784" t="str">
        <f>TEXT(Table1[[#This Row],[Order_Date]],"mmm")</f>
        <v>May</v>
      </c>
      <c r="D784" t="s">
        <v>1694</v>
      </c>
      <c r="E784" t="s">
        <v>72</v>
      </c>
      <c r="F784">
        <v>1</v>
      </c>
      <c r="G784">
        <v>14266.31</v>
      </c>
      <c r="H784">
        <v>14266.31</v>
      </c>
      <c r="I784" t="s">
        <v>18</v>
      </c>
      <c r="J784" t="s">
        <v>24</v>
      </c>
    </row>
    <row r="785" spans="1:10" x14ac:dyDescent="0.35">
      <c r="A785" t="s">
        <v>1695</v>
      </c>
      <c r="B785" t="s">
        <v>1691</v>
      </c>
      <c r="C785" t="str">
        <f>TEXT(Table1[[#This Row],[Order_Date]],"mmm")</f>
        <v>May</v>
      </c>
      <c r="D785" t="s">
        <v>1696</v>
      </c>
      <c r="E785" t="s">
        <v>22</v>
      </c>
      <c r="F785">
        <v>5</v>
      </c>
      <c r="G785">
        <v>19608.77</v>
      </c>
      <c r="H785">
        <v>98043.85</v>
      </c>
      <c r="I785" t="s">
        <v>23</v>
      </c>
      <c r="J785" t="s">
        <v>14</v>
      </c>
    </row>
    <row r="786" spans="1:10" x14ac:dyDescent="0.35">
      <c r="A786" t="s">
        <v>1697</v>
      </c>
      <c r="B786" t="s">
        <v>1691</v>
      </c>
      <c r="C786" t="str">
        <f>TEXT(Table1[[#This Row],[Order_Date]],"mmm")</f>
        <v>May</v>
      </c>
      <c r="D786" t="s">
        <v>1698</v>
      </c>
      <c r="E786" t="s">
        <v>38</v>
      </c>
      <c r="F786">
        <v>5</v>
      </c>
      <c r="G786">
        <v>11557.32</v>
      </c>
      <c r="H786">
        <v>57786.6</v>
      </c>
      <c r="I786" t="s">
        <v>13</v>
      </c>
      <c r="J786" t="s">
        <v>14</v>
      </c>
    </row>
    <row r="787" spans="1:10" x14ac:dyDescent="0.35">
      <c r="A787" t="s">
        <v>1699</v>
      </c>
      <c r="B787" t="s">
        <v>1691</v>
      </c>
      <c r="C787" t="str">
        <f>TEXT(Table1[[#This Row],[Order_Date]],"mmm")</f>
        <v>May</v>
      </c>
      <c r="D787" t="s">
        <v>1700</v>
      </c>
      <c r="E787" t="s">
        <v>12</v>
      </c>
      <c r="F787">
        <v>3</v>
      </c>
      <c r="G787">
        <v>39039.279999999999</v>
      </c>
      <c r="H787">
        <v>117117.84</v>
      </c>
      <c r="I787" t="s">
        <v>42</v>
      </c>
      <c r="J787" t="s">
        <v>19</v>
      </c>
    </row>
    <row r="788" spans="1:10" x14ac:dyDescent="0.35">
      <c r="A788" t="s">
        <v>1701</v>
      </c>
      <c r="B788" t="s">
        <v>1702</v>
      </c>
      <c r="C788" t="str">
        <f>TEXT(Table1[[#This Row],[Order_Date]],"mmm")</f>
        <v>May</v>
      </c>
      <c r="D788" t="s">
        <v>1703</v>
      </c>
      <c r="E788" t="s">
        <v>75</v>
      </c>
      <c r="F788">
        <v>4</v>
      </c>
      <c r="G788">
        <v>4366.49</v>
      </c>
      <c r="H788">
        <v>17465.96</v>
      </c>
      <c r="I788" t="s">
        <v>13</v>
      </c>
      <c r="J788" t="s">
        <v>14</v>
      </c>
    </row>
    <row r="789" spans="1:10" x14ac:dyDescent="0.35">
      <c r="A789" t="s">
        <v>1704</v>
      </c>
      <c r="B789" t="s">
        <v>1702</v>
      </c>
      <c r="C789" t="str">
        <f>TEXT(Table1[[#This Row],[Order_Date]],"mmm")</f>
        <v>May</v>
      </c>
      <c r="D789" t="s">
        <v>1705</v>
      </c>
      <c r="E789" t="s">
        <v>22</v>
      </c>
      <c r="F789">
        <v>4</v>
      </c>
      <c r="G789">
        <v>13244.24</v>
      </c>
      <c r="H789">
        <v>52976.959999999999</v>
      </c>
      <c r="I789" t="s">
        <v>23</v>
      </c>
      <c r="J789" t="s">
        <v>35</v>
      </c>
    </row>
    <row r="790" spans="1:10" x14ac:dyDescent="0.35">
      <c r="A790" t="s">
        <v>1706</v>
      </c>
      <c r="B790" t="s">
        <v>1702</v>
      </c>
      <c r="C790" t="str">
        <f>TEXT(Table1[[#This Row],[Order_Date]],"mmm")</f>
        <v>May</v>
      </c>
      <c r="D790" t="s">
        <v>1707</v>
      </c>
      <c r="E790" t="s">
        <v>53</v>
      </c>
      <c r="F790">
        <v>4</v>
      </c>
      <c r="G790">
        <v>23980.49</v>
      </c>
      <c r="H790">
        <v>95921.96</v>
      </c>
      <c r="I790" t="s">
        <v>23</v>
      </c>
      <c r="J790" t="s">
        <v>35</v>
      </c>
    </row>
    <row r="791" spans="1:10" x14ac:dyDescent="0.35">
      <c r="A791" t="s">
        <v>1708</v>
      </c>
      <c r="B791" t="s">
        <v>1702</v>
      </c>
      <c r="C791" t="str">
        <f>TEXT(Table1[[#This Row],[Order_Date]],"mmm")</f>
        <v>May</v>
      </c>
      <c r="D791" t="s">
        <v>1709</v>
      </c>
      <c r="E791" t="s">
        <v>12</v>
      </c>
      <c r="F791">
        <v>1</v>
      </c>
      <c r="G791">
        <v>46105.120000000003</v>
      </c>
      <c r="H791">
        <v>46105.120000000003</v>
      </c>
      <c r="I791" t="s">
        <v>42</v>
      </c>
      <c r="J791" t="s">
        <v>14</v>
      </c>
    </row>
    <row r="792" spans="1:10" x14ac:dyDescent="0.35">
      <c r="A792" t="s">
        <v>1710</v>
      </c>
      <c r="B792" t="s">
        <v>1702</v>
      </c>
      <c r="C792" t="str">
        <f>TEXT(Table1[[#This Row],[Order_Date]],"mmm")</f>
        <v>May</v>
      </c>
      <c r="D792" t="s">
        <v>1711</v>
      </c>
      <c r="E792" t="s">
        <v>12</v>
      </c>
      <c r="F792">
        <v>3</v>
      </c>
      <c r="G792">
        <v>4354.0600000000004</v>
      </c>
      <c r="H792">
        <v>13062.18</v>
      </c>
      <c r="I792" t="s">
        <v>42</v>
      </c>
      <c r="J792" t="s">
        <v>24</v>
      </c>
    </row>
    <row r="793" spans="1:10" x14ac:dyDescent="0.35">
      <c r="A793" t="s">
        <v>1712</v>
      </c>
      <c r="B793" t="s">
        <v>1713</v>
      </c>
      <c r="C793" t="str">
        <f>TEXT(Table1[[#This Row],[Order_Date]],"mmm")</f>
        <v>May</v>
      </c>
      <c r="D793" t="s">
        <v>1714</v>
      </c>
      <c r="E793" t="s">
        <v>72</v>
      </c>
      <c r="F793">
        <v>4</v>
      </c>
      <c r="G793">
        <v>18366.16</v>
      </c>
      <c r="H793">
        <v>73464.639999999999</v>
      </c>
      <c r="I793" t="s">
        <v>23</v>
      </c>
      <c r="J793" t="s">
        <v>14</v>
      </c>
    </row>
    <row r="794" spans="1:10" x14ac:dyDescent="0.35">
      <c r="A794" t="s">
        <v>1715</v>
      </c>
      <c r="B794" t="s">
        <v>1713</v>
      </c>
      <c r="C794" t="str">
        <f>TEXT(Table1[[#This Row],[Order_Date]],"mmm")</f>
        <v>May</v>
      </c>
      <c r="D794" t="s">
        <v>1716</v>
      </c>
      <c r="E794" t="s">
        <v>32</v>
      </c>
      <c r="F794">
        <v>5</v>
      </c>
      <c r="G794">
        <v>724.67</v>
      </c>
      <c r="H794">
        <v>3623.35</v>
      </c>
      <c r="I794" t="s">
        <v>42</v>
      </c>
      <c r="J794" t="s">
        <v>35</v>
      </c>
    </row>
    <row r="795" spans="1:10" x14ac:dyDescent="0.35">
      <c r="A795" t="s">
        <v>1717</v>
      </c>
      <c r="B795" t="s">
        <v>1713</v>
      </c>
      <c r="C795" t="str">
        <f>TEXT(Table1[[#This Row],[Order_Date]],"mmm")</f>
        <v>May</v>
      </c>
      <c r="D795" t="s">
        <v>1718</v>
      </c>
      <c r="E795" t="s">
        <v>53</v>
      </c>
      <c r="F795">
        <v>5</v>
      </c>
      <c r="G795">
        <v>41088.120000000003</v>
      </c>
      <c r="H795">
        <v>205440.6</v>
      </c>
      <c r="I795" t="s">
        <v>13</v>
      </c>
      <c r="J795" t="s">
        <v>24</v>
      </c>
    </row>
    <row r="796" spans="1:10" x14ac:dyDescent="0.35">
      <c r="A796" t="s">
        <v>1719</v>
      </c>
      <c r="B796" t="s">
        <v>1720</v>
      </c>
      <c r="C796" t="str">
        <f>TEXT(Table1[[#This Row],[Order_Date]],"mmm")</f>
        <v>May</v>
      </c>
      <c r="D796" t="s">
        <v>1721</v>
      </c>
      <c r="E796" t="s">
        <v>72</v>
      </c>
      <c r="F796">
        <v>4</v>
      </c>
      <c r="G796">
        <v>15796.61</v>
      </c>
      <c r="H796">
        <v>63186.44</v>
      </c>
      <c r="I796" t="s">
        <v>13</v>
      </c>
      <c r="J796" t="s">
        <v>19</v>
      </c>
    </row>
    <row r="797" spans="1:10" x14ac:dyDescent="0.35">
      <c r="A797" t="s">
        <v>1722</v>
      </c>
      <c r="B797" t="s">
        <v>1720</v>
      </c>
      <c r="C797" t="str">
        <f>TEXT(Table1[[#This Row],[Order_Date]],"mmm")</f>
        <v>May</v>
      </c>
      <c r="D797" t="s">
        <v>1723</v>
      </c>
      <c r="E797" t="s">
        <v>75</v>
      </c>
      <c r="F797">
        <v>5</v>
      </c>
      <c r="G797">
        <v>41957.69</v>
      </c>
      <c r="H797">
        <v>209788.45</v>
      </c>
      <c r="I797" t="s">
        <v>13</v>
      </c>
      <c r="J797" t="s">
        <v>35</v>
      </c>
    </row>
    <row r="798" spans="1:10" x14ac:dyDescent="0.35">
      <c r="A798" t="s">
        <v>1724</v>
      </c>
      <c r="B798" t="s">
        <v>1720</v>
      </c>
      <c r="C798" t="str">
        <f>TEXT(Table1[[#This Row],[Order_Date]],"mmm")</f>
        <v>May</v>
      </c>
      <c r="D798" t="s">
        <v>1725</v>
      </c>
      <c r="E798" t="s">
        <v>53</v>
      </c>
      <c r="F798">
        <v>5</v>
      </c>
      <c r="G798">
        <v>29539.72</v>
      </c>
      <c r="H798">
        <v>147698.6</v>
      </c>
      <c r="I798" t="s">
        <v>13</v>
      </c>
      <c r="J798" t="s">
        <v>35</v>
      </c>
    </row>
    <row r="799" spans="1:10" x14ac:dyDescent="0.35">
      <c r="A799" t="s">
        <v>1726</v>
      </c>
      <c r="B799" t="s">
        <v>1720</v>
      </c>
      <c r="C799" t="str">
        <f>TEXT(Table1[[#This Row],[Order_Date]],"mmm")</f>
        <v>May</v>
      </c>
      <c r="D799" t="s">
        <v>1727</v>
      </c>
      <c r="E799" t="s">
        <v>47</v>
      </c>
      <c r="F799">
        <v>4</v>
      </c>
      <c r="G799">
        <v>6382.11</v>
      </c>
      <c r="H799">
        <v>25528.44</v>
      </c>
      <c r="I799" t="s">
        <v>13</v>
      </c>
      <c r="J799" t="s">
        <v>24</v>
      </c>
    </row>
    <row r="800" spans="1:10" x14ac:dyDescent="0.35">
      <c r="A800" t="s">
        <v>1728</v>
      </c>
      <c r="B800" t="s">
        <v>1720</v>
      </c>
      <c r="C800" t="str">
        <f>TEXT(Table1[[#This Row],[Order_Date]],"mmm")</f>
        <v>May</v>
      </c>
      <c r="D800" t="s">
        <v>1729</v>
      </c>
      <c r="E800" t="s">
        <v>38</v>
      </c>
      <c r="F800">
        <v>1</v>
      </c>
      <c r="G800">
        <v>21896.99</v>
      </c>
      <c r="H800">
        <v>21896.99</v>
      </c>
      <c r="I800" t="s">
        <v>13</v>
      </c>
      <c r="J800" t="s">
        <v>35</v>
      </c>
    </row>
    <row r="801" spans="1:10" x14ac:dyDescent="0.35">
      <c r="A801" t="s">
        <v>1730</v>
      </c>
      <c r="B801" t="s">
        <v>1731</v>
      </c>
      <c r="C801" t="str">
        <f>TEXT(Table1[[#This Row],[Order_Date]],"mmm")</f>
        <v>May</v>
      </c>
      <c r="D801" t="s">
        <v>1732</v>
      </c>
      <c r="E801" t="s">
        <v>17</v>
      </c>
      <c r="F801">
        <v>4</v>
      </c>
      <c r="G801">
        <v>33915.120000000003</v>
      </c>
      <c r="H801">
        <v>135660.48000000001</v>
      </c>
      <c r="I801" t="s">
        <v>18</v>
      </c>
      <c r="J801" t="s">
        <v>24</v>
      </c>
    </row>
    <row r="802" spans="1:10" x14ac:dyDescent="0.35">
      <c r="A802" t="s">
        <v>1733</v>
      </c>
      <c r="B802" t="s">
        <v>1731</v>
      </c>
      <c r="C802" t="str">
        <f>TEXT(Table1[[#This Row],[Order_Date]],"mmm")</f>
        <v>May</v>
      </c>
      <c r="D802" t="s">
        <v>1734</v>
      </c>
      <c r="E802" t="s">
        <v>12</v>
      </c>
      <c r="F802">
        <v>1</v>
      </c>
      <c r="G802">
        <v>12613.97</v>
      </c>
      <c r="H802">
        <v>12613.97</v>
      </c>
      <c r="I802" t="s">
        <v>13</v>
      </c>
      <c r="J802" t="s">
        <v>35</v>
      </c>
    </row>
    <row r="803" spans="1:10" x14ac:dyDescent="0.35">
      <c r="A803" t="s">
        <v>1735</v>
      </c>
      <c r="B803" t="s">
        <v>1731</v>
      </c>
      <c r="C803" t="str">
        <f>TEXT(Table1[[#This Row],[Order_Date]],"mmm")</f>
        <v>May</v>
      </c>
      <c r="D803" t="s">
        <v>1736</v>
      </c>
      <c r="E803" t="s">
        <v>22</v>
      </c>
      <c r="F803">
        <v>5</v>
      </c>
      <c r="G803">
        <v>9061.43</v>
      </c>
      <c r="H803">
        <v>45307.15</v>
      </c>
      <c r="I803" t="s">
        <v>23</v>
      </c>
      <c r="J803" t="s">
        <v>14</v>
      </c>
    </row>
    <row r="804" spans="1:10" x14ac:dyDescent="0.35">
      <c r="A804" t="s">
        <v>1737</v>
      </c>
      <c r="B804" t="s">
        <v>1731</v>
      </c>
      <c r="C804" t="str">
        <f>TEXT(Table1[[#This Row],[Order_Date]],"mmm")</f>
        <v>May</v>
      </c>
      <c r="D804" t="s">
        <v>1738</v>
      </c>
      <c r="E804" t="s">
        <v>32</v>
      </c>
      <c r="F804">
        <v>2</v>
      </c>
      <c r="G804">
        <v>40485.39</v>
      </c>
      <c r="H804">
        <v>80970.78</v>
      </c>
      <c r="I804" t="s">
        <v>13</v>
      </c>
      <c r="J804" t="s">
        <v>35</v>
      </c>
    </row>
    <row r="805" spans="1:10" x14ac:dyDescent="0.35">
      <c r="A805" t="s">
        <v>1739</v>
      </c>
      <c r="B805" t="s">
        <v>1731</v>
      </c>
      <c r="C805" t="str">
        <f>TEXT(Table1[[#This Row],[Order_Date]],"mmm")</f>
        <v>May</v>
      </c>
      <c r="D805" t="s">
        <v>1740</v>
      </c>
      <c r="E805" t="s">
        <v>53</v>
      </c>
      <c r="F805">
        <v>3</v>
      </c>
      <c r="G805">
        <v>21155.35</v>
      </c>
      <c r="H805">
        <v>63466.05</v>
      </c>
      <c r="I805" t="s">
        <v>42</v>
      </c>
      <c r="J805" t="s">
        <v>14</v>
      </c>
    </row>
    <row r="806" spans="1:10" x14ac:dyDescent="0.35">
      <c r="A806" t="s">
        <v>1741</v>
      </c>
      <c r="B806" t="s">
        <v>1731</v>
      </c>
      <c r="C806" t="str">
        <f>TEXT(Table1[[#This Row],[Order_Date]],"mmm")</f>
        <v>May</v>
      </c>
      <c r="D806" t="s">
        <v>1742</v>
      </c>
      <c r="E806" t="s">
        <v>56</v>
      </c>
      <c r="F806">
        <v>1</v>
      </c>
      <c r="G806">
        <v>37906.01</v>
      </c>
      <c r="H806">
        <v>37906.01</v>
      </c>
      <c r="I806" t="s">
        <v>13</v>
      </c>
      <c r="J806" t="s">
        <v>24</v>
      </c>
    </row>
    <row r="807" spans="1:10" x14ac:dyDescent="0.35">
      <c r="A807" t="s">
        <v>1743</v>
      </c>
      <c r="B807" t="s">
        <v>1731</v>
      </c>
      <c r="C807" t="str">
        <f>TEXT(Table1[[#This Row],[Order_Date]],"mmm")</f>
        <v>May</v>
      </c>
      <c r="D807" t="s">
        <v>1744</v>
      </c>
      <c r="E807" t="s">
        <v>32</v>
      </c>
      <c r="F807">
        <v>5</v>
      </c>
      <c r="G807">
        <v>23563.48</v>
      </c>
      <c r="H807">
        <v>117817.4</v>
      </c>
      <c r="I807" t="s">
        <v>42</v>
      </c>
      <c r="J807" t="s">
        <v>24</v>
      </c>
    </row>
    <row r="808" spans="1:10" x14ac:dyDescent="0.35">
      <c r="A808" t="s">
        <v>1745</v>
      </c>
      <c r="B808" t="s">
        <v>1731</v>
      </c>
      <c r="C808" t="str">
        <f>TEXT(Table1[[#This Row],[Order_Date]],"mmm")</f>
        <v>May</v>
      </c>
      <c r="D808" t="s">
        <v>1746</v>
      </c>
      <c r="E808" t="s">
        <v>32</v>
      </c>
      <c r="F808">
        <v>4</v>
      </c>
      <c r="G808">
        <v>12667.23</v>
      </c>
      <c r="H808">
        <v>50668.92</v>
      </c>
      <c r="I808" t="s">
        <v>23</v>
      </c>
      <c r="J808" t="s">
        <v>14</v>
      </c>
    </row>
    <row r="809" spans="1:10" x14ac:dyDescent="0.35">
      <c r="A809" t="s">
        <v>1747</v>
      </c>
      <c r="B809" t="s">
        <v>1748</v>
      </c>
      <c r="C809" t="str">
        <f>TEXT(Table1[[#This Row],[Order_Date]],"mmm")</f>
        <v>May</v>
      </c>
      <c r="D809" t="s">
        <v>1749</v>
      </c>
      <c r="E809" t="s">
        <v>56</v>
      </c>
      <c r="F809">
        <v>2</v>
      </c>
      <c r="G809">
        <v>14936.22</v>
      </c>
      <c r="H809">
        <v>29872.44</v>
      </c>
      <c r="I809" t="s">
        <v>23</v>
      </c>
      <c r="J809" t="s">
        <v>35</v>
      </c>
    </row>
    <row r="810" spans="1:10" x14ac:dyDescent="0.35">
      <c r="A810" t="s">
        <v>1750</v>
      </c>
      <c r="B810" t="s">
        <v>1748</v>
      </c>
      <c r="C810" t="str">
        <f>TEXT(Table1[[#This Row],[Order_Date]],"mmm")</f>
        <v>May</v>
      </c>
      <c r="D810" t="s">
        <v>1751</v>
      </c>
      <c r="E810" t="s">
        <v>22</v>
      </c>
      <c r="F810">
        <v>5</v>
      </c>
      <c r="G810">
        <v>20747.439999999999</v>
      </c>
      <c r="H810">
        <v>103737.2</v>
      </c>
      <c r="I810" t="s">
        <v>13</v>
      </c>
      <c r="J810" t="s">
        <v>24</v>
      </c>
    </row>
    <row r="811" spans="1:10" x14ac:dyDescent="0.35">
      <c r="A811" t="s">
        <v>1752</v>
      </c>
      <c r="B811" t="s">
        <v>1748</v>
      </c>
      <c r="C811" t="str">
        <f>TEXT(Table1[[#This Row],[Order_Date]],"mmm")</f>
        <v>May</v>
      </c>
      <c r="D811" t="s">
        <v>1753</v>
      </c>
      <c r="E811" t="s">
        <v>75</v>
      </c>
      <c r="F811">
        <v>3</v>
      </c>
      <c r="G811">
        <v>29545.7</v>
      </c>
      <c r="H811">
        <v>88637.1</v>
      </c>
      <c r="I811" t="s">
        <v>18</v>
      </c>
      <c r="J811" t="s">
        <v>14</v>
      </c>
    </row>
    <row r="812" spans="1:10" x14ac:dyDescent="0.35">
      <c r="A812" t="s">
        <v>1754</v>
      </c>
      <c r="B812" t="s">
        <v>1748</v>
      </c>
      <c r="C812" t="str">
        <f>TEXT(Table1[[#This Row],[Order_Date]],"mmm")</f>
        <v>May</v>
      </c>
      <c r="D812" t="s">
        <v>1755</v>
      </c>
      <c r="E812" t="s">
        <v>47</v>
      </c>
      <c r="F812">
        <v>4</v>
      </c>
      <c r="G812">
        <v>49924.07</v>
      </c>
      <c r="H812">
        <v>199696.28</v>
      </c>
      <c r="I812" t="s">
        <v>42</v>
      </c>
      <c r="J812" t="s">
        <v>24</v>
      </c>
    </row>
    <row r="813" spans="1:10" x14ac:dyDescent="0.35">
      <c r="A813" t="s">
        <v>1756</v>
      </c>
      <c r="B813" t="s">
        <v>1748</v>
      </c>
      <c r="C813" t="str">
        <f>TEXT(Table1[[#This Row],[Order_Date]],"mmm")</f>
        <v>May</v>
      </c>
      <c r="D813" t="s">
        <v>1757</v>
      </c>
      <c r="E813" t="s">
        <v>17</v>
      </c>
      <c r="F813">
        <v>1</v>
      </c>
      <c r="G813">
        <v>37035.53</v>
      </c>
      <c r="H813">
        <v>37035.53</v>
      </c>
      <c r="I813" t="s">
        <v>42</v>
      </c>
      <c r="J813" t="s">
        <v>14</v>
      </c>
    </row>
    <row r="814" spans="1:10" x14ac:dyDescent="0.35">
      <c r="A814" t="s">
        <v>1758</v>
      </c>
      <c r="B814" t="s">
        <v>1748</v>
      </c>
      <c r="C814" t="str">
        <f>TEXT(Table1[[#This Row],[Order_Date]],"mmm")</f>
        <v>May</v>
      </c>
      <c r="D814" t="s">
        <v>1759</v>
      </c>
      <c r="E814" t="s">
        <v>32</v>
      </c>
      <c r="F814">
        <v>2</v>
      </c>
      <c r="G814">
        <v>16047.27</v>
      </c>
      <c r="H814">
        <v>32094.54</v>
      </c>
      <c r="I814" t="s">
        <v>23</v>
      </c>
      <c r="J814" t="s">
        <v>24</v>
      </c>
    </row>
    <row r="815" spans="1:10" x14ac:dyDescent="0.35">
      <c r="A815" t="s">
        <v>1760</v>
      </c>
      <c r="B815" t="s">
        <v>1748</v>
      </c>
      <c r="C815" t="str">
        <f>TEXT(Table1[[#This Row],[Order_Date]],"mmm")</f>
        <v>May</v>
      </c>
      <c r="D815" t="s">
        <v>1761</v>
      </c>
      <c r="E815" t="s">
        <v>22</v>
      </c>
      <c r="F815">
        <v>3</v>
      </c>
      <c r="G815">
        <v>27033.53</v>
      </c>
      <c r="H815">
        <v>81100.59</v>
      </c>
      <c r="I815" t="s">
        <v>18</v>
      </c>
      <c r="J815" t="s">
        <v>35</v>
      </c>
    </row>
    <row r="816" spans="1:10" x14ac:dyDescent="0.35">
      <c r="A816" t="s">
        <v>1762</v>
      </c>
      <c r="B816" t="s">
        <v>1748</v>
      </c>
      <c r="C816" t="str">
        <f>TEXT(Table1[[#This Row],[Order_Date]],"mmm")</f>
        <v>May</v>
      </c>
      <c r="D816" t="s">
        <v>1763</v>
      </c>
      <c r="E816" t="s">
        <v>12</v>
      </c>
      <c r="F816">
        <v>2</v>
      </c>
      <c r="G816">
        <v>11404.34</v>
      </c>
      <c r="H816">
        <v>22808.68</v>
      </c>
      <c r="I816" t="s">
        <v>42</v>
      </c>
      <c r="J816" t="s">
        <v>24</v>
      </c>
    </row>
    <row r="817" spans="1:10" x14ac:dyDescent="0.35">
      <c r="A817" t="s">
        <v>1764</v>
      </c>
      <c r="B817" t="s">
        <v>1765</v>
      </c>
      <c r="C817" t="str">
        <f>TEXT(Table1[[#This Row],[Order_Date]],"mmm")</f>
        <v>May</v>
      </c>
      <c r="D817" t="s">
        <v>1093</v>
      </c>
      <c r="E817" t="s">
        <v>53</v>
      </c>
      <c r="F817">
        <v>4</v>
      </c>
      <c r="G817">
        <v>20519.62</v>
      </c>
      <c r="H817">
        <v>82078.48</v>
      </c>
      <c r="I817" t="s">
        <v>23</v>
      </c>
      <c r="J817" t="s">
        <v>24</v>
      </c>
    </row>
    <row r="818" spans="1:10" x14ac:dyDescent="0.35">
      <c r="A818" t="s">
        <v>1766</v>
      </c>
      <c r="B818" t="s">
        <v>1765</v>
      </c>
      <c r="C818" t="str">
        <f>TEXT(Table1[[#This Row],[Order_Date]],"mmm")</f>
        <v>May</v>
      </c>
      <c r="D818" t="s">
        <v>1767</v>
      </c>
      <c r="E818" t="s">
        <v>38</v>
      </c>
      <c r="F818">
        <v>2</v>
      </c>
      <c r="G818">
        <v>43366.1</v>
      </c>
      <c r="H818">
        <v>86732.2</v>
      </c>
      <c r="I818" t="s">
        <v>18</v>
      </c>
      <c r="J818" t="s">
        <v>24</v>
      </c>
    </row>
    <row r="819" spans="1:10" x14ac:dyDescent="0.35">
      <c r="A819" t="s">
        <v>1768</v>
      </c>
      <c r="B819" t="s">
        <v>1765</v>
      </c>
      <c r="C819" t="str">
        <f>TEXT(Table1[[#This Row],[Order_Date]],"mmm")</f>
        <v>May</v>
      </c>
      <c r="D819" t="s">
        <v>1769</v>
      </c>
      <c r="E819" t="s">
        <v>75</v>
      </c>
      <c r="F819">
        <v>2</v>
      </c>
      <c r="G819">
        <v>42793.14</v>
      </c>
      <c r="H819">
        <v>85586.28</v>
      </c>
      <c r="I819" t="s">
        <v>23</v>
      </c>
      <c r="J819" t="s">
        <v>19</v>
      </c>
    </row>
    <row r="820" spans="1:10" x14ac:dyDescent="0.35">
      <c r="A820" t="s">
        <v>1770</v>
      </c>
      <c r="B820" t="s">
        <v>1765</v>
      </c>
      <c r="C820" t="str">
        <f>TEXT(Table1[[#This Row],[Order_Date]],"mmm")</f>
        <v>May</v>
      </c>
      <c r="D820" t="s">
        <v>1771</v>
      </c>
      <c r="E820" t="s">
        <v>22</v>
      </c>
      <c r="F820">
        <v>1</v>
      </c>
      <c r="G820">
        <v>47512.74</v>
      </c>
      <c r="H820">
        <v>47512.74</v>
      </c>
      <c r="I820" t="s">
        <v>42</v>
      </c>
      <c r="J820" t="s">
        <v>19</v>
      </c>
    </row>
    <row r="821" spans="1:10" x14ac:dyDescent="0.35">
      <c r="A821" t="s">
        <v>1772</v>
      </c>
      <c r="B821" t="s">
        <v>1765</v>
      </c>
      <c r="C821" t="str">
        <f>TEXT(Table1[[#This Row],[Order_Date]],"mmm")</f>
        <v>May</v>
      </c>
      <c r="D821" t="s">
        <v>1773</v>
      </c>
      <c r="E821" t="s">
        <v>38</v>
      </c>
      <c r="F821">
        <v>2</v>
      </c>
      <c r="G821">
        <v>24834.27</v>
      </c>
      <c r="H821">
        <v>49668.54</v>
      </c>
      <c r="I821" t="s">
        <v>42</v>
      </c>
      <c r="J821" t="s">
        <v>14</v>
      </c>
    </row>
    <row r="822" spans="1:10" x14ac:dyDescent="0.35">
      <c r="A822" t="s">
        <v>1774</v>
      </c>
      <c r="B822" t="s">
        <v>1765</v>
      </c>
      <c r="C822" t="str">
        <f>TEXT(Table1[[#This Row],[Order_Date]],"mmm")</f>
        <v>May</v>
      </c>
      <c r="D822" t="s">
        <v>1775</v>
      </c>
      <c r="E822" t="s">
        <v>38</v>
      </c>
      <c r="F822">
        <v>2</v>
      </c>
      <c r="G822">
        <v>21095.16</v>
      </c>
      <c r="H822">
        <v>42190.32</v>
      </c>
      <c r="I822" t="s">
        <v>18</v>
      </c>
      <c r="J822" t="s">
        <v>14</v>
      </c>
    </row>
    <row r="823" spans="1:10" x14ac:dyDescent="0.35">
      <c r="A823" t="s">
        <v>1776</v>
      </c>
      <c r="B823" t="s">
        <v>1777</v>
      </c>
      <c r="C823" t="str">
        <f>TEXT(Table1[[#This Row],[Order_Date]],"mmm")</f>
        <v>May</v>
      </c>
      <c r="D823" t="s">
        <v>1778</v>
      </c>
      <c r="E823" t="s">
        <v>72</v>
      </c>
      <c r="F823">
        <v>1</v>
      </c>
      <c r="G823">
        <v>48204.2</v>
      </c>
      <c r="H823">
        <v>48204.2</v>
      </c>
      <c r="I823" t="s">
        <v>13</v>
      </c>
      <c r="J823" t="s">
        <v>19</v>
      </c>
    </row>
    <row r="824" spans="1:10" x14ac:dyDescent="0.35">
      <c r="A824" t="s">
        <v>1779</v>
      </c>
      <c r="B824" t="s">
        <v>1777</v>
      </c>
      <c r="C824" t="str">
        <f>TEXT(Table1[[#This Row],[Order_Date]],"mmm")</f>
        <v>May</v>
      </c>
      <c r="D824" t="s">
        <v>1780</v>
      </c>
      <c r="E824" t="s">
        <v>32</v>
      </c>
      <c r="F824">
        <v>5</v>
      </c>
      <c r="G824">
        <v>24136.33</v>
      </c>
      <c r="H824">
        <v>120681.65</v>
      </c>
      <c r="I824" t="s">
        <v>23</v>
      </c>
      <c r="J824" t="s">
        <v>14</v>
      </c>
    </row>
    <row r="825" spans="1:10" x14ac:dyDescent="0.35">
      <c r="A825" t="s">
        <v>1781</v>
      </c>
      <c r="B825" t="s">
        <v>1777</v>
      </c>
      <c r="C825" t="str">
        <f>TEXT(Table1[[#This Row],[Order_Date]],"mmm")</f>
        <v>May</v>
      </c>
      <c r="D825" t="s">
        <v>1782</v>
      </c>
      <c r="E825" t="s">
        <v>56</v>
      </c>
      <c r="F825">
        <v>5</v>
      </c>
      <c r="G825">
        <v>24442.720000000001</v>
      </c>
      <c r="H825">
        <v>122213.6</v>
      </c>
      <c r="I825" t="s">
        <v>23</v>
      </c>
      <c r="J825" t="s">
        <v>35</v>
      </c>
    </row>
    <row r="826" spans="1:10" x14ac:dyDescent="0.35">
      <c r="A826" t="s">
        <v>1783</v>
      </c>
      <c r="B826" t="s">
        <v>1777</v>
      </c>
      <c r="C826" t="str">
        <f>TEXT(Table1[[#This Row],[Order_Date]],"mmm")</f>
        <v>May</v>
      </c>
      <c r="D826" t="s">
        <v>1784</v>
      </c>
      <c r="E826" t="s">
        <v>12</v>
      </c>
      <c r="F826">
        <v>2</v>
      </c>
      <c r="G826">
        <v>17326.84</v>
      </c>
      <c r="H826">
        <v>34653.68</v>
      </c>
      <c r="I826" t="s">
        <v>18</v>
      </c>
      <c r="J826" t="s">
        <v>24</v>
      </c>
    </row>
    <row r="827" spans="1:10" x14ac:dyDescent="0.35">
      <c r="A827" t="s">
        <v>1785</v>
      </c>
      <c r="B827" t="s">
        <v>1777</v>
      </c>
      <c r="C827" t="str">
        <f>TEXT(Table1[[#This Row],[Order_Date]],"mmm")</f>
        <v>May</v>
      </c>
      <c r="D827" t="s">
        <v>1786</v>
      </c>
      <c r="E827" t="s">
        <v>72</v>
      </c>
      <c r="F827">
        <v>3</v>
      </c>
      <c r="G827">
        <v>37623.68</v>
      </c>
      <c r="H827">
        <v>112871.03999999999</v>
      </c>
      <c r="I827" t="s">
        <v>42</v>
      </c>
      <c r="J827" t="s">
        <v>24</v>
      </c>
    </row>
    <row r="828" spans="1:10" x14ac:dyDescent="0.35">
      <c r="A828" t="s">
        <v>1787</v>
      </c>
      <c r="B828" t="s">
        <v>1777</v>
      </c>
      <c r="C828" t="str">
        <f>TEXT(Table1[[#This Row],[Order_Date]],"mmm")</f>
        <v>May</v>
      </c>
      <c r="D828" t="s">
        <v>1788</v>
      </c>
      <c r="E828" t="s">
        <v>32</v>
      </c>
      <c r="F828">
        <v>4</v>
      </c>
      <c r="G828">
        <v>35841.82</v>
      </c>
      <c r="H828">
        <v>143367.28</v>
      </c>
      <c r="I828" t="s">
        <v>13</v>
      </c>
      <c r="J828" t="s">
        <v>14</v>
      </c>
    </row>
    <row r="829" spans="1:10" x14ac:dyDescent="0.35">
      <c r="A829" t="s">
        <v>1789</v>
      </c>
      <c r="B829" t="s">
        <v>1790</v>
      </c>
      <c r="C829" t="str">
        <f>TEXT(Table1[[#This Row],[Order_Date]],"mmm")</f>
        <v>May</v>
      </c>
      <c r="D829" t="s">
        <v>1791</v>
      </c>
      <c r="E829" t="s">
        <v>17</v>
      </c>
      <c r="F829">
        <v>3</v>
      </c>
      <c r="G829">
        <v>8394.94</v>
      </c>
      <c r="H829">
        <v>25184.82</v>
      </c>
      <c r="I829" t="s">
        <v>42</v>
      </c>
      <c r="J829" t="s">
        <v>24</v>
      </c>
    </row>
    <row r="830" spans="1:10" x14ac:dyDescent="0.35">
      <c r="A830" t="s">
        <v>1792</v>
      </c>
      <c r="B830" t="s">
        <v>1790</v>
      </c>
      <c r="C830" t="str">
        <f>TEXT(Table1[[#This Row],[Order_Date]],"mmm")</f>
        <v>May</v>
      </c>
      <c r="D830" t="s">
        <v>1793</v>
      </c>
      <c r="E830" t="s">
        <v>56</v>
      </c>
      <c r="F830">
        <v>5</v>
      </c>
      <c r="G830">
        <v>39113.949999999997</v>
      </c>
      <c r="H830">
        <v>195569.75</v>
      </c>
      <c r="I830" t="s">
        <v>42</v>
      </c>
      <c r="J830" t="s">
        <v>19</v>
      </c>
    </row>
    <row r="831" spans="1:10" x14ac:dyDescent="0.35">
      <c r="A831" t="s">
        <v>1794</v>
      </c>
      <c r="B831" t="s">
        <v>1790</v>
      </c>
      <c r="C831" t="str">
        <f>TEXT(Table1[[#This Row],[Order_Date]],"mmm")</f>
        <v>May</v>
      </c>
      <c r="D831" t="s">
        <v>1795</v>
      </c>
      <c r="E831" t="s">
        <v>72</v>
      </c>
      <c r="F831">
        <v>1</v>
      </c>
      <c r="G831">
        <v>2165.96</v>
      </c>
      <c r="H831">
        <v>2165.96</v>
      </c>
      <c r="I831" t="s">
        <v>18</v>
      </c>
      <c r="J831" t="s">
        <v>24</v>
      </c>
    </row>
    <row r="832" spans="1:10" x14ac:dyDescent="0.35">
      <c r="A832" t="s">
        <v>1796</v>
      </c>
      <c r="B832" t="s">
        <v>1790</v>
      </c>
      <c r="C832" t="str">
        <f>TEXT(Table1[[#This Row],[Order_Date]],"mmm")</f>
        <v>May</v>
      </c>
      <c r="D832" t="s">
        <v>1797</v>
      </c>
      <c r="E832" t="s">
        <v>47</v>
      </c>
      <c r="F832">
        <v>1</v>
      </c>
      <c r="G832">
        <v>45456.22</v>
      </c>
      <c r="H832">
        <v>45456.22</v>
      </c>
      <c r="I832" t="s">
        <v>18</v>
      </c>
      <c r="J832" t="s">
        <v>35</v>
      </c>
    </row>
    <row r="833" spans="1:10" x14ac:dyDescent="0.35">
      <c r="A833" t="s">
        <v>1798</v>
      </c>
      <c r="B833" t="s">
        <v>1790</v>
      </c>
      <c r="C833" t="str">
        <f>TEXT(Table1[[#This Row],[Order_Date]],"mmm")</f>
        <v>May</v>
      </c>
      <c r="D833" t="s">
        <v>1799</v>
      </c>
      <c r="E833" t="s">
        <v>75</v>
      </c>
      <c r="F833">
        <v>3</v>
      </c>
      <c r="G833">
        <v>37836.269999999997</v>
      </c>
      <c r="H833">
        <v>113508.81</v>
      </c>
      <c r="I833" t="s">
        <v>23</v>
      </c>
      <c r="J833" t="s">
        <v>19</v>
      </c>
    </row>
    <row r="834" spans="1:10" x14ac:dyDescent="0.35">
      <c r="A834" t="s">
        <v>1800</v>
      </c>
      <c r="B834" t="s">
        <v>1801</v>
      </c>
      <c r="C834" t="str">
        <f>TEXT(Table1[[#This Row],[Order_Date]],"mmm")</f>
        <v>May</v>
      </c>
      <c r="D834" t="s">
        <v>1802</v>
      </c>
      <c r="E834" t="s">
        <v>75</v>
      </c>
      <c r="F834">
        <v>3</v>
      </c>
      <c r="G834">
        <v>49473.56</v>
      </c>
      <c r="H834">
        <v>148420.68</v>
      </c>
      <c r="I834" t="s">
        <v>13</v>
      </c>
      <c r="J834" t="s">
        <v>35</v>
      </c>
    </row>
    <row r="835" spans="1:10" x14ac:dyDescent="0.35">
      <c r="A835" t="s">
        <v>1803</v>
      </c>
      <c r="B835" t="s">
        <v>1801</v>
      </c>
      <c r="C835" t="str">
        <f>TEXT(Table1[[#This Row],[Order_Date]],"mmm")</f>
        <v>May</v>
      </c>
      <c r="D835" t="s">
        <v>1804</v>
      </c>
      <c r="E835" t="s">
        <v>12</v>
      </c>
      <c r="F835">
        <v>2</v>
      </c>
      <c r="G835">
        <v>18836.25</v>
      </c>
      <c r="H835">
        <v>37672.5</v>
      </c>
      <c r="I835" t="s">
        <v>13</v>
      </c>
      <c r="J835" t="s">
        <v>14</v>
      </c>
    </row>
    <row r="836" spans="1:10" x14ac:dyDescent="0.35">
      <c r="A836" t="s">
        <v>1805</v>
      </c>
      <c r="B836" t="s">
        <v>1801</v>
      </c>
      <c r="C836" t="str">
        <f>TEXT(Table1[[#This Row],[Order_Date]],"mmm")</f>
        <v>May</v>
      </c>
      <c r="D836" t="s">
        <v>1806</v>
      </c>
      <c r="E836" t="s">
        <v>75</v>
      </c>
      <c r="F836">
        <v>2</v>
      </c>
      <c r="G836">
        <v>20665.87</v>
      </c>
      <c r="H836">
        <v>41331.74</v>
      </c>
      <c r="I836" t="s">
        <v>18</v>
      </c>
      <c r="J836" t="s">
        <v>24</v>
      </c>
    </row>
    <row r="837" spans="1:10" x14ac:dyDescent="0.35">
      <c r="A837" t="s">
        <v>1807</v>
      </c>
      <c r="B837" t="s">
        <v>1801</v>
      </c>
      <c r="C837" t="str">
        <f>TEXT(Table1[[#This Row],[Order_Date]],"mmm")</f>
        <v>May</v>
      </c>
      <c r="D837" t="s">
        <v>1808</v>
      </c>
      <c r="E837" t="s">
        <v>32</v>
      </c>
      <c r="F837">
        <v>5</v>
      </c>
      <c r="G837">
        <v>21326.54</v>
      </c>
      <c r="H837">
        <v>106632.7</v>
      </c>
      <c r="I837" t="s">
        <v>18</v>
      </c>
      <c r="J837" t="s">
        <v>35</v>
      </c>
    </row>
    <row r="838" spans="1:10" x14ac:dyDescent="0.35">
      <c r="A838" t="s">
        <v>1809</v>
      </c>
      <c r="B838" t="s">
        <v>1801</v>
      </c>
      <c r="C838" t="str">
        <f>TEXT(Table1[[#This Row],[Order_Date]],"mmm")</f>
        <v>May</v>
      </c>
      <c r="D838" t="s">
        <v>1810</v>
      </c>
      <c r="E838" t="s">
        <v>56</v>
      </c>
      <c r="F838">
        <v>3</v>
      </c>
      <c r="G838">
        <v>32108.67</v>
      </c>
      <c r="H838">
        <v>96326.01</v>
      </c>
      <c r="I838" t="s">
        <v>42</v>
      </c>
      <c r="J838" t="s">
        <v>14</v>
      </c>
    </row>
    <row r="839" spans="1:10" x14ac:dyDescent="0.35">
      <c r="A839" t="s">
        <v>1811</v>
      </c>
      <c r="B839" t="s">
        <v>1812</v>
      </c>
      <c r="C839" t="str">
        <f>TEXT(Table1[[#This Row],[Order_Date]],"mmm")</f>
        <v>Jun</v>
      </c>
      <c r="D839" t="s">
        <v>1813</v>
      </c>
      <c r="E839" t="s">
        <v>22</v>
      </c>
      <c r="F839">
        <v>3</v>
      </c>
      <c r="G839">
        <v>44253.04</v>
      </c>
      <c r="H839">
        <v>132759.12</v>
      </c>
      <c r="I839" t="s">
        <v>18</v>
      </c>
      <c r="J839" t="s">
        <v>35</v>
      </c>
    </row>
    <row r="840" spans="1:10" x14ac:dyDescent="0.35">
      <c r="A840" t="s">
        <v>1814</v>
      </c>
      <c r="B840" t="s">
        <v>1812</v>
      </c>
      <c r="C840" t="str">
        <f>TEXT(Table1[[#This Row],[Order_Date]],"mmm")</f>
        <v>Jun</v>
      </c>
      <c r="D840" t="s">
        <v>1815</v>
      </c>
      <c r="E840" t="s">
        <v>72</v>
      </c>
      <c r="F840">
        <v>2</v>
      </c>
      <c r="G840">
        <v>724.48</v>
      </c>
      <c r="H840">
        <v>1448.96</v>
      </c>
      <c r="I840" t="s">
        <v>18</v>
      </c>
      <c r="J840" t="s">
        <v>14</v>
      </c>
    </row>
    <row r="841" spans="1:10" x14ac:dyDescent="0.35">
      <c r="A841" t="s">
        <v>1816</v>
      </c>
      <c r="B841" t="s">
        <v>1812</v>
      </c>
      <c r="C841" t="str">
        <f>TEXT(Table1[[#This Row],[Order_Date]],"mmm")</f>
        <v>Jun</v>
      </c>
      <c r="D841" t="s">
        <v>1817</v>
      </c>
      <c r="E841" t="s">
        <v>56</v>
      </c>
      <c r="F841">
        <v>1</v>
      </c>
      <c r="G841">
        <v>32222.78</v>
      </c>
      <c r="H841">
        <v>32222.78</v>
      </c>
      <c r="I841" t="s">
        <v>23</v>
      </c>
      <c r="J841" t="s">
        <v>19</v>
      </c>
    </row>
    <row r="842" spans="1:10" x14ac:dyDescent="0.35">
      <c r="A842" t="s">
        <v>1818</v>
      </c>
      <c r="B842" t="s">
        <v>1812</v>
      </c>
      <c r="C842" t="str">
        <f>TEXT(Table1[[#This Row],[Order_Date]],"mmm")</f>
        <v>Jun</v>
      </c>
      <c r="D842" t="s">
        <v>1819</v>
      </c>
      <c r="E842" t="s">
        <v>72</v>
      </c>
      <c r="F842">
        <v>1</v>
      </c>
      <c r="G842">
        <v>18872.099999999999</v>
      </c>
      <c r="H842">
        <v>18872.099999999999</v>
      </c>
      <c r="I842" t="s">
        <v>23</v>
      </c>
      <c r="J842" t="s">
        <v>14</v>
      </c>
    </row>
    <row r="843" spans="1:10" x14ac:dyDescent="0.35">
      <c r="A843" t="s">
        <v>1820</v>
      </c>
      <c r="B843" t="s">
        <v>1812</v>
      </c>
      <c r="C843" t="str">
        <f>TEXT(Table1[[#This Row],[Order_Date]],"mmm")</f>
        <v>Jun</v>
      </c>
      <c r="D843" t="s">
        <v>1821</v>
      </c>
      <c r="E843" t="s">
        <v>12</v>
      </c>
      <c r="F843">
        <v>1</v>
      </c>
      <c r="G843">
        <v>38176.1</v>
      </c>
      <c r="H843">
        <v>38176.1</v>
      </c>
      <c r="I843" t="s">
        <v>13</v>
      </c>
      <c r="J843" t="s">
        <v>24</v>
      </c>
    </row>
    <row r="844" spans="1:10" x14ac:dyDescent="0.35">
      <c r="A844" t="s">
        <v>1822</v>
      </c>
      <c r="B844" t="s">
        <v>1812</v>
      </c>
      <c r="C844" t="str">
        <f>TEXT(Table1[[#This Row],[Order_Date]],"mmm")</f>
        <v>Jun</v>
      </c>
      <c r="D844" t="s">
        <v>1823</v>
      </c>
      <c r="E844" t="s">
        <v>12</v>
      </c>
      <c r="F844">
        <v>2</v>
      </c>
      <c r="G844">
        <v>14526.63</v>
      </c>
      <c r="H844">
        <v>29053.26</v>
      </c>
      <c r="I844" t="s">
        <v>42</v>
      </c>
      <c r="J844" t="s">
        <v>35</v>
      </c>
    </row>
    <row r="845" spans="1:10" x14ac:dyDescent="0.35">
      <c r="A845" t="s">
        <v>1824</v>
      </c>
      <c r="B845" t="s">
        <v>1825</v>
      </c>
      <c r="C845" t="str">
        <f>TEXT(Table1[[#This Row],[Order_Date]],"mmm")</f>
        <v>Jun</v>
      </c>
      <c r="D845" t="s">
        <v>1826</v>
      </c>
      <c r="E845" t="s">
        <v>75</v>
      </c>
      <c r="F845">
        <v>1</v>
      </c>
      <c r="G845">
        <v>43978.86</v>
      </c>
      <c r="H845">
        <v>43978.86</v>
      </c>
      <c r="I845" t="s">
        <v>18</v>
      </c>
      <c r="J845" t="s">
        <v>24</v>
      </c>
    </row>
    <row r="846" spans="1:10" x14ac:dyDescent="0.35">
      <c r="A846" t="s">
        <v>1827</v>
      </c>
      <c r="B846" t="s">
        <v>1825</v>
      </c>
      <c r="C846" t="str">
        <f>TEXT(Table1[[#This Row],[Order_Date]],"mmm")</f>
        <v>Jun</v>
      </c>
      <c r="D846" t="s">
        <v>1828</v>
      </c>
      <c r="E846" t="s">
        <v>47</v>
      </c>
      <c r="F846">
        <v>4</v>
      </c>
      <c r="G846">
        <v>36887.74</v>
      </c>
      <c r="H846">
        <v>147550.96</v>
      </c>
      <c r="I846" t="s">
        <v>18</v>
      </c>
      <c r="J846" t="s">
        <v>24</v>
      </c>
    </row>
    <row r="847" spans="1:10" x14ac:dyDescent="0.35">
      <c r="A847" t="s">
        <v>1829</v>
      </c>
      <c r="B847" t="s">
        <v>1825</v>
      </c>
      <c r="C847" t="str">
        <f>TEXT(Table1[[#This Row],[Order_Date]],"mmm")</f>
        <v>Jun</v>
      </c>
      <c r="D847" t="s">
        <v>1830</v>
      </c>
      <c r="E847" t="s">
        <v>38</v>
      </c>
      <c r="F847">
        <v>2</v>
      </c>
      <c r="G847">
        <v>20804.240000000002</v>
      </c>
      <c r="H847">
        <v>41608.480000000003</v>
      </c>
      <c r="I847" t="s">
        <v>13</v>
      </c>
      <c r="J847" t="s">
        <v>14</v>
      </c>
    </row>
    <row r="848" spans="1:10" x14ac:dyDescent="0.35">
      <c r="A848" t="s">
        <v>1831</v>
      </c>
      <c r="B848" t="s">
        <v>1825</v>
      </c>
      <c r="C848" t="str">
        <f>TEXT(Table1[[#This Row],[Order_Date]],"mmm")</f>
        <v>Jun</v>
      </c>
      <c r="D848" t="s">
        <v>1832</v>
      </c>
      <c r="E848" t="s">
        <v>17</v>
      </c>
      <c r="F848">
        <v>3</v>
      </c>
      <c r="G848">
        <v>21361.09</v>
      </c>
      <c r="H848">
        <v>64083.27</v>
      </c>
      <c r="I848" t="s">
        <v>23</v>
      </c>
      <c r="J848" t="s">
        <v>24</v>
      </c>
    </row>
    <row r="849" spans="1:10" x14ac:dyDescent="0.35">
      <c r="A849" t="s">
        <v>1833</v>
      </c>
      <c r="B849" t="s">
        <v>1825</v>
      </c>
      <c r="C849" t="str">
        <f>TEXT(Table1[[#This Row],[Order_Date]],"mmm")</f>
        <v>Jun</v>
      </c>
      <c r="D849" t="s">
        <v>1834</v>
      </c>
      <c r="E849" t="s">
        <v>32</v>
      </c>
      <c r="F849">
        <v>2</v>
      </c>
      <c r="G849">
        <v>11959.41</v>
      </c>
      <c r="H849">
        <v>23918.82</v>
      </c>
      <c r="I849" t="s">
        <v>18</v>
      </c>
      <c r="J849" t="s">
        <v>35</v>
      </c>
    </row>
    <row r="850" spans="1:10" x14ac:dyDescent="0.35">
      <c r="A850" t="s">
        <v>1835</v>
      </c>
      <c r="B850" t="s">
        <v>1825</v>
      </c>
      <c r="C850" t="str">
        <f>TEXT(Table1[[#This Row],[Order_Date]],"mmm")</f>
        <v>Jun</v>
      </c>
      <c r="D850" t="s">
        <v>1836</v>
      </c>
      <c r="E850" t="s">
        <v>32</v>
      </c>
      <c r="F850">
        <v>3</v>
      </c>
      <c r="G850">
        <v>7824.27</v>
      </c>
      <c r="H850">
        <v>23472.81</v>
      </c>
      <c r="I850" t="s">
        <v>18</v>
      </c>
      <c r="J850" t="s">
        <v>24</v>
      </c>
    </row>
    <row r="851" spans="1:10" x14ac:dyDescent="0.35">
      <c r="A851" t="s">
        <v>1837</v>
      </c>
      <c r="B851" t="s">
        <v>1825</v>
      </c>
      <c r="C851" t="str">
        <f>TEXT(Table1[[#This Row],[Order_Date]],"mmm")</f>
        <v>Jun</v>
      </c>
      <c r="D851" t="s">
        <v>1838</v>
      </c>
      <c r="E851" t="s">
        <v>53</v>
      </c>
      <c r="F851">
        <v>1</v>
      </c>
      <c r="G851">
        <v>911.54</v>
      </c>
      <c r="H851">
        <v>911.54</v>
      </c>
      <c r="I851" t="s">
        <v>18</v>
      </c>
      <c r="J851" t="s">
        <v>24</v>
      </c>
    </row>
    <row r="852" spans="1:10" x14ac:dyDescent="0.35">
      <c r="A852" t="s">
        <v>1839</v>
      </c>
      <c r="B852" t="s">
        <v>1840</v>
      </c>
      <c r="C852" t="str">
        <f>TEXT(Table1[[#This Row],[Order_Date]],"mmm")</f>
        <v>Jun</v>
      </c>
      <c r="D852" t="s">
        <v>1841</v>
      </c>
      <c r="E852" t="s">
        <v>38</v>
      </c>
      <c r="F852">
        <v>3</v>
      </c>
      <c r="G852">
        <v>24432.33</v>
      </c>
      <c r="H852">
        <v>73296.990000000005</v>
      </c>
      <c r="I852" t="s">
        <v>23</v>
      </c>
      <c r="J852" t="s">
        <v>14</v>
      </c>
    </row>
    <row r="853" spans="1:10" x14ac:dyDescent="0.35">
      <c r="A853" t="s">
        <v>1842</v>
      </c>
      <c r="B853" t="s">
        <v>1840</v>
      </c>
      <c r="C853" t="str">
        <f>TEXT(Table1[[#This Row],[Order_Date]],"mmm")</f>
        <v>Jun</v>
      </c>
      <c r="D853" t="s">
        <v>1843</v>
      </c>
      <c r="E853" t="s">
        <v>75</v>
      </c>
      <c r="F853">
        <v>5</v>
      </c>
      <c r="G853">
        <v>43653.53</v>
      </c>
      <c r="H853">
        <v>218267.65</v>
      </c>
      <c r="I853" t="s">
        <v>13</v>
      </c>
      <c r="J853" t="s">
        <v>14</v>
      </c>
    </row>
    <row r="854" spans="1:10" x14ac:dyDescent="0.35">
      <c r="A854" t="s">
        <v>1844</v>
      </c>
      <c r="B854" t="s">
        <v>1840</v>
      </c>
      <c r="C854" t="str">
        <f>TEXT(Table1[[#This Row],[Order_Date]],"mmm")</f>
        <v>Jun</v>
      </c>
      <c r="D854" t="s">
        <v>1845</v>
      </c>
      <c r="E854" t="s">
        <v>32</v>
      </c>
      <c r="F854">
        <v>2</v>
      </c>
      <c r="G854">
        <v>17871.95</v>
      </c>
      <c r="H854">
        <v>35743.9</v>
      </c>
      <c r="I854" t="s">
        <v>18</v>
      </c>
      <c r="J854" t="s">
        <v>14</v>
      </c>
    </row>
    <row r="855" spans="1:10" x14ac:dyDescent="0.35">
      <c r="A855" t="s">
        <v>1846</v>
      </c>
      <c r="B855" t="s">
        <v>1840</v>
      </c>
      <c r="C855" t="str">
        <f>TEXT(Table1[[#This Row],[Order_Date]],"mmm")</f>
        <v>Jun</v>
      </c>
      <c r="D855" t="s">
        <v>1847</v>
      </c>
      <c r="E855" t="s">
        <v>56</v>
      </c>
      <c r="F855">
        <v>5</v>
      </c>
      <c r="G855">
        <v>46314</v>
      </c>
      <c r="H855">
        <v>231570</v>
      </c>
      <c r="I855" t="s">
        <v>18</v>
      </c>
      <c r="J855" t="s">
        <v>24</v>
      </c>
    </row>
    <row r="856" spans="1:10" x14ac:dyDescent="0.35">
      <c r="A856" t="s">
        <v>1848</v>
      </c>
      <c r="B856" t="s">
        <v>1840</v>
      </c>
      <c r="C856" t="str">
        <f>TEXT(Table1[[#This Row],[Order_Date]],"mmm")</f>
        <v>Jun</v>
      </c>
      <c r="D856" t="s">
        <v>785</v>
      </c>
      <c r="E856" t="s">
        <v>17</v>
      </c>
      <c r="F856">
        <v>4</v>
      </c>
      <c r="G856">
        <v>30537.68</v>
      </c>
      <c r="H856">
        <v>122150.72</v>
      </c>
      <c r="I856" t="s">
        <v>18</v>
      </c>
      <c r="J856" t="s">
        <v>35</v>
      </c>
    </row>
    <row r="857" spans="1:10" x14ac:dyDescent="0.35">
      <c r="A857" t="s">
        <v>1849</v>
      </c>
      <c r="B857" t="s">
        <v>1850</v>
      </c>
      <c r="C857" t="str">
        <f>TEXT(Table1[[#This Row],[Order_Date]],"mmm")</f>
        <v>Jun</v>
      </c>
      <c r="D857" t="s">
        <v>1851</v>
      </c>
      <c r="E857" t="s">
        <v>72</v>
      </c>
      <c r="F857">
        <v>5</v>
      </c>
      <c r="G857">
        <v>9459.66</v>
      </c>
      <c r="H857">
        <v>47298.3</v>
      </c>
      <c r="I857" t="s">
        <v>18</v>
      </c>
      <c r="J857" t="s">
        <v>14</v>
      </c>
    </row>
    <row r="858" spans="1:10" x14ac:dyDescent="0.35">
      <c r="A858" t="s">
        <v>1852</v>
      </c>
      <c r="B858" t="s">
        <v>1850</v>
      </c>
      <c r="C858" t="str">
        <f>TEXT(Table1[[#This Row],[Order_Date]],"mmm")</f>
        <v>Jun</v>
      </c>
      <c r="D858" t="s">
        <v>1853</v>
      </c>
      <c r="E858" t="s">
        <v>75</v>
      </c>
      <c r="F858">
        <v>4</v>
      </c>
      <c r="G858">
        <v>20100.740000000002</v>
      </c>
      <c r="H858">
        <v>80402.960000000006</v>
      </c>
      <c r="I858" t="s">
        <v>23</v>
      </c>
      <c r="J858" t="s">
        <v>19</v>
      </c>
    </row>
    <row r="859" spans="1:10" x14ac:dyDescent="0.35">
      <c r="A859" t="s">
        <v>1854</v>
      </c>
      <c r="B859" t="s">
        <v>1850</v>
      </c>
      <c r="C859" t="str">
        <f>TEXT(Table1[[#This Row],[Order_Date]],"mmm")</f>
        <v>Jun</v>
      </c>
      <c r="D859" t="s">
        <v>1855</v>
      </c>
      <c r="E859" t="s">
        <v>12</v>
      </c>
      <c r="F859">
        <v>2</v>
      </c>
      <c r="G859">
        <v>33600.199999999997</v>
      </c>
      <c r="H859">
        <v>67200.399999999994</v>
      </c>
      <c r="I859" t="s">
        <v>13</v>
      </c>
      <c r="J859" t="s">
        <v>14</v>
      </c>
    </row>
    <row r="860" spans="1:10" x14ac:dyDescent="0.35">
      <c r="A860" t="s">
        <v>1856</v>
      </c>
      <c r="B860" t="s">
        <v>1850</v>
      </c>
      <c r="C860" t="str">
        <f>TEXT(Table1[[#This Row],[Order_Date]],"mmm")</f>
        <v>Jun</v>
      </c>
      <c r="D860" t="s">
        <v>1857</v>
      </c>
      <c r="E860" t="s">
        <v>72</v>
      </c>
      <c r="F860">
        <v>3</v>
      </c>
      <c r="G860">
        <v>3870.18</v>
      </c>
      <c r="H860">
        <v>11610.54</v>
      </c>
      <c r="I860" t="s">
        <v>13</v>
      </c>
      <c r="J860" t="s">
        <v>19</v>
      </c>
    </row>
    <row r="861" spans="1:10" x14ac:dyDescent="0.35">
      <c r="A861" t="s">
        <v>1858</v>
      </c>
      <c r="B861" t="s">
        <v>1850</v>
      </c>
      <c r="C861" t="str">
        <f>TEXT(Table1[[#This Row],[Order_Date]],"mmm")</f>
        <v>Jun</v>
      </c>
      <c r="D861" t="s">
        <v>1859</v>
      </c>
      <c r="E861" t="s">
        <v>32</v>
      </c>
      <c r="F861">
        <v>1</v>
      </c>
      <c r="G861">
        <v>39797.49</v>
      </c>
      <c r="H861">
        <v>39797.49</v>
      </c>
      <c r="I861" t="s">
        <v>23</v>
      </c>
      <c r="J861" t="s">
        <v>19</v>
      </c>
    </row>
    <row r="862" spans="1:10" x14ac:dyDescent="0.35">
      <c r="A862" t="s">
        <v>1860</v>
      </c>
      <c r="B862" t="s">
        <v>1850</v>
      </c>
      <c r="C862" t="str">
        <f>TEXT(Table1[[#This Row],[Order_Date]],"mmm")</f>
        <v>Jun</v>
      </c>
      <c r="D862" t="s">
        <v>1861</v>
      </c>
      <c r="E862" t="s">
        <v>32</v>
      </c>
      <c r="F862">
        <v>3</v>
      </c>
      <c r="G862">
        <v>23600.1</v>
      </c>
      <c r="H862">
        <v>70800.3</v>
      </c>
      <c r="I862" t="s">
        <v>18</v>
      </c>
      <c r="J862" t="s">
        <v>24</v>
      </c>
    </row>
    <row r="863" spans="1:10" x14ac:dyDescent="0.35">
      <c r="A863" t="s">
        <v>1862</v>
      </c>
      <c r="B863" t="s">
        <v>1850</v>
      </c>
      <c r="C863" t="str">
        <f>TEXT(Table1[[#This Row],[Order_Date]],"mmm")</f>
        <v>Jun</v>
      </c>
      <c r="D863" t="s">
        <v>1863</v>
      </c>
      <c r="E863" t="s">
        <v>32</v>
      </c>
      <c r="F863">
        <v>5</v>
      </c>
      <c r="G863">
        <v>9860.0499999999993</v>
      </c>
      <c r="H863">
        <v>49300.25</v>
      </c>
      <c r="I863" t="s">
        <v>18</v>
      </c>
      <c r="J863" t="s">
        <v>14</v>
      </c>
    </row>
    <row r="864" spans="1:10" x14ac:dyDescent="0.35">
      <c r="A864" t="s">
        <v>1864</v>
      </c>
      <c r="B864" t="s">
        <v>1865</v>
      </c>
      <c r="C864" t="str">
        <f>TEXT(Table1[[#This Row],[Order_Date]],"mmm")</f>
        <v>Jun</v>
      </c>
      <c r="D864" t="s">
        <v>1866</v>
      </c>
      <c r="E864" t="s">
        <v>12</v>
      </c>
      <c r="F864">
        <v>3</v>
      </c>
      <c r="G864">
        <v>22362.89</v>
      </c>
      <c r="H864">
        <v>67088.67</v>
      </c>
      <c r="I864" t="s">
        <v>18</v>
      </c>
      <c r="J864" t="s">
        <v>19</v>
      </c>
    </row>
    <row r="865" spans="1:10" x14ac:dyDescent="0.35">
      <c r="A865" t="s">
        <v>1867</v>
      </c>
      <c r="B865" t="s">
        <v>1865</v>
      </c>
      <c r="C865" t="str">
        <f>TEXT(Table1[[#This Row],[Order_Date]],"mmm")</f>
        <v>Jun</v>
      </c>
      <c r="D865" t="s">
        <v>1868</v>
      </c>
      <c r="E865" t="s">
        <v>53</v>
      </c>
      <c r="F865">
        <v>2</v>
      </c>
      <c r="G865">
        <v>37886.81</v>
      </c>
      <c r="H865">
        <v>75773.62</v>
      </c>
      <c r="I865" t="s">
        <v>18</v>
      </c>
      <c r="J865" t="s">
        <v>24</v>
      </c>
    </row>
    <row r="866" spans="1:10" x14ac:dyDescent="0.35">
      <c r="A866" t="s">
        <v>1869</v>
      </c>
      <c r="B866" t="s">
        <v>1865</v>
      </c>
      <c r="C866" t="str">
        <f>TEXT(Table1[[#This Row],[Order_Date]],"mmm")</f>
        <v>Jun</v>
      </c>
      <c r="D866" t="s">
        <v>1870</v>
      </c>
      <c r="E866" t="s">
        <v>56</v>
      </c>
      <c r="F866">
        <v>4</v>
      </c>
      <c r="G866">
        <v>15193.71</v>
      </c>
      <c r="H866">
        <v>60774.84</v>
      </c>
      <c r="I866" t="s">
        <v>13</v>
      </c>
      <c r="J866" t="s">
        <v>35</v>
      </c>
    </row>
    <row r="867" spans="1:10" x14ac:dyDescent="0.35">
      <c r="A867" t="s">
        <v>1871</v>
      </c>
      <c r="B867" t="s">
        <v>1865</v>
      </c>
      <c r="C867" t="str">
        <f>TEXT(Table1[[#This Row],[Order_Date]],"mmm")</f>
        <v>Jun</v>
      </c>
      <c r="D867" t="s">
        <v>1872</v>
      </c>
      <c r="E867" t="s">
        <v>53</v>
      </c>
      <c r="F867">
        <v>4</v>
      </c>
      <c r="G867">
        <v>47240.86</v>
      </c>
      <c r="H867">
        <v>188963.44</v>
      </c>
      <c r="I867" t="s">
        <v>42</v>
      </c>
      <c r="J867" t="s">
        <v>14</v>
      </c>
    </row>
    <row r="868" spans="1:10" x14ac:dyDescent="0.35">
      <c r="A868" t="s">
        <v>1873</v>
      </c>
      <c r="B868" t="s">
        <v>1874</v>
      </c>
      <c r="C868" t="str">
        <f>TEXT(Table1[[#This Row],[Order_Date]],"mmm")</f>
        <v>Jun</v>
      </c>
      <c r="D868" t="s">
        <v>1875</v>
      </c>
      <c r="E868" t="s">
        <v>56</v>
      </c>
      <c r="F868">
        <v>1</v>
      </c>
      <c r="G868">
        <v>2801.89</v>
      </c>
      <c r="H868">
        <v>2801.89</v>
      </c>
      <c r="I868" t="s">
        <v>18</v>
      </c>
      <c r="J868" t="s">
        <v>14</v>
      </c>
    </row>
    <row r="869" spans="1:10" x14ac:dyDescent="0.35">
      <c r="A869" t="s">
        <v>1876</v>
      </c>
      <c r="B869" t="s">
        <v>1874</v>
      </c>
      <c r="C869" t="str">
        <f>TEXT(Table1[[#This Row],[Order_Date]],"mmm")</f>
        <v>Jun</v>
      </c>
      <c r="D869" t="s">
        <v>1877</v>
      </c>
      <c r="E869" t="s">
        <v>75</v>
      </c>
      <c r="F869">
        <v>1</v>
      </c>
      <c r="G869">
        <v>34583.4</v>
      </c>
      <c r="H869">
        <v>34583.4</v>
      </c>
      <c r="I869" t="s">
        <v>18</v>
      </c>
      <c r="J869" t="s">
        <v>35</v>
      </c>
    </row>
    <row r="870" spans="1:10" x14ac:dyDescent="0.35">
      <c r="A870" t="s">
        <v>1878</v>
      </c>
      <c r="B870" t="s">
        <v>1874</v>
      </c>
      <c r="C870" t="str">
        <f>TEXT(Table1[[#This Row],[Order_Date]],"mmm")</f>
        <v>Jun</v>
      </c>
      <c r="D870" t="s">
        <v>1879</v>
      </c>
      <c r="E870" t="s">
        <v>17</v>
      </c>
      <c r="F870">
        <v>1</v>
      </c>
      <c r="G870">
        <v>13429.83</v>
      </c>
      <c r="H870">
        <v>13429.83</v>
      </c>
      <c r="I870" t="s">
        <v>23</v>
      </c>
      <c r="J870" t="s">
        <v>19</v>
      </c>
    </row>
    <row r="871" spans="1:10" x14ac:dyDescent="0.35">
      <c r="A871" t="s">
        <v>1880</v>
      </c>
      <c r="B871" t="s">
        <v>1874</v>
      </c>
      <c r="C871" t="str">
        <f>TEXT(Table1[[#This Row],[Order_Date]],"mmm")</f>
        <v>Jun</v>
      </c>
      <c r="D871" t="s">
        <v>1881</v>
      </c>
      <c r="E871" t="s">
        <v>47</v>
      </c>
      <c r="F871">
        <v>1</v>
      </c>
      <c r="G871">
        <v>47315.68</v>
      </c>
      <c r="H871">
        <v>47315.68</v>
      </c>
      <c r="I871" t="s">
        <v>23</v>
      </c>
      <c r="J871" t="s">
        <v>35</v>
      </c>
    </row>
    <row r="872" spans="1:10" x14ac:dyDescent="0.35">
      <c r="A872" t="s">
        <v>1882</v>
      </c>
      <c r="B872" t="s">
        <v>1874</v>
      </c>
      <c r="C872" t="str">
        <f>TEXT(Table1[[#This Row],[Order_Date]],"mmm")</f>
        <v>Jun</v>
      </c>
      <c r="D872" t="s">
        <v>1883</v>
      </c>
      <c r="E872" t="s">
        <v>56</v>
      </c>
      <c r="F872">
        <v>5</v>
      </c>
      <c r="G872">
        <v>5905.8</v>
      </c>
      <c r="H872">
        <v>29529</v>
      </c>
      <c r="I872" t="s">
        <v>18</v>
      </c>
      <c r="J872" t="s">
        <v>24</v>
      </c>
    </row>
    <row r="873" spans="1:10" x14ac:dyDescent="0.35">
      <c r="A873" t="s">
        <v>1884</v>
      </c>
      <c r="B873" t="s">
        <v>1874</v>
      </c>
      <c r="C873" t="str">
        <f>TEXT(Table1[[#This Row],[Order_Date]],"mmm")</f>
        <v>Jun</v>
      </c>
      <c r="D873" t="s">
        <v>1885</v>
      </c>
      <c r="E873" t="s">
        <v>22</v>
      </c>
      <c r="F873">
        <v>1</v>
      </c>
      <c r="G873">
        <v>36989.33</v>
      </c>
      <c r="H873">
        <v>36989.33</v>
      </c>
      <c r="I873" t="s">
        <v>18</v>
      </c>
      <c r="J873" t="s">
        <v>35</v>
      </c>
    </row>
    <row r="874" spans="1:10" x14ac:dyDescent="0.35">
      <c r="A874" t="s">
        <v>1886</v>
      </c>
      <c r="B874" t="s">
        <v>1887</v>
      </c>
      <c r="C874" t="str">
        <f>TEXT(Table1[[#This Row],[Order_Date]],"mmm")</f>
        <v>Jun</v>
      </c>
      <c r="D874" t="s">
        <v>1888</v>
      </c>
      <c r="E874" t="s">
        <v>75</v>
      </c>
      <c r="F874">
        <v>2</v>
      </c>
      <c r="G874">
        <v>22575.599999999999</v>
      </c>
      <c r="H874">
        <v>45151.199999999997</v>
      </c>
      <c r="I874" t="s">
        <v>13</v>
      </c>
      <c r="J874" t="s">
        <v>24</v>
      </c>
    </row>
    <row r="875" spans="1:10" x14ac:dyDescent="0.35">
      <c r="A875" t="s">
        <v>1889</v>
      </c>
      <c r="B875" t="s">
        <v>1887</v>
      </c>
      <c r="C875" t="str">
        <f>TEXT(Table1[[#This Row],[Order_Date]],"mmm")</f>
        <v>Jun</v>
      </c>
      <c r="D875" t="s">
        <v>1890</v>
      </c>
      <c r="E875" t="s">
        <v>38</v>
      </c>
      <c r="F875">
        <v>2</v>
      </c>
      <c r="G875">
        <v>13051.18</v>
      </c>
      <c r="H875">
        <v>26102.36</v>
      </c>
      <c r="I875" t="s">
        <v>23</v>
      </c>
      <c r="J875" t="s">
        <v>35</v>
      </c>
    </row>
    <row r="876" spans="1:10" x14ac:dyDescent="0.35">
      <c r="A876" t="s">
        <v>1891</v>
      </c>
      <c r="B876" t="s">
        <v>1887</v>
      </c>
      <c r="C876" t="str">
        <f>TEXT(Table1[[#This Row],[Order_Date]],"mmm")</f>
        <v>Jun</v>
      </c>
      <c r="D876" t="s">
        <v>1892</v>
      </c>
      <c r="E876" t="s">
        <v>47</v>
      </c>
      <c r="F876">
        <v>1</v>
      </c>
      <c r="G876">
        <v>45159.11</v>
      </c>
      <c r="H876">
        <v>45159.11</v>
      </c>
      <c r="I876" t="s">
        <v>23</v>
      </c>
      <c r="J876" t="s">
        <v>24</v>
      </c>
    </row>
    <row r="877" spans="1:10" x14ac:dyDescent="0.35">
      <c r="A877" t="s">
        <v>1893</v>
      </c>
      <c r="B877" t="s">
        <v>1887</v>
      </c>
      <c r="C877" t="str">
        <f>TEXT(Table1[[#This Row],[Order_Date]],"mmm")</f>
        <v>Jun</v>
      </c>
      <c r="D877" t="s">
        <v>1894</v>
      </c>
      <c r="E877" t="s">
        <v>53</v>
      </c>
      <c r="F877">
        <v>3</v>
      </c>
      <c r="G877">
        <v>6977.37</v>
      </c>
      <c r="H877">
        <v>20932.11</v>
      </c>
      <c r="I877" t="s">
        <v>18</v>
      </c>
      <c r="J877" t="s">
        <v>19</v>
      </c>
    </row>
    <row r="878" spans="1:10" x14ac:dyDescent="0.35">
      <c r="A878" t="s">
        <v>1895</v>
      </c>
      <c r="B878" t="s">
        <v>1887</v>
      </c>
      <c r="C878" t="str">
        <f>TEXT(Table1[[#This Row],[Order_Date]],"mmm")</f>
        <v>Jun</v>
      </c>
      <c r="D878" t="s">
        <v>1896</v>
      </c>
      <c r="E878" t="s">
        <v>32</v>
      </c>
      <c r="F878">
        <v>4</v>
      </c>
      <c r="G878">
        <v>6747.58</v>
      </c>
      <c r="H878">
        <v>26990.32</v>
      </c>
      <c r="I878" t="s">
        <v>42</v>
      </c>
      <c r="J878" t="s">
        <v>19</v>
      </c>
    </row>
    <row r="879" spans="1:10" x14ac:dyDescent="0.35">
      <c r="A879" t="s">
        <v>1897</v>
      </c>
      <c r="B879" t="s">
        <v>1887</v>
      </c>
      <c r="C879" t="str">
        <f>TEXT(Table1[[#This Row],[Order_Date]],"mmm")</f>
        <v>Jun</v>
      </c>
      <c r="D879" t="s">
        <v>1898</v>
      </c>
      <c r="E879" t="s">
        <v>75</v>
      </c>
      <c r="F879">
        <v>4</v>
      </c>
      <c r="G879">
        <v>32576.29</v>
      </c>
      <c r="H879">
        <v>130305.16</v>
      </c>
      <c r="I879" t="s">
        <v>42</v>
      </c>
      <c r="J879" t="s">
        <v>14</v>
      </c>
    </row>
    <row r="880" spans="1:10" x14ac:dyDescent="0.35">
      <c r="A880" t="s">
        <v>1899</v>
      </c>
      <c r="B880" t="s">
        <v>1887</v>
      </c>
      <c r="C880" t="str">
        <f>TEXT(Table1[[#This Row],[Order_Date]],"mmm")</f>
        <v>Jun</v>
      </c>
      <c r="D880" t="s">
        <v>1328</v>
      </c>
      <c r="E880" t="s">
        <v>32</v>
      </c>
      <c r="F880">
        <v>3</v>
      </c>
      <c r="G880">
        <v>31211.34</v>
      </c>
      <c r="H880">
        <v>93634.02</v>
      </c>
      <c r="I880" t="s">
        <v>13</v>
      </c>
      <c r="J880" t="s">
        <v>14</v>
      </c>
    </row>
    <row r="881" spans="1:10" x14ac:dyDescent="0.35">
      <c r="A881" t="s">
        <v>1900</v>
      </c>
      <c r="B881" t="s">
        <v>1901</v>
      </c>
      <c r="C881" t="str">
        <f>TEXT(Table1[[#This Row],[Order_Date]],"mmm")</f>
        <v>Jun</v>
      </c>
      <c r="D881" t="s">
        <v>1902</v>
      </c>
      <c r="E881" t="s">
        <v>17</v>
      </c>
      <c r="F881">
        <v>4</v>
      </c>
      <c r="G881">
        <v>48790.22</v>
      </c>
      <c r="H881">
        <v>195160.88</v>
      </c>
      <c r="I881" t="s">
        <v>13</v>
      </c>
      <c r="J881" t="s">
        <v>24</v>
      </c>
    </row>
    <row r="882" spans="1:10" x14ac:dyDescent="0.35">
      <c r="A882" t="s">
        <v>1903</v>
      </c>
      <c r="B882" t="s">
        <v>1901</v>
      </c>
      <c r="C882" t="str">
        <f>TEXT(Table1[[#This Row],[Order_Date]],"mmm")</f>
        <v>Jun</v>
      </c>
      <c r="D882" t="s">
        <v>1904</v>
      </c>
      <c r="E882" t="s">
        <v>38</v>
      </c>
      <c r="F882">
        <v>2</v>
      </c>
      <c r="G882">
        <v>9849.07</v>
      </c>
      <c r="H882">
        <v>19698.14</v>
      </c>
      <c r="I882" t="s">
        <v>42</v>
      </c>
      <c r="J882" t="s">
        <v>19</v>
      </c>
    </row>
    <row r="883" spans="1:10" x14ac:dyDescent="0.35">
      <c r="A883" t="s">
        <v>1905</v>
      </c>
      <c r="B883" t="s">
        <v>1901</v>
      </c>
      <c r="C883" t="str">
        <f>TEXT(Table1[[#This Row],[Order_Date]],"mmm")</f>
        <v>Jun</v>
      </c>
      <c r="D883" t="s">
        <v>1906</v>
      </c>
      <c r="E883" t="s">
        <v>22</v>
      </c>
      <c r="F883">
        <v>2</v>
      </c>
      <c r="G883">
        <v>24406.06</v>
      </c>
      <c r="H883">
        <v>48812.12</v>
      </c>
      <c r="I883" t="s">
        <v>18</v>
      </c>
      <c r="J883" t="s">
        <v>35</v>
      </c>
    </row>
    <row r="884" spans="1:10" x14ac:dyDescent="0.35">
      <c r="A884" t="s">
        <v>1907</v>
      </c>
      <c r="B884" t="s">
        <v>1901</v>
      </c>
      <c r="C884" t="str">
        <f>TEXT(Table1[[#This Row],[Order_Date]],"mmm")</f>
        <v>Jun</v>
      </c>
      <c r="D884" t="s">
        <v>1908</v>
      </c>
      <c r="E884" t="s">
        <v>38</v>
      </c>
      <c r="F884">
        <v>5</v>
      </c>
      <c r="G884">
        <v>36289.21</v>
      </c>
      <c r="H884">
        <v>181446.05</v>
      </c>
      <c r="I884" t="s">
        <v>13</v>
      </c>
      <c r="J884" t="s">
        <v>14</v>
      </c>
    </row>
    <row r="885" spans="1:10" x14ac:dyDescent="0.35">
      <c r="A885" t="s">
        <v>1909</v>
      </c>
      <c r="B885" t="s">
        <v>1901</v>
      </c>
      <c r="C885" t="str">
        <f>TEXT(Table1[[#This Row],[Order_Date]],"mmm")</f>
        <v>Jun</v>
      </c>
      <c r="D885" t="s">
        <v>1910</v>
      </c>
      <c r="E885" t="s">
        <v>72</v>
      </c>
      <c r="F885">
        <v>5</v>
      </c>
      <c r="G885">
        <v>45155.01</v>
      </c>
      <c r="H885">
        <v>225775.05</v>
      </c>
      <c r="I885" t="s">
        <v>18</v>
      </c>
      <c r="J885" t="s">
        <v>35</v>
      </c>
    </row>
    <row r="886" spans="1:10" x14ac:dyDescent="0.35">
      <c r="A886" t="s">
        <v>1911</v>
      </c>
      <c r="B886" t="s">
        <v>1912</v>
      </c>
      <c r="C886" t="str">
        <f>TEXT(Table1[[#This Row],[Order_Date]],"mmm")</f>
        <v>Jun</v>
      </c>
      <c r="D886" t="s">
        <v>1913</v>
      </c>
      <c r="E886" t="s">
        <v>72</v>
      </c>
      <c r="F886">
        <v>3</v>
      </c>
      <c r="G886">
        <v>33133.5</v>
      </c>
      <c r="H886">
        <v>99400.5</v>
      </c>
      <c r="I886" t="s">
        <v>23</v>
      </c>
      <c r="J886" t="s">
        <v>19</v>
      </c>
    </row>
    <row r="887" spans="1:10" x14ac:dyDescent="0.35">
      <c r="A887" t="s">
        <v>1914</v>
      </c>
      <c r="B887" t="s">
        <v>1912</v>
      </c>
      <c r="C887" t="str">
        <f>TEXT(Table1[[#This Row],[Order_Date]],"mmm")</f>
        <v>Jun</v>
      </c>
      <c r="D887" t="s">
        <v>1915</v>
      </c>
      <c r="E887" t="s">
        <v>17</v>
      </c>
      <c r="F887">
        <v>1</v>
      </c>
      <c r="G887">
        <v>2803.47</v>
      </c>
      <c r="H887">
        <v>2803.47</v>
      </c>
      <c r="I887" t="s">
        <v>42</v>
      </c>
      <c r="J887" t="s">
        <v>14</v>
      </c>
    </row>
    <row r="888" spans="1:10" x14ac:dyDescent="0.35">
      <c r="A888" t="s">
        <v>1916</v>
      </c>
      <c r="B888" t="s">
        <v>1912</v>
      </c>
      <c r="C888" t="str">
        <f>TEXT(Table1[[#This Row],[Order_Date]],"mmm")</f>
        <v>Jun</v>
      </c>
      <c r="D888" t="s">
        <v>1917</v>
      </c>
      <c r="E888" t="s">
        <v>75</v>
      </c>
      <c r="F888">
        <v>5</v>
      </c>
      <c r="G888">
        <v>21095.59</v>
      </c>
      <c r="H888">
        <v>105477.95</v>
      </c>
      <c r="I888" t="s">
        <v>13</v>
      </c>
      <c r="J888" t="s">
        <v>24</v>
      </c>
    </row>
    <row r="889" spans="1:10" x14ac:dyDescent="0.35">
      <c r="A889" t="s">
        <v>1918</v>
      </c>
      <c r="B889" t="s">
        <v>1912</v>
      </c>
      <c r="C889" t="str">
        <f>TEXT(Table1[[#This Row],[Order_Date]],"mmm")</f>
        <v>Jun</v>
      </c>
      <c r="D889" t="s">
        <v>1919</v>
      </c>
      <c r="E889" t="s">
        <v>56</v>
      </c>
      <c r="F889">
        <v>5</v>
      </c>
      <c r="G889">
        <v>17959.41</v>
      </c>
      <c r="H889">
        <v>89797.05</v>
      </c>
      <c r="I889" t="s">
        <v>13</v>
      </c>
      <c r="J889" t="s">
        <v>35</v>
      </c>
    </row>
    <row r="890" spans="1:10" x14ac:dyDescent="0.35">
      <c r="A890" t="s">
        <v>1920</v>
      </c>
      <c r="B890" t="s">
        <v>1912</v>
      </c>
      <c r="C890" t="str">
        <f>TEXT(Table1[[#This Row],[Order_Date]],"mmm")</f>
        <v>Jun</v>
      </c>
      <c r="D890" t="s">
        <v>1921</v>
      </c>
      <c r="E890" t="s">
        <v>47</v>
      </c>
      <c r="F890">
        <v>4</v>
      </c>
      <c r="G890">
        <v>40912.839999999997</v>
      </c>
      <c r="H890">
        <v>163651.35999999999</v>
      </c>
      <c r="I890" t="s">
        <v>13</v>
      </c>
      <c r="J890" t="s">
        <v>24</v>
      </c>
    </row>
    <row r="891" spans="1:10" x14ac:dyDescent="0.35">
      <c r="A891" t="s">
        <v>1922</v>
      </c>
      <c r="B891" t="s">
        <v>1912</v>
      </c>
      <c r="C891" t="str">
        <f>TEXT(Table1[[#This Row],[Order_Date]],"mmm")</f>
        <v>Jun</v>
      </c>
      <c r="D891" t="s">
        <v>1923</v>
      </c>
      <c r="E891" t="s">
        <v>47</v>
      </c>
      <c r="F891">
        <v>3</v>
      </c>
      <c r="G891">
        <v>26048.42</v>
      </c>
      <c r="H891">
        <v>78145.259999999995</v>
      </c>
      <c r="I891" t="s">
        <v>18</v>
      </c>
      <c r="J891" t="s">
        <v>35</v>
      </c>
    </row>
    <row r="892" spans="1:10" x14ac:dyDescent="0.35">
      <c r="A892" t="s">
        <v>1924</v>
      </c>
      <c r="B892" t="s">
        <v>1925</v>
      </c>
      <c r="C892" t="str">
        <f>TEXT(Table1[[#This Row],[Order_Date]],"mmm")</f>
        <v>Jun</v>
      </c>
      <c r="D892" t="s">
        <v>603</v>
      </c>
      <c r="E892" t="s">
        <v>56</v>
      </c>
      <c r="F892">
        <v>4</v>
      </c>
      <c r="G892">
        <v>25504.04</v>
      </c>
      <c r="H892">
        <v>102016.16</v>
      </c>
      <c r="I892" t="s">
        <v>42</v>
      </c>
      <c r="J892" t="s">
        <v>35</v>
      </c>
    </row>
    <row r="893" spans="1:10" x14ac:dyDescent="0.35">
      <c r="A893" t="s">
        <v>1926</v>
      </c>
      <c r="B893" t="s">
        <v>1925</v>
      </c>
      <c r="C893" t="str">
        <f>TEXT(Table1[[#This Row],[Order_Date]],"mmm")</f>
        <v>Jun</v>
      </c>
      <c r="D893" t="s">
        <v>1927</v>
      </c>
      <c r="E893" t="s">
        <v>17</v>
      </c>
      <c r="F893">
        <v>3</v>
      </c>
      <c r="G893">
        <v>41225.43</v>
      </c>
      <c r="H893">
        <v>123676.29</v>
      </c>
      <c r="I893" t="s">
        <v>23</v>
      </c>
      <c r="J893" t="s">
        <v>24</v>
      </c>
    </row>
    <row r="894" spans="1:10" x14ac:dyDescent="0.35">
      <c r="A894" t="s">
        <v>1928</v>
      </c>
      <c r="B894" t="s">
        <v>1925</v>
      </c>
      <c r="C894" t="str">
        <f>TEXT(Table1[[#This Row],[Order_Date]],"mmm")</f>
        <v>Jun</v>
      </c>
      <c r="D894" t="s">
        <v>1929</v>
      </c>
      <c r="E894" t="s">
        <v>75</v>
      </c>
      <c r="F894">
        <v>3</v>
      </c>
      <c r="G894">
        <v>25419.72</v>
      </c>
      <c r="H894">
        <v>76259.16</v>
      </c>
      <c r="I894" t="s">
        <v>18</v>
      </c>
      <c r="J894" t="s">
        <v>14</v>
      </c>
    </row>
    <row r="895" spans="1:10" x14ac:dyDescent="0.35">
      <c r="A895" t="s">
        <v>1930</v>
      </c>
      <c r="B895" t="s">
        <v>1925</v>
      </c>
      <c r="C895" t="str">
        <f>TEXT(Table1[[#This Row],[Order_Date]],"mmm")</f>
        <v>Jun</v>
      </c>
      <c r="D895" t="s">
        <v>1931</v>
      </c>
      <c r="E895" t="s">
        <v>47</v>
      </c>
      <c r="F895">
        <v>5</v>
      </c>
      <c r="G895">
        <v>45306.36</v>
      </c>
      <c r="H895">
        <v>226531.8</v>
      </c>
      <c r="I895" t="s">
        <v>42</v>
      </c>
      <c r="J895" t="s">
        <v>24</v>
      </c>
    </row>
    <row r="896" spans="1:10" x14ac:dyDescent="0.35">
      <c r="A896" t="s">
        <v>1932</v>
      </c>
      <c r="B896" t="s">
        <v>1925</v>
      </c>
      <c r="C896" t="str">
        <f>TEXT(Table1[[#This Row],[Order_Date]],"mmm")</f>
        <v>Jun</v>
      </c>
      <c r="D896" t="s">
        <v>1933</v>
      </c>
      <c r="E896" t="s">
        <v>47</v>
      </c>
      <c r="F896">
        <v>4</v>
      </c>
      <c r="G896">
        <v>44780.23</v>
      </c>
      <c r="H896">
        <v>179120.92</v>
      </c>
      <c r="I896" t="s">
        <v>23</v>
      </c>
      <c r="J896" t="s">
        <v>24</v>
      </c>
    </row>
    <row r="897" spans="1:10" x14ac:dyDescent="0.35">
      <c r="A897" t="s">
        <v>1934</v>
      </c>
      <c r="B897" t="s">
        <v>1925</v>
      </c>
      <c r="C897" t="str">
        <f>TEXT(Table1[[#This Row],[Order_Date]],"mmm")</f>
        <v>Jun</v>
      </c>
      <c r="D897" t="s">
        <v>1935</v>
      </c>
      <c r="E897" t="s">
        <v>32</v>
      </c>
      <c r="F897">
        <v>5</v>
      </c>
      <c r="G897">
        <v>4543.5</v>
      </c>
      <c r="H897">
        <v>22717.5</v>
      </c>
      <c r="I897" t="s">
        <v>13</v>
      </c>
      <c r="J897" t="s">
        <v>24</v>
      </c>
    </row>
    <row r="898" spans="1:10" x14ac:dyDescent="0.35">
      <c r="A898" t="s">
        <v>1936</v>
      </c>
      <c r="B898" t="s">
        <v>1937</v>
      </c>
      <c r="C898" t="str">
        <f>TEXT(Table1[[#This Row],[Order_Date]],"mmm")</f>
        <v>Jun</v>
      </c>
      <c r="D898" t="s">
        <v>1938</v>
      </c>
      <c r="E898" t="s">
        <v>72</v>
      </c>
      <c r="F898">
        <v>2</v>
      </c>
      <c r="G898">
        <v>11682.99</v>
      </c>
      <c r="H898">
        <v>23365.98</v>
      </c>
      <c r="I898" t="s">
        <v>18</v>
      </c>
      <c r="J898" t="s">
        <v>19</v>
      </c>
    </row>
    <row r="899" spans="1:10" x14ac:dyDescent="0.35">
      <c r="A899" t="s">
        <v>1939</v>
      </c>
      <c r="B899" t="s">
        <v>1937</v>
      </c>
      <c r="C899" t="str">
        <f>TEXT(Table1[[#This Row],[Order_Date]],"mmm")</f>
        <v>Jun</v>
      </c>
      <c r="D899" t="s">
        <v>1940</v>
      </c>
      <c r="E899" t="s">
        <v>12</v>
      </c>
      <c r="F899">
        <v>1</v>
      </c>
      <c r="G899">
        <v>44766.400000000001</v>
      </c>
      <c r="H899">
        <v>44766.400000000001</v>
      </c>
      <c r="I899" t="s">
        <v>42</v>
      </c>
      <c r="J899" t="s">
        <v>24</v>
      </c>
    </row>
    <row r="900" spans="1:10" x14ac:dyDescent="0.35">
      <c r="A900" t="s">
        <v>1941</v>
      </c>
      <c r="B900" t="s">
        <v>1937</v>
      </c>
      <c r="C900" t="str">
        <f>TEXT(Table1[[#This Row],[Order_Date]],"mmm")</f>
        <v>Jun</v>
      </c>
      <c r="D900" t="s">
        <v>1942</v>
      </c>
      <c r="E900" t="s">
        <v>47</v>
      </c>
      <c r="F900">
        <v>3</v>
      </c>
      <c r="G900">
        <v>15341.58</v>
      </c>
      <c r="H900">
        <v>46024.74</v>
      </c>
      <c r="I900" t="s">
        <v>13</v>
      </c>
      <c r="J900" t="s">
        <v>24</v>
      </c>
    </row>
    <row r="901" spans="1:10" x14ac:dyDescent="0.35">
      <c r="A901" t="s">
        <v>1943</v>
      </c>
      <c r="B901" t="s">
        <v>1944</v>
      </c>
      <c r="C901" t="str">
        <f>TEXT(Table1[[#This Row],[Order_Date]],"mmm")</f>
        <v>Jun</v>
      </c>
      <c r="D901" t="s">
        <v>1945</v>
      </c>
      <c r="E901" t="s">
        <v>38</v>
      </c>
      <c r="F901">
        <v>5</v>
      </c>
      <c r="G901">
        <v>47062.6</v>
      </c>
      <c r="H901">
        <v>235313</v>
      </c>
      <c r="I901" t="s">
        <v>18</v>
      </c>
      <c r="J901" t="s">
        <v>19</v>
      </c>
    </row>
    <row r="902" spans="1:10" x14ac:dyDescent="0.35">
      <c r="A902" t="s">
        <v>1946</v>
      </c>
      <c r="B902" t="s">
        <v>1944</v>
      </c>
      <c r="C902" t="str">
        <f>TEXT(Table1[[#This Row],[Order_Date]],"mmm")</f>
        <v>Jun</v>
      </c>
      <c r="D902" t="s">
        <v>1947</v>
      </c>
      <c r="E902" t="s">
        <v>32</v>
      </c>
      <c r="F902">
        <v>1</v>
      </c>
      <c r="G902">
        <v>21090.77</v>
      </c>
      <c r="H902">
        <v>21090.77</v>
      </c>
      <c r="I902" t="s">
        <v>23</v>
      </c>
      <c r="J902" t="s">
        <v>14</v>
      </c>
    </row>
    <row r="903" spans="1:10" x14ac:dyDescent="0.35">
      <c r="A903" t="s">
        <v>1948</v>
      </c>
      <c r="B903" t="s">
        <v>1944</v>
      </c>
      <c r="C903" t="str">
        <f>TEXT(Table1[[#This Row],[Order_Date]],"mmm")</f>
        <v>Jun</v>
      </c>
      <c r="D903" t="s">
        <v>58</v>
      </c>
      <c r="E903" t="s">
        <v>75</v>
      </c>
      <c r="F903">
        <v>5</v>
      </c>
      <c r="G903">
        <v>12256.23</v>
      </c>
      <c r="H903">
        <v>61281.15</v>
      </c>
      <c r="I903" t="s">
        <v>42</v>
      </c>
      <c r="J903" t="s">
        <v>24</v>
      </c>
    </row>
    <row r="904" spans="1:10" x14ac:dyDescent="0.35">
      <c r="A904" t="s">
        <v>1949</v>
      </c>
      <c r="B904" t="s">
        <v>1944</v>
      </c>
      <c r="C904" t="str">
        <f>TEXT(Table1[[#This Row],[Order_Date]],"mmm")</f>
        <v>Jun</v>
      </c>
      <c r="D904" t="s">
        <v>1950</v>
      </c>
      <c r="E904" t="s">
        <v>47</v>
      </c>
      <c r="F904">
        <v>1</v>
      </c>
      <c r="G904">
        <v>26766.31</v>
      </c>
      <c r="H904">
        <v>26766.31</v>
      </c>
      <c r="I904" t="s">
        <v>23</v>
      </c>
      <c r="J904" t="s">
        <v>35</v>
      </c>
    </row>
    <row r="905" spans="1:10" x14ac:dyDescent="0.35">
      <c r="A905" t="s">
        <v>1951</v>
      </c>
      <c r="B905" t="s">
        <v>1944</v>
      </c>
      <c r="C905" t="str">
        <f>TEXT(Table1[[#This Row],[Order_Date]],"mmm")</f>
        <v>Jun</v>
      </c>
      <c r="D905" t="s">
        <v>1952</v>
      </c>
      <c r="E905" t="s">
        <v>12</v>
      </c>
      <c r="F905">
        <v>5</v>
      </c>
      <c r="G905">
        <v>13506.49</v>
      </c>
      <c r="H905">
        <v>67532.45</v>
      </c>
      <c r="I905" t="s">
        <v>23</v>
      </c>
      <c r="J905" t="s">
        <v>35</v>
      </c>
    </row>
    <row r="906" spans="1:10" x14ac:dyDescent="0.35">
      <c r="A906" t="s">
        <v>1953</v>
      </c>
      <c r="B906" t="s">
        <v>1944</v>
      </c>
      <c r="C906" t="str">
        <f>TEXT(Table1[[#This Row],[Order_Date]],"mmm")</f>
        <v>Jun</v>
      </c>
      <c r="D906" t="s">
        <v>1954</v>
      </c>
      <c r="E906" t="s">
        <v>72</v>
      </c>
      <c r="F906">
        <v>3</v>
      </c>
      <c r="G906">
        <v>40896.92</v>
      </c>
      <c r="H906">
        <v>122690.76</v>
      </c>
      <c r="I906" t="s">
        <v>42</v>
      </c>
      <c r="J906" t="s">
        <v>35</v>
      </c>
    </row>
    <row r="907" spans="1:10" x14ac:dyDescent="0.35">
      <c r="A907" t="s">
        <v>1955</v>
      </c>
      <c r="B907" t="s">
        <v>1956</v>
      </c>
      <c r="C907" t="str">
        <f>TEXT(Table1[[#This Row],[Order_Date]],"mmm")</f>
        <v>Jun</v>
      </c>
      <c r="D907" t="s">
        <v>1957</v>
      </c>
      <c r="E907" t="s">
        <v>17</v>
      </c>
      <c r="F907">
        <v>3</v>
      </c>
      <c r="G907">
        <v>41529.919999999998</v>
      </c>
      <c r="H907">
        <v>124589.75999999999</v>
      </c>
      <c r="I907" t="s">
        <v>42</v>
      </c>
      <c r="J907" t="s">
        <v>24</v>
      </c>
    </row>
    <row r="908" spans="1:10" x14ac:dyDescent="0.35">
      <c r="A908" t="s">
        <v>1958</v>
      </c>
      <c r="B908" t="s">
        <v>1956</v>
      </c>
      <c r="C908" t="str">
        <f>TEXT(Table1[[#This Row],[Order_Date]],"mmm")</f>
        <v>Jun</v>
      </c>
      <c r="D908" t="s">
        <v>146</v>
      </c>
      <c r="E908" t="s">
        <v>53</v>
      </c>
      <c r="F908">
        <v>5</v>
      </c>
      <c r="G908">
        <v>20848.830000000002</v>
      </c>
      <c r="H908">
        <v>104244.15</v>
      </c>
      <c r="I908" t="s">
        <v>13</v>
      </c>
      <c r="J908" t="s">
        <v>19</v>
      </c>
    </row>
    <row r="909" spans="1:10" x14ac:dyDescent="0.35">
      <c r="A909" t="s">
        <v>1959</v>
      </c>
      <c r="B909" t="s">
        <v>1956</v>
      </c>
      <c r="C909" t="str">
        <f>TEXT(Table1[[#This Row],[Order_Date]],"mmm")</f>
        <v>Jun</v>
      </c>
      <c r="D909" t="s">
        <v>1960</v>
      </c>
      <c r="E909" t="s">
        <v>22</v>
      </c>
      <c r="F909">
        <v>5</v>
      </c>
      <c r="G909">
        <v>40824.68</v>
      </c>
      <c r="H909">
        <v>204123.4</v>
      </c>
      <c r="I909" t="s">
        <v>13</v>
      </c>
      <c r="J909" t="s">
        <v>24</v>
      </c>
    </row>
    <row r="910" spans="1:10" x14ac:dyDescent="0.35">
      <c r="A910" t="s">
        <v>1961</v>
      </c>
      <c r="B910" t="s">
        <v>1962</v>
      </c>
      <c r="C910" t="str">
        <f>TEXT(Table1[[#This Row],[Order_Date]],"mmm")</f>
        <v>Jun</v>
      </c>
      <c r="D910" t="s">
        <v>1963</v>
      </c>
      <c r="E910" t="s">
        <v>12</v>
      </c>
      <c r="F910">
        <v>2</v>
      </c>
      <c r="G910">
        <v>47613.04</v>
      </c>
      <c r="H910">
        <v>95226.08</v>
      </c>
      <c r="I910" t="s">
        <v>18</v>
      </c>
      <c r="J910" t="s">
        <v>35</v>
      </c>
    </row>
    <row r="911" spans="1:10" x14ac:dyDescent="0.35">
      <c r="A911" t="s">
        <v>1964</v>
      </c>
      <c r="B911" t="s">
        <v>1962</v>
      </c>
      <c r="C911" t="str">
        <f>TEXT(Table1[[#This Row],[Order_Date]],"mmm")</f>
        <v>Jun</v>
      </c>
      <c r="D911" t="s">
        <v>1965</v>
      </c>
      <c r="E911" t="s">
        <v>53</v>
      </c>
      <c r="F911">
        <v>3</v>
      </c>
      <c r="G911">
        <v>48534.29</v>
      </c>
      <c r="H911">
        <v>145602.87</v>
      </c>
      <c r="I911" t="s">
        <v>23</v>
      </c>
      <c r="J911" t="s">
        <v>14</v>
      </c>
    </row>
    <row r="912" spans="1:10" x14ac:dyDescent="0.35">
      <c r="A912" t="s">
        <v>1966</v>
      </c>
      <c r="B912" t="s">
        <v>1962</v>
      </c>
      <c r="C912" t="str">
        <f>TEXT(Table1[[#This Row],[Order_Date]],"mmm")</f>
        <v>Jun</v>
      </c>
      <c r="D912" t="s">
        <v>1967</v>
      </c>
      <c r="E912" t="s">
        <v>22</v>
      </c>
      <c r="F912">
        <v>5</v>
      </c>
      <c r="G912">
        <v>43938.57</v>
      </c>
      <c r="H912">
        <v>219692.85</v>
      </c>
      <c r="I912" t="s">
        <v>13</v>
      </c>
      <c r="J912" t="s">
        <v>14</v>
      </c>
    </row>
    <row r="913" spans="1:10" x14ac:dyDescent="0.35">
      <c r="A913" t="s">
        <v>1968</v>
      </c>
      <c r="B913" t="s">
        <v>1962</v>
      </c>
      <c r="C913" t="str">
        <f>TEXT(Table1[[#This Row],[Order_Date]],"mmm")</f>
        <v>Jun</v>
      </c>
      <c r="D913" t="s">
        <v>1969</v>
      </c>
      <c r="E913" t="s">
        <v>75</v>
      </c>
      <c r="F913">
        <v>5</v>
      </c>
      <c r="G913">
        <v>36642.089999999997</v>
      </c>
      <c r="H913">
        <v>183210.45</v>
      </c>
      <c r="I913" t="s">
        <v>42</v>
      </c>
      <c r="J913" t="s">
        <v>14</v>
      </c>
    </row>
    <row r="914" spans="1:10" x14ac:dyDescent="0.35">
      <c r="A914" t="s">
        <v>1970</v>
      </c>
      <c r="B914" t="s">
        <v>1971</v>
      </c>
      <c r="C914" t="str">
        <f>TEXT(Table1[[#This Row],[Order_Date]],"mmm")</f>
        <v>Jun</v>
      </c>
      <c r="D914" t="s">
        <v>1972</v>
      </c>
      <c r="E914" t="s">
        <v>53</v>
      </c>
      <c r="F914">
        <v>3</v>
      </c>
      <c r="G914">
        <v>37955.75</v>
      </c>
      <c r="H914">
        <v>113867.25</v>
      </c>
      <c r="I914" t="s">
        <v>13</v>
      </c>
      <c r="J914" t="s">
        <v>24</v>
      </c>
    </row>
    <row r="915" spans="1:10" x14ac:dyDescent="0.35">
      <c r="A915" t="s">
        <v>1973</v>
      </c>
      <c r="B915" t="s">
        <v>1971</v>
      </c>
      <c r="C915" t="str">
        <f>TEXT(Table1[[#This Row],[Order_Date]],"mmm")</f>
        <v>Jun</v>
      </c>
      <c r="D915" t="s">
        <v>1974</v>
      </c>
      <c r="E915" t="s">
        <v>75</v>
      </c>
      <c r="F915">
        <v>2</v>
      </c>
      <c r="G915">
        <v>29028.799999999999</v>
      </c>
      <c r="H915">
        <v>58057.599999999999</v>
      </c>
      <c r="I915" t="s">
        <v>23</v>
      </c>
      <c r="J915" t="s">
        <v>19</v>
      </c>
    </row>
    <row r="916" spans="1:10" x14ac:dyDescent="0.35">
      <c r="A916" t="s">
        <v>1975</v>
      </c>
      <c r="B916" t="s">
        <v>1971</v>
      </c>
      <c r="C916" t="str">
        <f>TEXT(Table1[[#This Row],[Order_Date]],"mmm")</f>
        <v>Jun</v>
      </c>
      <c r="D916" t="s">
        <v>1976</v>
      </c>
      <c r="E916" t="s">
        <v>53</v>
      </c>
      <c r="F916">
        <v>1</v>
      </c>
      <c r="G916">
        <v>31520.560000000001</v>
      </c>
      <c r="H916">
        <v>31520.560000000001</v>
      </c>
      <c r="I916" t="s">
        <v>13</v>
      </c>
      <c r="J916" t="s">
        <v>19</v>
      </c>
    </row>
    <row r="917" spans="1:10" x14ac:dyDescent="0.35">
      <c r="A917" t="s">
        <v>1977</v>
      </c>
      <c r="B917" t="s">
        <v>1978</v>
      </c>
      <c r="C917" t="str">
        <f>TEXT(Table1[[#This Row],[Order_Date]],"mmm")</f>
        <v>Jun</v>
      </c>
      <c r="D917" t="s">
        <v>1979</v>
      </c>
      <c r="E917" t="s">
        <v>72</v>
      </c>
      <c r="F917">
        <v>4</v>
      </c>
      <c r="G917">
        <v>37852.81</v>
      </c>
      <c r="H917">
        <v>151411.24</v>
      </c>
      <c r="I917" t="s">
        <v>42</v>
      </c>
      <c r="J917" t="s">
        <v>19</v>
      </c>
    </row>
    <row r="918" spans="1:10" x14ac:dyDescent="0.35">
      <c r="A918" t="s">
        <v>1980</v>
      </c>
      <c r="B918" t="s">
        <v>1978</v>
      </c>
      <c r="C918" t="str">
        <f>TEXT(Table1[[#This Row],[Order_Date]],"mmm")</f>
        <v>Jun</v>
      </c>
      <c r="D918" t="s">
        <v>1981</v>
      </c>
      <c r="E918" t="s">
        <v>53</v>
      </c>
      <c r="F918">
        <v>3</v>
      </c>
      <c r="G918">
        <v>47108.5</v>
      </c>
      <c r="H918">
        <v>141325.5</v>
      </c>
      <c r="I918" t="s">
        <v>23</v>
      </c>
      <c r="J918" t="s">
        <v>24</v>
      </c>
    </row>
    <row r="919" spans="1:10" x14ac:dyDescent="0.35">
      <c r="A919" t="s">
        <v>1982</v>
      </c>
      <c r="B919" t="s">
        <v>1978</v>
      </c>
      <c r="C919" t="str">
        <f>TEXT(Table1[[#This Row],[Order_Date]],"mmm")</f>
        <v>Jun</v>
      </c>
      <c r="D919" t="s">
        <v>1983</v>
      </c>
      <c r="E919" t="s">
        <v>56</v>
      </c>
      <c r="F919">
        <v>3</v>
      </c>
      <c r="G919">
        <v>26715.46</v>
      </c>
      <c r="H919">
        <v>80146.38</v>
      </c>
      <c r="I919" t="s">
        <v>18</v>
      </c>
      <c r="J919" t="s">
        <v>35</v>
      </c>
    </row>
    <row r="920" spans="1:10" x14ac:dyDescent="0.35">
      <c r="A920" t="s">
        <v>1984</v>
      </c>
      <c r="B920" t="s">
        <v>1985</v>
      </c>
      <c r="C920" t="str">
        <f>TEXT(Table1[[#This Row],[Order_Date]],"mmm")</f>
        <v>Jun</v>
      </c>
      <c r="D920" t="s">
        <v>1986</v>
      </c>
      <c r="E920" t="s">
        <v>56</v>
      </c>
      <c r="F920">
        <v>5</v>
      </c>
      <c r="G920">
        <v>26422.58</v>
      </c>
      <c r="H920">
        <v>132112.9</v>
      </c>
      <c r="I920" t="s">
        <v>42</v>
      </c>
      <c r="J920" t="s">
        <v>35</v>
      </c>
    </row>
    <row r="921" spans="1:10" x14ac:dyDescent="0.35">
      <c r="A921" t="s">
        <v>1987</v>
      </c>
      <c r="B921" t="s">
        <v>1985</v>
      </c>
      <c r="C921" t="str">
        <f>TEXT(Table1[[#This Row],[Order_Date]],"mmm")</f>
        <v>Jun</v>
      </c>
      <c r="D921" t="s">
        <v>1988</v>
      </c>
      <c r="E921" t="s">
        <v>72</v>
      </c>
      <c r="F921">
        <v>3</v>
      </c>
      <c r="G921">
        <v>14348.77</v>
      </c>
      <c r="H921">
        <v>43046.31</v>
      </c>
      <c r="I921" t="s">
        <v>18</v>
      </c>
      <c r="J921" t="s">
        <v>19</v>
      </c>
    </row>
    <row r="922" spans="1:10" x14ac:dyDescent="0.35">
      <c r="A922" t="s">
        <v>1989</v>
      </c>
      <c r="B922" t="s">
        <v>1985</v>
      </c>
      <c r="C922" t="str">
        <f>TEXT(Table1[[#This Row],[Order_Date]],"mmm")</f>
        <v>Jun</v>
      </c>
      <c r="D922" t="s">
        <v>1990</v>
      </c>
      <c r="E922" t="s">
        <v>32</v>
      </c>
      <c r="F922">
        <v>2</v>
      </c>
      <c r="G922">
        <v>7746.75</v>
      </c>
      <c r="H922">
        <v>15493.5</v>
      </c>
      <c r="I922" t="s">
        <v>18</v>
      </c>
      <c r="J922" t="s">
        <v>14</v>
      </c>
    </row>
    <row r="923" spans="1:10" x14ac:dyDescent="0.35">
      <c r="A923" t="s">
        <v>1991</v>
      </c>
      <c r="B923" t="s">
        <v>1985</v>
      </c>
      <c r="C923" t="str">
        <f>TEXT(Table1[[#This Row],[Order_Date]],"mmm")</f>
        <v>Jun</v>
      </c>
      <c r="D923" t="s">
        <v>1992</v>
      </c>
      <c r="E923" t="s">
        <v>38</v>
      </c>
      <c r="F923">
        <v>3</v>
      </c>
      <c r="G923">
        <v>26620.06</v>
      </c>
      <c r="H923">
        <v>79860.179999999993</v>
      </c>
      <c r="I923" t="s">
        <v>23</v>
      </c>
      <c r="J923" t="s">
        <v>19</v>
      </c>
    </row>
    <row r="924" spans="1:10" x14ac:dyDescent="0.35">
      <c r="A924" t="s">
        <v>1993</v>
      </c>
      <c r="B924" t="s">
        <v>1985</v>
      </c>
      <c r="C924" t="str">
        <f>TEXT(Table1[[#This Row],[Order_Date]],"mmm")</f>
        <v>Jun</v>
      </c>
      <c r="D924" t="s">
        <v>1994</v>
      </c>
      <c r="E924" t="s">
        <v>47</v>
      </c>
      <c r="F924">
        <v>2</v>
      </c>
      <c r="G924">
        <v>20129.71</v>
      </c>
      <c r="H924">
        <v>40259.42</v>
      </c>
      <c r="I924" t="s">
        <v>23</v>
      </c>
      <c r="J924" t="s">
        <v>14</v>
      </c>
    </row>
    <row r="925" spans="1:10" x14ac:dyDescent="0.35">
      <c r="A925" t="s">
        <v>1995</v>
      </c>
      <c r="B925" t="s">
        <v>1996</v>
      </c>
      <c r="C925" t="str">
        <f>TEXT(Table1[[#This Row],[Order_Date]],"mmm")</f>
        <v>Jun</v>
      </c>
      <c r="D925" t="s">
        <v>1997</v>
      </c>
      <c r="E925" t="s">
        <v>56</v>
      </c>
      <c r="F925">
        <v>4</v>
      </c>
      <c r="G925">
        <v>12051.99</v>
      </c>
      <c r="H925">
        <v>48207.96</v>
      </c>
      <c r="I925" t="s">
        <v>18</v>
      </c>
      <c r="J925" t="s">
        <v>24</v>
      </c>
    </row>
    <row r="926" spans="1:10" x14ac:dyDescent="0.35">
      <c r="A926" t="s">
        <v>1998</v>
      </c>
      <c r="B926" t="s">
        <v>1996</v>
      </c>
      <c r="C926" t="str">
        <f>TEXT(Table1[[#This Row],[Order_Date]],"mmm")</f>
        <v>Jun</v>
      </c>
      <c r="D926" t="s">
        <v>1999</v>
      </c>
      <c r="E926" t="s">
        <v>32</v>
      </c>
      <c r="F926">
        <v>2</v>
      </c>
      <c r="G926">
        <v>33354.42</v>
      </c>
      <c r="H926">
        <v>66708.84</v>
      </c>
      <c r="I926" t="s">
        <v>42</v>
      </c>
      <c r="J926" t="s">
        <v>14</v>
      </c>
    </row>
    <row r="927" spans="1:10" x14ac:dyDescent="0.35">
      <c r="A927" t="s">
        <v>2000</v>
      </c>
      <c r="B927" t="s">
        <v>1996</v>
      </c>
      <c r="C927" t="str">
        <f>TEXT(Table1[[#This Row],[Order_Date]],"mmm")</f>
        <v>Jun</v>
      </c>
      <c r="D927" t="s">
        <v>2001</v>
      </c>
      <c r="E927" t="s">
        <v>17</v>
      </c>
      <c r="F927">
        <v>5</v>
      </c>
      <c r="G927">
        <v>1984.76</v>
      </c>
      <c r="H927">
        <v>9923.7999999999993</v>
      </c>
      <c r="I927" t="s">
        <v>18</v>
      </c>
      <c r="J927" t="s">
        <v>24</v>
      </c>
    </row>
    <row r="928" spans="1:10" x14ac:dyDescent="0.35">
      <c r="A928" t="s">
        <v>2002</v>
      </c>
      <c r="B928" t="s">
        <v>1996</v>
      </c>
      <c r="C928" t="str">
        <f>TEXT(Table1[[#This Row],[Order_Date]],"mmm")</f>
        <v>Jun</v>
      </c>
      <c r="D928" t="s">
        <v>2003</v>
      </c>
      <c r="E928" t="s">
        <v>56</v>
      </c>
      <c r="F928">
        <v>4</v>
      </c>
      <c r="G928">
        <v>39109.949999999997</v>
      </c>
      <c r="H928">
        <v>156439.79999999999</v>
      </c>
      <c r="I928" t="s">
        <v>23</v>
      </c>
      <c r="J928" t="s">
        <v>19</v>
      </c>
    </row>
    <row r="929" spans="1:10" x14ac:dyDescent="0.35">
      <c r="A929" t="s">
        <v>2004</v>
      </c>
      <c r="B929" t="s">
        <v>1996</v>
      </c>
      <c r="C929" t="str">
        <f>TEXT(Table1[[#This Row],[Order_Date]],"mmm")</f>
        <v>Jun</v>
      </c>
      <c r="D929" t="s">
        <v>2005</v>
      </c>
      <c r="E929" t="s">
        <v>32</v>
      </c>
      <c r="F929">
        <v>2</v>
      </c>
      <c r="G929">
        <v>5036.9399999999996</v>
      </c>
      <c r="H929">
        <v>10073.879999999999</v>
      </c>
      <c r="I929" t="s">
        <v>13</v>
      </c>
      <c r="J929" t="s">
        <v>19</v>
      </c>
    </row>
    <row r="930" spans="1:10" x14ac:dyDescent="0.35">
      <c r="A930" t="s">
        <v>2006</v>
      </c>
      <c r="B930" t="s">
        <v>1996</v>
      </c>
      <c r="C930" t="str">
        <f>TEXT(Table1[[#This Row],[Order_Date]],"mmm")</f>
        <v>Jun</v>
      </c>
      <c r="D930" t="s">
        <v>2007</v>
      </c>
      <c r="E930" t="s">
        <v>56</v>
      </c>
      <c r="F930">
        <v>4</v>
      </c>
      <c r="G930">
        <v>27046.44</v>
      </c>
      <c r="H930">
        <v>108185.76</v>
      </c>
      <c r="I930" t="s">
        <v>42</v>
      </c>
      <c r="J930" t="s">
        <v>35</v>
      </c>
    </row>
    <row r="931" spans="1:10" x14ac:dyDescent="0.35">
      <c r="A931" t="s">
        <v>2008</v>
      </c>
      <c r="B931" t="s">
        <v>1996</v>
      </c>
      <c r="C931" t="str">
        <f>TEXT(Table1[[#This Row],[Order_Date]],"mmm")</f>
        <v>Jun</v>
      </c>
      <c r="D931" t="s">
        <v>2009</v>
      </c>
      <c r="E931" t="s">
        <v>12</v>
      </c>
      <c r="F931">
        <v>4</v>
      </c>
      <c r="G931">
        <v>24196.68</v>
      </c>
      <c r="H931">
        <v>96786.72</v>
      </c>
      <c r="I931" t="s">
        <v>23</v>
      </c>
      <c r="J931" t="s">
        <v>14</v>
      </c>
    </row>
    <row r="932" spans="1:10" x14ac:dyDescent="0.35">
      <c r="A932" t="s">
        <v>2010</v>
      </c>
      <c r="B932" t="s">
        <v>2011</v>
      </c>
      <c r="C932" t="str">
        <f>TEXT(Table1[[#This Row],[Order_Date]],"mmm")</f>
        <v>Jun</v>
      </c>
      <c r="D932" t="s">
        <v>2012</v>
      </c>
      <c r="E932" t="s">
        <v>38</v>
      </c>
      <c r="F932">
        <v>3</v>
      </c>
      <c r="G932">
        <v>20423.41</v>
      </c>
      <c r="H932">
        <v>61270.23</v>
      </c>
      <c r="I932" t="s">
        <v>42</v>
      </c>
      <c r="J932" t="s">
        <v>35</v>
      </c>
    </row>
    <row r="933" spans="1:10" x14ac:dyDescent="0.35">
      <c r="A933" t="s">
        <v>2013</v>
      </c>
      <c r="B933" t="s">
        <v>2011</v>
      </c>
      <c r="C933" t="str">
        <f>TEXT(Table1[[#This Row],[Order_Date]],"mmm")</f>
        <v>Jun</v>
      </c>
      <c r="D933" t="s">
        <v>2014</v>
      </c>
      <c r="E933" t="s">
        <v>72</v>
      </c>
      <c r="F933">
        <v>5</v>
      </c>
      <c r="G933">
        <v>27541.68</v>
      </c>
      <c r="H933">
        <v>137708.4</v>
      </c>
      <c r="I933" t="s">
        <v>13</v>
      </c>
      <c r="J933" t="s">
        <v>19</v>
      </c>
    </row>
    <row r="934" spans="1:10" x14ac:dyDescent="0.35">
      <c r="A934" t="s">
        <v>2015</v>
      </c>
      <c r="B934" t="s">
        <v>2011</v>
      </c>
      <c r="C934" t="str">
        <f>TEXT(Table1[[#This Row],[Order_Date]],"mmm")</f>
        <v>Jun</v>
      </c>
      <c r="D934" t="s">
        <v>2016</v>
      </c>
      <c r="E934" t="s">
        <v>47</v>
      </c>
      <c r="F934">
        <v>4</v>
      </c>
      <c r="G934">
        <v>39359.550000000003</v>
      </c>
      <c r="H934">
        <v>157438.20000000001</v>
      </c>
      <c r="I934" t="s">
        <v>18</v>
      </c>
      <c r="J934" t="s">
        <v>24</v>
      </c>
    </row>
    <row r="935" spans="1:10" x14ac:dyDescent="0.35">
      <c r="A935" t="s">
        <v>2017</v>
      </c>
      <c r="B935" t="s">
        <v>2018</v>
      </c>
      <c r="C935" t="str">
        <f>TEXT(Table1[[#This Row],[Order_Date]],"mmm")</f>
        <v>Jun</v>
      </c>
      <c r="D935" t="s">
        <v>2019</v>
      </c>
      <c r="E935" t="s">
        <v>72</v>
      </c>
      <c r="F935">
        <v>5</v>
      </c>
      <c r="G935">
        <v>23442.59</v>
      </c>
      <c r="H935">
        <v>117212.95</v>
      </c>
      <c r="I935" t="s">
        <v>42</v>
      </c>
      <c r="J935" t="s">
        <v>14</v>
      </c>
    </row>
    <row r="936" spans="1:10" x14ac:dyDescent="0.35">
      <c r="A936" t="s">
        <v>2020</v>
      </c>
      <c r="B936" t="s">
        <v>2018</v>
      </c>
      <c r="C936" t="str">
        <f>TEXT(Table1[[#This Row],[Order_Date]],"mmm")</f>
        <v>Jun</v>
      </c>
      <c r="D936" t="s">
        <v>1342</v>
      </c>
      <c r="E936" t="s">
        <v>12</v>
      </c>
      <c r="F936">
        <v>3</v>
      </c>
      <c r="G936">
        <v>40360.97</v>
      </c>
      <c r="H936">
        <v>121082.91</v>
      </c>
      <c r="I936" t="s">
        <v>13</v>
      </c>
      <c r="J936" t="s">
        <v>24</v>
      </c>
    </row>
    <row r="937" spans="1:10" x14ac:dyDescent="0.35">
      <c r="A937" t="s">
        <v>2021</v>
      </c>
      <c r="B937" t="s">
        <v>2018</v>
      </c>
      <c r="C937" t="str">
        <f>TEXT(Table1[[#This Row],[Order_Date]],"mmm")</f>
        <v>Jun</v>
      </c>
      <c r="D937" t="s">
        <v>2022</v>
      </c>
      <c r="E937" t="s">
        <v>22</v>
      </c>
      <c r="F937">
        <v>3</v>
      </c>
      <c r="G937">
        <v>44126.58</v>
      </c>
      <c r="H937">
        <v>132379.74</v>
      </c>
      <c r="I937" t="s">
        <v>23</v>
      </c>
      <c r="J937" t="s">
        <v>35</v>
      </c>
    </row>
    <row r="938" spans="1:10" x14ac:dyDescent="0.35">
      <c r="A938" t="s">
        <v>2023</v>
      </c>
      <c r="B938" t="s">
        <v>2018</v>
      </c>
      <c r="C938" t="str">
        <f>TEXT(Table1[[#This Row],[Order_Date]],"mmm")</f>
        <v>Jun</v>
      </c>
      <c r="D938" t="s">
        <v>2024</v>
      </c>
      <c r="E938" t="s">
        <v>72</v>
      </c>
      <c r="F938">
        <v>1</v>
      </c>
      <c r="G938">
        <v>13360.24</v>
      </c>
      <c r="H938">
        <v>13360.24</v>
      </c>
      <c r="I938" t="s">
        <v>23</v>
      </c>
      <c r="J938" t="s">
        <v>14</v>
      </c>
    </row>
    <row r="939" spans="1:10" x14ac:dyDescent="0.35">
      <c r="A939" t="s">
        <v>2025</v>
      </c>
      <c r="B939" t="s">
        <v>2026</v>
      </c>
      <c r="C939" t="str">
        <f>TEXT(Table1[[#This Row],[Order_Date]],"mmm")</f>
        <v>Jun</v>
      </c>
      <c r="D939" t="s">
        <v>2027</v>
      </c>
      <c r="E939" t="s">
        <v>38</v>
      </c>
      <c r="F939">
        <v>4</v>
      </c>
      <c r="G939">
        <v>21404.81</v>
      </c>
      <c r="H939">
        <v>85619.24</v>
      </c>
      <c r="I939" t="s">
        <v>18</v>
      </c>
      <c r="J939" t="s">
        <v>24</v>
      </c>
    </row>
    <row r="940" spans="1:10" x14ac:dyDescent="0.35">
      <c r="A940" t="s">
        <v>2028</v>
      </c>
      <c r="B940" t="s">
        <v>2026</v>
      </c>
      <c r="C940" t="str">
        <f>TEXT(Table1[[#This Row],[Order_Date]],"mmm")</f>
        <v>Jun</v>
      </c>
      <c r="D940" t="s">
        <v>2029</v>
      </c>
      <c r="E940" t="s">
        <v>56</v>
      </c>
      <c r="F940">
        <v>3</v>
      </c>
      <c r="G940">
        <v>10958.45</v>
      </c>
      <c r="H940">
        <v>32875.35</v>
      </c>
      <c r="I940" t="s">
        <v>18</v>
      </c>
      <c r="J940" t="s">
        <v>24</v>
      </c>
    </row>
    <row r="941" spans="1:10" x14ac:dyDescent="0.35">
      <c r="A941" t="s">
        <v>2030</v>
      </c>
      <c r="B941" t="s">
        <v>2026</v>
      </c>
      <c r="C941" t="str">
        <f>TEXT(Table1[[#This Row],[Order_Date]],"mmm")</f>
        <v>Jun</v>
      </c>
      <c r="D941" t="s">
        <v>2031</v>
      </c>
      <c r="E941" t="s">
        <v>12</v>
      </c>
      <c r="F941">
        <v>5</v>
      </c>
      <c r="G941">
        <v>47292.63</v>
      </c>
      <c r="H941">
        <v>236463.15</v>
      </c>
      <c r="I941" t="s">
        <v>18</v>
      </c>
      <c r="J941" t="s">
        <v>19</v>
      </c>
    </row>
    <row r="942" spans="1:10" x14ac:dyDescent="0.35">
      <c r="A942" t="s">
        <v>2032</v>
      </c>
      <c r="B942" t="s">
        <v>2026</v>
      </c>
      <c r="C942" t="str">
        <f>TEXT(Table1[[#This Row],[Order_Date]],"mmm")</f>
        <v>Jun</v>
      </c>
      <c r="D942" t="s">
        <v>2033</v>
      </c>
      <c r="E942" t="s">
        <v>17</v>
      </c>
      <c r="F942">
        <v>4</v>
      </c>
      <c r="G942">
        <v>4141.47</v>
      </c>
      <c r="H942">
        <v>16565.88</v>
      </c>
      <c r="I942" t="s">
        <v>18</v>
      </c>
      <c r="J942" t="s">
        <v>14</v>
      </c>
    </row>
    <row r="943" spans="1:10" x14ac:dyDescent="0.35">
      <c r="A943" t="s">
        <v>2034</v>
      </c>
      <c r="B943" t="s">
        <v>2026</v>
      </c>
      <c r="C943" t="str">
        <f>TEXT(Table1[[#This Row],[Order_Date]],"mmm")</f>
        <v>Jun</v>
      </c>
      <c r="D943" t="s">
        <v>2035</v>
      </c>
      <c r="E943" t="s">
        <v>17</v>
      </c>
      <c r="F943">
        <v>3</v>
      </c>
      <c r="G943">
        <v>7835.02</v>
      </c>
      <c r="H943">
        <v>23505.06</v>
      </c>
      <c r="I943" t="s">
        <v>13</v>
      </c>
      <c r="J943" t="s">
        <v>24</v>
      </c>
    </row>
    <row r="944" spans="1:10" x14ac:dyDescent="0.35">
      <c r="A944" t="s">
        <v>2036</v>
      </c>
      <c r="B944" t="s">
        <v>2026</v>
      </c>
      <c r="C944" t="str">
        <f>TEXT(Table1[[#This Row],[Order_Date]],"mmm")</f>
        <v>Jun</v>
      </c>
      <c r="D944" t="s">
        <v>232</v>
      </c>
      <c r="E944" t="s">
        <v>38</v>
      </c>
      <c r="F944">
        <v>4</v>
      </c>
      <c r="G944">
        <v>25275.71</v>
      </c>
      <c r="H944">
        <v>101102.84</v>
      </c>
      <c r="I944" t="s">
        <v>13</v>
      </c>
      <c r="J944" t="s">
        <v>19</v>
      </c>
    </row>
    <row r="945" spans="1:10" x14ac:dyDescent="0.35">
      <c r="A945" t="s">
        <v>2037</v>
      </c>
      <c r="B945" t="s">
        <v>2026</v>
      </c>
      <c r="C945" t="str">
        <f>TEXT(Table1[[#This Row],[Order_Date]],"mmm")</f>
        <v>Jun</v>
      </c>
      <c r="D945" t="s">
        <v>2038</v>
      </c>
      <c r="E945" t="s">
        <v>75</v>
      </c>
      <c r="F945">
        <v>5</v>
      </c>
      <c r="G945">
        <v>39423.660000000003</v>
      </c>
      <c r="H945">
        <v>197118.3</v>
      </c>
      <c r="I945" t="s">
        <v>23</v>
      </c>
      <c r="J945" t="s">
        <v>19</v>
      </c>
    </row>
    <row r="946" spans="1:10" x14ac:dyDescent="0.35">
      <c r="A946" t="s">
        <v>2039</v>
      </c>
      <c r="B946" t="s">
        <v>2040</v>
      </c>
      <c r="C946" t="str">
        <f>TEXT(Table1[[#This Row],[Order_Date]],"mmm")</f>
        <v>Jun</v>
      </c>
      <c r="D946" t="s">
        <v>2041</v>
      </c>
      <c r="E946" t="s">
        <v>17</v>
      </c>
      <c r="F946">
        <v>5</v>
      </c>
      <c r="G946">
        <v>48373.78</v>
      </c>
      <c r="H946">
        <v>241868.9</v>
      </c>
      <c r="I946" t="s">
        <v>13</v>
      </c>
      <c r="J946" t="s">
        <v>14</v>
      </c>
    </row>
    <row r="947" spans="1:10" x14ac:dyDescent="0.35">
      <c r="A947" t="s">
        <v>2042</v>
      </c>
      <c r="B947" t="s">
        <v>2040</v>
      </c>
      <c r="C947" t="str">
        <f>TEXT(Table1[[#This Row],[Order_Date]],"mmm")</f>
        <v>Jun</v>
      </c>
      <c r="D947" t="s">
        <v>2043</v>
      </c>
      <c r="E947" t="s">
        <v>38</v>
      </c>
      <c r="F947">
        <v>4</v>
      </c>
      <c r="G947">
        <v>28432.52</v>
      </c>
      <c r="H947">
        <v>113730.08</v>
      </c>
      <c r="I947" t="s">
        <v>13</v>
      </c>
      <c r="J947" t="s">
        <v>35</v>
      </c>
    </row>
    <row r="948" spans="1:10" x14ac:dyDescent="0.35">
      <c r="A948" t="s">
        <v>2044</v>
      </c>
      <c r="B948" t="s">
        <v>2040</v>
      </c>
      <c r="C948" t="str">
        <f>TEXT(Table1[[#This Row],[Order_Date]],"mmm")</f>
        <v>Jun</v>
      </c>
      <c r="D948" t="s">
        <v>2045</v>
      </c>
      <c r="E948" t="s">
        <v>38</v>
      </c>
      <c r="F948">
        <v>4</v>
      </c>
      <c r="G948">
        <v>44555.62</v>
      </c>
      <c r="H948">
        <v>178222.48</v>
      </c>
      <c r="I948" t="s">
        <v>13</v>
      </c>
      <c r="J948" t="s">
        <v>35</v>
      </c>
    </row>
    <row r="949" spans="1:10" x14ac:dyDescent="0.35">
      <c r="A949" t="s">
        <v>2046</v>
      </c>
      <c r="B949" t="s">
        <v>2040</v>
      </c>
      <c r="C949" t="str">
        <f>TEXT(Table1[[#This Row],[Order_Date]],"mmm")</f>
        <v>Jun</v>
      </c>
      <c r="D949" t="s">
        <v>2047</v>
      </c>
      <c r="E949" t="s">
        <v>53</v>
      </c>
      <c r="F949">
        <v>4</v>
      </c>
      <c r="G949">
        <v>11193.88</v>
      </c>
      <c r="H949">
        <v>44775.519999999997</v>
      </c>
      <c r="I949" t="s">
        <v>23</v>
      </c>
      <c r="J949" t="s">
        <v>24</v>
      </c>
    </row>
    <row r="950" spans="1:10" x14ac:dyDescent="0.35">
      <c r="A950" t="s">
        <v>2048</v>
      </c>
      <c r="B950" t="s">
        <v>2040</v>
      </c>
      <c r="C950" t="str">
        <f>TEXT(Table1[[#This Row],[Order_Date]],"mmm")</f>
        <v>Jun</v>
      </c>
      <c r="D950" t="s">
        <v>2049</v>
      </c>
      <c r="E950" t="s">
        <v>72</v>
      </c>
      <c r="F950">
        <v>5</v>
      </c>
      <c r="G950">
        <v>11223.44</v>
      </c>
      <c r="H950">
        <v>56117.2</v>
      </c>
      <c r="I950" t="s">
        <v>42</v>
      </c>
      <c r="J950" t="s">
        <v>24</v>
      </c>
    </row>
    <row r="951" spans="1:10" x14ac:dyDescent="0.35">
      <c r="A951" t="s">
        <v>2050</v>
      </c>
      <c r="B951" t="s">
        <v>2051</v>
      </c>
      <c r="C951" t="str">
        <f>TEXT(Table1[[#This Row],[Order_Date]],"mmm")</f>
        <v>Jun</v>
      </c>
      <c r="D951" t="s">
        <v>2052</v>
      </c>
      <c r="E951" t="s">
        <v>47</v>
      </c>
      <c r="F951">
        <v>2</v>
      </c>
      <c r="G951">
        <v>7573.34</v>
      </c>
      <c r="H951">
        <v>15146.68</v>
      </c>
      <c r="I951" t="s">
        <v>13</v>
      </c>
      <c r="J951" t="s">
        <v>14</v>
      </c>
    </row>
    <row r="952" spans="1:10" x14ac:dyDescent="0.35">
      <c r="A952" t="s">
        <v>2053</v>
      </c>
      <c r="B952" t="s">
        <v>2051</v>
      </c>
      <c r="C952" t="str">
        <f>TEXT(Table1[[#This Row],[Order_Date]],"mmm")</f>
        <v>Jun</v>
      </c>
      <c r="D952" t="s">
        <v>2054</v>
      </c>
      <c r="E952" t="s">
        <v>47</v>
      </c>
      <c r="F952">
        <v>2</v>
      </c>
      <c r="G952">
        <v>42415.95</v>
      </c>
      <c r="H952">
        <v>84831.9</v>
      </c>
      <c r="I952" t="s">
        <v>18</v>
      </c>
      <c r="J952" t="s">
        <v>35</v>
      </c>
    </row>
    <row r="953" spans="1:10" x14ac:dyDescent="0.35">
      <c r="A953" t="s">
        <v>2055</v>
      </c>
      <c r="B953" t="s">
        <v>2051</v>
      </c>
      <c r="C953" t="str">
        <f>TEXT(Table1[[#This Row],[Order_Date]],"mmm")</f>
        <v>Jun</v>
      </c>
      <c r="D953" t="s">
        <v>2056</v>
      </c>
      <c r="E953" t="s">
        <v>12</v>
      </c>
      <c r="F953">
        <v>1</v>
      </c>
      <c r="G953">
        <v>37732.67</v>
      </c>
      <c r="H953">
        <v>37732.67</v>
      </c>
      <c r="I953" t="s">
        <v>42</v>
      </c>
      <c r="J953" t="s">
        <v>19</v>
      </c>
    </row>
    <row r="954" spans="1:10" x14ac:dyDescent="0.35">
      <c r="A954" t="s">
        <v>2057</v>
      </c>
      <c r="B954" t="s">
        <v>2051</v>
      </c>
      <c r="C954" t="str">
        <f>TEXT(Table1[[#This Row],[Order_Date]],"mmm")</f>
        <v>Jun</v>
      </c>
      <c r="D954" t="s">
        <v>2058</v>
      </c>
      <c r="E954" t="s">
        <v>12</v>
      </c>
      <c r="F954">
        <v>5</v>
      </c>
      <c r="G954">
        <v>28215.26</v>
      </c>
      <c r="H954">
        <v>141076.29999999999</v>
      </c>
      <c r="I954" t="s">
        <v>13</v>
      </c>
      <c r="J954" t="s">
        <v>35</v>
      </c>
    </row>
    <row r="955" spans="1:10" x14ac:dyDescent="0.35">
      <c r="A955" t="s">
        <v>2059</v>
      </c>
      <c r="B955" t="s">
        <v>2051</v>
      </c>
      <c r="C955" t="str">
        <f>TEXT(Table1[[#This Row],[Order_Date]],"mmm")</f>
        <v>Jun</v>
      </c>
      <c r="D955" t="s">
        <v>2060</v>
      </c>
      <c r="E955" t="s">
        <v>32</v>
      </c>
      <c r="F955">
        <v>5</v>
      </c>
      <c r="G955">
        <v>31096.3</v>
      </c>
      <c r="H955">
        <v>155481.5</v>
      </c>
      <c r="I955" t="s">
        <v>18</v>
      </c>
      <c r="J955" t="s">
        <v>14</v>
      </c>
    </row>
    <row r="956" spans="1:10" x14ac:dyDescent="0.35">
      <c r="A956" t="s">
        <v>2061</v>
      </c>
      <c r="B956" t="s">
        <v>2051</v>
      </c>
      <c r="C956" t="str">
        <f>TEXT(Table1[[#This Row],[Order_Date]],"mmm")</f>
        <v>Jun</v>
      </c>
      <c r="D956" t="s">
        <v>2062</v>
      </c>
      <c r="E956" t="s">
        <v>38</v>
      </c>
      <c r="F956">
        <v>5</v>
      </c>
      <c r="G956">
        <v>28025.15</v>
      </c>
      <c r="H956">
        <v>140125.75</v>
      </c>
      <c r="I956" t="s">
        <v>18</v>
      </c>
      <c r="J956" t="s">
        <v>19</v>
      </c>
    </row>
    <row r="957" spans="1:10" x14ac:dyDescent="0.35">
      <c r="A957" t="s">
        <v>2063</v>
      </c>
      <c r="B957" t="s">
        <v>2051</v>
      </c>
      <c r="C957" t="str">
        <f>TEXT(Table1[[#This Row],[Order_Date]],"mmm")</f>
        <v>Jun</v>
      </c>
      <c r="D957" t="s">
        <v>2064</v>
      </c>
      <c r="E957" t="s">
        <v>38</v>
      </c>
      <c r="F957">
        <v>2</v>
      </c>
      <c r="G957">
        <v>17551.740000000002</v>
      </c>
      <c r="H957">
        <v>35103.480000000003</v>
      </c>
      <c r="I957" t="s">
        <v>13</v>
      </c>
      <c r="J957" t="s">
        <v>35</v>
      </c>
    </row>
    <row r="958" spans="1:10" x14ac:dyDescent="0.35">
      <c r="A958" t="s">
        <v>2065</v>
      </c>
      <c r="B958" t="s">
        <v>2066</v>
      </c>
      <c r="C958" t="str">
        <f>TEXT(Table1[[#This Row],[Order_Date]],"mmm")</f>
        <v>Jun</v>
      </c>
      <c r="D958" t="s">
        <v>2067</v>
      </c>
      <c r="E958" t="s">
        <v>47</v>
      </c>
      <c r="F958">
        <v>3</v>
      </c>
      <c r="G958">
        <v>14215.6</v>
      </c>
      <c r="H958">
        <v>42646.8</v>
      </c>
      <c r="I958" t="s">
        <v>42</v>
      </c>
      <c r="J958" t="s">
        <v>35</v>
      </c>
    </row>
    <row r="959" spans="1:10" x14ac:dyDescent="0.35">
      <c r="A959" t="s">
        <v>2068</v>
      </c>
      <c r="B959" t="s">
        <v>2066</v>
      </c>
      <c r="C959" t="str">
        <f>TEXT(Table1[[#This Row],[Order_Date]],"mmm")</f>
        <v>Jun</v>
      </c>
      <c r="D959" t="s">
        <v>2069</v>
      </c>
      <c r="E959" t="s">
        <v>22</v>
      </c>
      <c r="F959">
        <v>2</v>
      </c>
      <c r="G959">
        <v>38315.449999999997</v>
      </c>
      <c r="H959">
        <v>76630.899999999994</v>
      </c>
      <c r="I959" t="s">
        <v>13</v>
      </c>
      <c r="J959" t="s">
        <v>24</v>
      </c>
    </row>
    <row r="960" spans="1:10" x14ac:dyDescent="0.35">
      <c r="A960" t="s">
        <v>2070</v>
      </c>
      <c r="B960" t="s">
        <v>2066</v>
      </c>
      <c r="C960" t="str">
        <f>TEXT(Table1[[#This Row],[Order_Date]],"mmm")</f>
        <v>Jun</v>
      </c>
      <c r="D960" t="s">
        <v>1470</v>
      </c>
      <c r="E960" t="s">
        <v>75</v>
      </c>
      <c r="F960">
        <v>2</v>
      </c>
      <c r="G960">
        <v>33614.92</v>
      </c>
      <c r="H960">
        <v>67229.84</v>
      </c>
      <c r="I960" t="s">
        <v>18</v>
      </c>
      <c r="J960" t="s">
        <v>14</v>
      </c>
    </row>
    <row r="961" spans="1:10" x14ac:dyDescent="0.35">
      <c r="A961" t="s">
        <v>2071</v>
      </c>
      <c r="B961" t="s">
        <v>2066</v>
      </c>
      <c r="C961" t="str">
        <f>TEXT(Table1[[#This Row],[Order_Date]],"mmm")</f>
        <v>Jun</v>
      </c>
      <c r="D961" t="s">
        <v>2072</v>
      </c>
      <c r="E961" t="s">
        <v>32</v>
      </c>
      <c r="F961">
        <v>1</v>
      </c>
      <c r="G961">
        <v>35796.61</v>
      </c>
      <c r="H961">
        <v>35796.61</v>
      </c>
      <c r="I961" t="s">
        <v>18</v>
      </c>
      <c r="J961" t="s">
        <v>14</v>
      </c>
    </row>
    <row r="962" spans="1:10" x14ac:dyDescent="0.35">
      <c r="A962" t="s">
        <v>2073</v>
      </c>
      <c r="B962" t="s">
        <v>2066</v>
      </c>
      <c r="C962" t="str">
        <f>TEXT(Table1[[#This Row],[Order_Date]],"mmm")</f>
        <v>Jun</v>
      </c>
      <c r="D962" t="s">
        <v>2074</v>
      </c>
      <c r="E962" t="s">
        <v>47</v>
      </c>
      <c r="F962">
        <v>1</v>
      </c>
      <c r="G962">
        <v>27260.62</v>
      </c>
      <c r="H962">
        <v>27260.62</v>
      </c>
      <c r="I962" t="s">
        <v>18</v>
      </c>
      <c r="J962" t="s">
        <v>14</v>
      </c>
    </row>
    <row r="963" spans="1:10" x14ac:dyDescent="0.35">
      <c r="A963" t="s">
        <v>2075</v>
      </c>
      <c r="B963" t="s">
        <v>2076</v>
      </c>
      <c r="C963" t="str">
        <f>TEXT(Table1[[#This Row],[Order_Date]],"mmm")</f>
        <v>Jun</v>
      </c>
      <c r="D963" t="s">
        <v>2077</v>
      </c>
      <c r="E963" t="s">
        <v>38</v>
      </c>
      <c r="F963">
        <v>1</v>
      </c>
      <c r="G963">
        <v>20083.990000000002</v>
      </c>
      <c r="H963">
        <v>20083.990000000002</v>
      </c>
      <c r="I963" t="s">
        <v>18</v>
      </c>
      <c r="J963" t="s">
        <v>14</v>
      </c>
    </row>
    <row r="964" spans="1:10" x14ac:dyDescent="0.35">
      <c r="A964" t="s">
        <v>2078</v>
      </c>
      <c r="B964" t="s">
        <v>2076</v>
      </c>
      <c r="C964" t="str">
        <f>TEXT(Table1[[#This Row],[Order_Date]],"mmm")</f>
        <v>Jun</v>
      </c>
      <c r="D964" t="s">
        <v>2079</v>
      </c>
      <c r="E964" t="s">
        <v>32</v>
      </c>
      <c r="F964">
        <v>2</v>
      </c>
      <c r="G964">
        <v>10417.61</v>
      </c>
      <c r="H964">
        <v>20835.22</v>
      </c>
      <c r="I964" t="s">
        <v>13</v>
      </c>
      <c r="J964" t="s">
        <v>35</v>
      </c>
    </row>
    <row r="965" spans="1:10" x14ac:dyDescent="0.35">
      <c r="A965" t="s">
        <v>2080</v>
      </c>
      <c r="B965" t="s">
        <v>2076</v>
      </c>
      <c r="C965" t="str">
        <f>TEXT(Table1[[#This Row],[Order_Date]],"mmm")</f>
        <v>Jun</v>
      </c>
      <c r="D965" t="s">
        <v>2081</v>
      </c>
      <c r="E965" t="s">
        <v>53</v>
      </c>
      <c r="F965">
        <v>1</v>
      </c>
      <c r="G965">
        <v>6136.31</v>
      </c>
      <c r="H965">
        <v>6136.31</v>
      </c>
      <c r="I965" t="s">
        <v>13</v>
      </c>
      <c r="J965" t="s">
        <v>24</v>
      </c>
    </row>
    <row r="966" spans="1:10" x14ac:dyDescent="0.35">
      <c r="A966" t="s">
        <v>2082</v>
      </c>
      <c r="B966" t="s">
        <v>2076</v>
      </c>
      <c r="C966" t="str">
        <f>TEXT(Table1[[#This Row],[Order_Date]],"mmm")</f>
        <v>Jun</v>
      </c>
      <c r="D966" t="s">
        <v>2083</v>
      </c>
      <c r="E966" t="s">
        <v>22</v>
      </c>
      <c r="F966">
        <v>4</v>
      </c>
      <c r="G966">
        <v>5883.38</v>
      </c>
      <c r="H966">
        <v>23533.52</v>
      </c>
      <c r="I966" t="s">
        <v>13</v>
      </c>
      <c r="J966" t="s">
        <v>35</v>
      </c>
    </row>
    <row r="967" spans="1:10" x14ac:dyDescent="0.35">
      <c r="A967" t="s">
        <v>2084</v>
      </c>
      <c r="B967" t="s">
        <v>2076</v>
      </c>
      <c r="C967" t="str">
        <f>TEXT(Table1[[#This Row],[Order_Date]],"mmm")</f>
        <v>Jun</v>
      </c>
      <c r="D967" t="s">
        <v>2085</v>
      </c>
      <c r="E967" t="s">
        <v>22</v>
      </c>
      <c r="F967">
        <v>3</v>
      </c>
      <c r="G967">
        <v>38168.85</v>
      </c>
      <c r="H967">
        <v>114506.55</v>
      </c>
      <c r="I967" t="s">
        <v>23</v>
      </c>
      <c r="J967" t="s">
        <v>19</v>
      </c>
    </row>
    <row r="968" spans="1:10" x14ac:dyDescent="0.35">
      <c r="A968" t="s">
        <v>2086</v>
      </c>
      <c r="B968" t="s">
        <v>2076</v>
      </c>
      <c r="C968" t="str">
        <f>TEXT(Table1[[#This Row],[Order_Date]],"mmm")</f>
        <v>Jun</v>
      </c>
      <c r="D968" t="s">
        <v>2087</v>
      </c>
      <c r="E968" t="s">
        <v>56</v>
      </c>
      <c r="F968">
        <v>4</v>
      </c>
      <c r="G968">
        <v>7989.93</v>
      </c>
      <c r="H968">
        <v>31959.72</v>
      </c>
      <c r="I968" t="s">
        <v>18</v>
      </c>
      <c r="J968" t="s">
        <v>19</v>
      </c>
    </row>
    <row r="969" spans="1:10" x14ac:dyDescent="0.35">
      <c r="A969" t="s">
        <v>2088</v>
      </c>
      <c r="B969" t="s">
        <v>2089</v>
      </c>
      <c r="C969" t="str">
        <f>TEXT(Table1[[#This Row],[Order_Date]],"mmm")</f>
        <v>Jun</v>
      </c>
      <c r="D969" t="s">
        <v>2090</v>
      </c>
      <c r="E969" t="s">
        <v>32</v>
      </c>
      <c r="F969">
        <v>3</v>
      </c>
      <c r="G969">
        <v>12116.76</v>
      </c>
      <c r="H969">
        <v>36350.28</v>
      </c>
      <c r="I969" t="s">
        <v>23</v>
      </c>
      <c r="J969" t="s">
        <v>35</v>
      </c>
    </row>
    <row r="970" spans="1:10" x14ac:dyDescent="0.35">
      <c r="A970" t="s">
        <v>2091</v>
      </c>
      <c r="B970" t="s">
        <v>2089</v>
      </c>
      <c r="C970" t="str">
        <f>TEXT(Table1[[#This Row],[Order_Date]],"mmm")</f>
        <v>Jun</v>
      </c>
      <c r="D970" t="s">
        <v>796</v>
      </c>
      <c r="E970" t="s">
        <v>22</v>
      </c>
      <c r="F970">
        <v>3</v>
      </c>
      <c r="G970">
        <v>18360.71</v>
      </c>
      <c r="H970">
        <v>55082.13</v>
      </c>
      <c r="I970" t="s">
        <v>18</v>
      </c>
      <c r="J970" t="s">
        <v>14</v>
      </c>
    </row>
    <row r="971" spans="1:10" x14ac:dyDescent="0.35">
      <c r="A971" t="s">
        <v>2092</v>
      </c>
      <c r="B971" t="s">
        <v>2089</v>
      </c>
      <c r="C971" t="str">
        <f>TEXT(Table1[[#This Row],[Order_Date]],"mmm")</f>
        <v>Jun</v>
      </c>
      <c r="D971" t="s">
        <v>2093</v>
      </c>
      <c r="E971" t="s">
        <v>53</v>
      </c>
      <c r="F971">
        <v>2</v>
      </c>
      <c r="G971">
        <v>15854.93</v>
      </c>
      <c r="H971">
        <v>31709.86</v>
      </c>
      <c r="I971" t="s">
        <v>42</v>
      </c>
      <c r="J971" t="s">
        <v>19</v>
      </c>
    </row>
    <row r="972" spans="1:10" x14ac:dyDescent="0.35">
      <c r="A972" t="s">
        <v>2094</v>
      </c>
      <c r="B972" t="s">
        <v>2089</v>
      </c>
      <c r="C972" t="str">
        <f>TEXT(Table1[[#This Row],[Order_Date]],"mmm")</f>
        <v>Jun</v>
      </c>
      <c r="D972" t="s">
        <v>2095</v>
      </c>
      <c r="E972" t="s">
        <v>47</v>
      </c>
      <c r="F972">
        <v>4</v>
      </c>
      <c r="G972">
        <v>41093.94</v>
      </c>
      <c r="H972">
        <v>164375.76</v>
      </c>
      <c r="I972" t="s">
        <v>18</v>
      </c>
      <c r="J972" t="s">
        <v>19</v>
      </c>
    </row>
    <row r="973" spans="1:10" x14ac:dyDescent="0.35">
      <c r="A973" t="s">
        <v>2096</v>
      </c>
      <c r="B973" t="s">
        <v>2097</v>
      </c>
      <c r="C973" t="str">
        <f>TEXT(Table1[[#This Row],[Order_Date]],"mmm")</f>
        <v>Jun</v>
      </c>
      <c r="D973" t="s">
        <v>373</v>
      </c>
      <c r="E973" t="s">
        <v>56</v>
      </c>
      <c r="F973">
        <v>3</v>
      </c>
      <c r="G973">
        <v>10058.49</v>
      </c>
      <c r="H973">
        <v>30175.47</v>
      </c>
      <c r="I973" t="s">
        <v>18</v>
      </c>
      <c r="J973" t="s">
        <v>14</v>
      </c>
    </row>
    <row r="974" spans="1:10" x14ac:dyDescent="0.35">
      <c r="A974" t="s">
        <v>2098</v>
      </c>
      <c r="B974" t="s">
        <v>2097</v>
      </c>
      <c r="C974" t="str">
        <f>TEXT(Table1[[#This Row],[Order_Date]],"mmm")</f>
        <v>Jun</v>
      </c>
      <c r="D974" t="s">
        <v>1590</v>
      </c>
      <c r="E974" t="s">
        <v>12</v>
      </c>
      <c r="F974">
        <v>3</v>
      </c>
      <c r="G974">
        <v>42337.43</v>
      </c>
      <c r="H974">
        <v>127012.29</v>
      </c>
      <c r="I974" t="s">
        <v>23</v>
      </c>
      <c r="J974" t="s">
        <v>35</v>
      </c>
    </row>
    <row r="975" spans="1:10" x14ac:dyDescent="0.35">
      <c r="A975" t="s">
        <v>2099</v>
      </c>
      <c r="B975" t="s">
        <v>2097</v>
      </c>
      <c r="C975" t="str">
        <f>TEXT(Table1[[#This Row],[Order_Date]],"mmm")</f>
        <v>Jun</v>
      </c>
      <c r="D975" t="s">
        <v>2100</v>
      </c>
      <c r="E975" t="s">
        <v>17</v>
      </c>
      <c r="F975">
        <v>1</v>
      </c>
      <c r="G975">
        <v>45837.66</v>
      </c>
      <c r="H975">
        <v>45837.66</v>
      </c>
      <c r="I975" t="s">
        <v>18</v>
      </c>
      <c r="J975" t="s">
        <v>35</v>
      </c>
    </row>
    <row r="976" spans="1:10" x14ac:dyDescent="0.35">
      <c r="A976" t="s">
        <v>2101</v>
      </c>
      <c r="B976" t="s">
        <v>2097</v>
      </c>
      <c r="C976" t="str">
        <f>TEXT(Table1[[#This Row],[Order_Date]],"mmm")</f>
        <v>Jun</v>
      </c>
      <c r="D976" t="s">
        <v>2102</v>
      </c>
      <c r="E976" t="s">
        <v>38</v>
      </c>
      <c r="F976">
        <v>2</v>
      </c>
      <c r="G976">
        <v>10629.73</v>
      </c>
      <c r="H976">
        <v>21259.46</v>
      </c>
      <c r="I976" t="s">
        <v>23</v>
      </c>
      <c r="J976" t="s">
        <v>24</v>
      </c>
    </row>
    <row r="977" spans="1:10" x14ac:dyDescent="0.35">
      <c r="A977" t="s">
        <v>2103</v>
      </c>
      <c r="B977" t="s">
        <v>2097</v>
      </c>
      <c r="C977" t="str">
        <f>TEXT(Table1[[#This Row],[Order_Date]],"mmm")</f>
        <v>Jun</v>
      </c>
      <c r="D977" t="s">
        <v>2104</v>
      </c>
      <c r="E977" t="s">
        <v>47</v>
      </c>
      <c r="F977">
        <v>1</v>
      </c>
      <c r="G977">
        <v>31306.09</v>
      </c>
      <c r="H977">
        <v>31306.09</v>
      </c>
      <c r="I977" t="s">
        <v>18</v>
      </c>
      <c r="J977" t="s">
        <v>14</v>
      </c>
    </row>
    <row r="978" spans="1:10" x14ac:dyDescent="0.35">
      <c r="A978" t="s">
        <v>2105</v>
      </c>
      <c r="B978" t="s">
        <v>2097</v>
      </c>
      <c r="C978" t="str">
        <f>TEXT(Table1[[#This Row],[Order_Date]],"mmm")</f>
        <v>Jun</v>
      </c>
      <c r="D978" t="s">
        <v>2106</v>
      </c>
      <c r="E978" t="s">
        <v>56</v>
      </c>
      <c r="F978">
        <v>5</v>
      </c>
      <c r="G978">
        <v>6189.3</v>
      </c>
      <c r="H978">
        <v>30946.5</v>
      </c>
      <c r="I978" t="s">
        <v>42</v>
      </c>
      <c r="J978" t="s">
        <v>19</v>
      </c>
    </row>
    <row r="979" spans="1:10" x14ac:dyDescent="0.35">
      <c r="A979" t="s">
        <v>2107</v>
      </c>
      <c r="B979" t="s">
        <v>2097</v>
      </c>
      <c r="C979" t="str">
        <f>TEXT(Table1[[#This Row],[Order_Date]],"mmm")</f>
        <v>Jun</v>
      </c>
      <c r="D979" t="s">
        <v>2108</v>
      </c>
      <c r="E979" t="s">
        <v>72</v>
      </c>
      <c r="F979">
        <v>5</v>
      </c>
      <c r="G979">
        <v>35030.25</v>
      </c>
      <c r="H979">
        <v>175151.25</v>
      </c>
      <c r="I979" t="s">
        <v>42</v>
      </c>
      <c r="J979" t="s">
        <v>24</v>
      </c>
    </row>
    <row r="980" spans="1:10" x14ac:dyDescent="0.35">
      <c r="A980" t="s">
        <v>2109</v>
      </c>
      <c r="B980" t="s">
        <v>2097</v>
      </c>
      <c r="C980" t="str">
        <f>TEXT(Table1[[#This Row],[Order_Date]],"mmm")</f>
        <v>Jun</v>
      </c>
      <c r="D980" t="s">
        <v>2110</v>
      </c>
      <c r="E980" t="s">
        <v>47</v>
      </c>
      <c r="F980">
        <v>2</v>
      </c>
      <c r="G980">
        <v>20872.900000000001</v>
      </c>
      <c r="H980">
        <v>41745.800000000003</v>
      </c>
      <c r="I980" t="s">
        <v>13</v>
      </c>
      <c r="J980" t="s">
        <v>35</v>
      </c>
    </row>
    <row r="981" spans="1:10" x14ac:dyDescent="0.35">
      <c r="A981" t="s">
        <v>2111</v>
      </c>
      <c r="B981" t="s">
        <v>2112</v>
      </c>
      <c r="C981" t="str">
        <f>TEXT(Table1[[#This Row],[Order_Date]],"mmm")</f>
        <v>Jun</v>
      </c>
      <c r="D981" t="s">
        <v>2113</v>
      </c>
      <c r="E981" t="s">
        <v>56</v>
      </c>
      <c r="F981">
        <v>3</v>
      </c>
      <c r="G981">
        <v>36817.64</v>
      </c>
      <c r="H981">
        <v>110452.92</v>
      </c>
      <c r="I981" t="s">
        <v>23</v>
      </c>
      <c r="J981" t="s">
        <v>24</v>
      </c>
    </row>
    <row r="982" spans="1:10" x14ac:dyDescent="0.35">
      <c r="A982" t="s">
        <v>2114</v>
      </c>
      <c r="B982" t="s">
        <v>2112</v>
      </c>
      <c r="C982" t="str">
        <f>TEXT(Table1[[#This Row],[Order_Date]],"mmm")</f>
        <v>Jun</v>
      </c>
      <c r="D982" t="s">
        <v>2115</v>
      </c>
      <c r="E982" t="s">
        <v>38</v>
      </c>
      <c r="F982">
        <v>5</v>
      </c>
      <c r="G982">
        <v>15417.63</v>
      </c>
      <c r="H982">
        <v>77088.149999999994</v>
      </c>
      <c r="I982" t="s">
        <v>42</v>
      </c>
      <c r="J982" t="s">
        <v>24</v>
      </c>
    </row>
    <row r="983" spans="1:10" x14ac:dyDescent="0.35">
      <c r="A983" t="s">
        <v>2116</v>
      </c>
      <c r="B983" t="s">
        <v>2112</v>
      </c>
      <c r="C983" t="str">
        <f>TEXT(Table1[[#This Row],[Order_Date]],"mmm")</f>
        <v>Jun</v>
      </c>
      <c r="D983" t="s">
        <v>2117</v>
      </c>
      <c r="E983" t="s">
        <v>17</v>
      </c>
      <c r="F983">
        <v>5</v>
      </c>
      <c r="G983">
        <v>49829.97</v>
      </c>
      <c r="H983">
        <v>249149.85</v>
      </c>
      <c r="I983" t="s">
        <v>23</v>
      </c>
      <c r="J983" t="s">
        <v>14</v>
      </c>
    </row>
    <row r="984" spans="1:10" x14ac:dyDescent="0.35">
      <c r="A984" t="s">
        <v>2118</v>
      </c>
      <c r="B984" t="s">
        <v>2112</v>
      </c>
      <c r="C984" t="str">
        <f>TEXT(Table1[[#This Row],[Order_Date]],"mmm")</f>
        <v>Jun</v>
      </c>
      <c r="D984" t="s">
        <v>2119</v>
      </c>
      <c r="E984" t="s">
        <v>75</v>
      </c>
      <c r="F984">
        <v>5</v>
      </c>
      <c r="G984">
        <v>36930.32</v>
      </c>
      <c r="H984">
        <v>184651.6</v>
      </c>
      <c r="I984" t="s">
        <v>18</v>
      </c>
      <c r="J984" t="s">
        <v>35</v>
      </c>
    </row>
    <row r="985" spans="1:10" x14ac:dyDescent="0.35">
      <c r="A985" t="s">
        <v>2120</v>
      </c>
      <c r="B985" t="s">
        <v>2112</v>
      </c>
      <c r="C985" t="str">
        <f>TEXT(Table1[[#This Row],[Order_Date]],"mmm")</f>
        <v>Jun</v>
      </c>
      <c r="D985" t="s">
        <v>2121</v>
      </c>
      <c r="E985" t="s">
        <v>72</v>
      </c>
      <c r="F985">
        <v>5</v>
      </c>
      <c r="G985">
        <v>13105.1</v>
      </c>
      <c r="H985">
        <v>65525.5</v>
      </c>
      <c r="I985" t="s">
        <v>42</v>
      </c>
      <c r="J985" t="s">
        <v>35</v>
      </c>
    </row>
    <row r="986" spans="1:10" x14ac:dyDescent="0.35">
      <c r="A986" t="s">
        <v>2122</v>
      </c>
      <c r="B986" t="s">
        <v>2112</v>
      </c>
      <c r="C986" t="str">
        <f>TEXT(Table1[[#This Row],[Order_Date]],"mmm")</f>
        <v>Jun</v>
      </c>
      <c r="D986" t="s">
        <v>2123</v>
      </c>
      <c r="E986" t="s">
        <v>12</v>
      </c>
      <c r="F986">
        <v>4</v>
      </c>
      <c r="G986">
        <v>38430.61</v>
      </c>
      <c r="H986">
        <v>153722.44</v>
      </c>
      <c r="I986" t="s">
        <v>18</v>
      </c>
      <c r="J986" t="s">
        <v>35</v>
      </c>
    </row>
    <row r="987" spans="1:10" x14ac:dyDescent="0.35">
      <c r="A987" t="s">
        <v>2124</v>
      </c>
      <c r="B987" t="s">
        <v>2112</v>
      </c>
      <c r="C987" t="str">
        <f>TEXT(Table1[[#This Row],[Order_Date]],"mmm")</f>
        <v>Jun</v>
      </c>
      <c r="D987" t="s">
        <v>2125</v>
      </c>
      <c r="E987" t="s">
        <v>56</v>
      </c>
      <c r="F987">
        <v>1</v>
      </c>
      <c r="G987">
        <v>7781.21</v>
      </c>
      <c r="H987">
        <v>7781.21</v>
      </c>
      <c r="I987" t="s">
        <v>23</v>
      </c>
      <c r="J987" t="s">
        <v>24</v>
      </c>
    </row>
    <row r="988" spans="1:10" x14ac:dyDescent="0.35">
      <c r="A988" t="s">
        <v>2126</v>
      </c>
      <c r="B988" t="s">
        <v>2127</v>
      </c>
      <c r="C988" t="str">
        <f>TEXT(Table1[[#This Row],[Order_Date]],"mmm")</f>
        <v>Jun</v>
      </c>
      <c r="D988" t="s">
        <v>2128</v>
      </c>
      <c r="E988" t="s">
        <v>12</v>
      </c>
      <c r="F988">
        <v>3</v>
      </c>
      <c r="G988">
        <v>40504.730000000003</v>
      </c>
      <c r="H988">
        <v>121514.19</v>
      </c>
      <c r="I988" t="s">
        <v>23</v>
      </c>
      <c r="J988" t="s">
        <v>24</v>
      </c>
    </row>
    <row r="989" spans="1:10" x14ac:dyDescent="0.35">
      <c r="A989" t="s">
        <v>2129</v>
      </c>
      <c r="B989" t="s">
        <v>2127</v>
      </c>
      <c r="C989" t="str">
        <f>TEXT(Table1[[#This Row],[Order_Date]],"mmm")</f>
        <v>Jun</v>
      </c>
      <c r="D989" t="s">
        <v>2130</v>
      </c>
      <c r="E989" t="s">
        <v>17</v>
      </c>
      <c r="F989">
        <v>1</v>
      </c>
      <c r="G989">
        <v>6201.58</v>
      </c>
      <c r="H989">
        <v>6201.58</v>
      </c>
      <c r="I989" t="s">
        <v>23</v>
      </c>
      <c r="J989" t="s">
        <v>24</v>
      </c>
    </row>
    <row r="990" spans="1:10" x14ac:dyDescent="0.35">
      <c r="A990" t="s">
        <v>2131</v>
      </c>
      <c r="B990" t="s">
        <v>2127</v>
      </c>
      <c r="C990" t="str">
        <f>TEXT(Table1[[#This Row],[Order_Date]],"mmm")</f>
        <v>Jun</v>
      </c>
      <c r="D990" t="s">
        <v>2132</v>
      </c>
      <c r="E990" t="s">
        <v>17</v>
      </c>
      <c r="F990">
        <v>3</v>
      </c>
      <c r="G990">
        <v>9326.2999999999993</v>
      </c>
      <c r="H990">
        <v>27978.9</v>
      </c>
      <c r="I990" t="s">
        <v>13</v>
      </c>
      <c r="J990" t="s">
        <v>19</v>
      </c>
    </row>
    <row r="991" spans="1:10" x14ac:dyDescent="0.35">
      <c r="A991" t="s">
        <v>2133</v>
      </c>
      <c r="B991" t="s">
        <v>2127</v>
      </c>
      <c r="C991" t="str">
        <f>TEXT(Table1[[#This Row],[Order_Date]],"mmm")</f>
        <v>Jun</v>
      </c>
      <c r="D991" t="s">
        <v>2134</v>
      </c>
      <c r="E991" t="s">
        <v>72</v>
      </c>
      <c r="F991">
        <v>3</v>
      </c>
      <c r="G991">
        <v>21446.26</v>
      </c>
      <c r="H991">
        <v>64338.78</v>
      </c>
      <c r="I991" t="s">
        <v>42</v>
      </c>
      <c r="J991" t="s">
        <v>19</v>
      </c>
    </row>
    <row r="992" spans="1:10" x14ac:dyDescent="0.35">
      <c r="A992" t="s">
        <v>2135</v>
      </c>
      <c r="B992" t="s">
        <v>2136</v>
      </c>
      <c r="C992" t="str">
        <f>TEXT(Table1[[#This Row],[Order_Date]],"mmm")</f>
        <v>Jun</v>
      </c>
      <c r="D992" t="s">
        <v>1870</v>
      </c>
      <c r="E992" t="s">
        <v>56</v>
      </c>
      <c r="F992">
        <v>3</v>
      </c>
      <c r="G992">
        <v>24444.19</v>
      </c>
      <c r="H992">
        <v>73332.570000000007</v>
      </c>
      <c r="I992" t="s">
        <v>13</v>
      </c>
      <c r="J992" t="s">
        <v>35</v>
      </c>
    </row>
    <row r="993" spans="1:10" x14ac:dyDescent="0.35">
      <c r="A993" t="s">
        <v>2137</v>
      </c>
      <c r="B993" t="s">
        <v>2136</v>
      </c>
      <c r="C993" t="str">
        <f>TEXT(Table1[[#This Row],[Order_Date]],"mmm")</f>
        <v>Jun</v>
      </c>
      <c r="D993" t="s">
        <v>2138</v>
      </c>
      <c r="E993" t="s">
        <v>32</v>
      </c>
      <c r="F993">
        <v>5</v>
      </c>
      <c r="G993">
        <v>22198.6</v>
      </c>
      <c r="H993">
        <v>110993</v>
      </c>
      <c r="I993" t="s">
        <v>42</v>
      </c>
      <c r="J993" t="s">
        <v>14</v>
      </c>
    </row>
    <row r="994" spans="1:10" x14ac:dyDescent="0.35">
      <c r="A994" t="s">
        <v>2139</v>
      </c>
      <c r="B994" t="s">
        <v>2136</v>
      </c>
      <c r="C994" t="str">
        <f>TEXT(Table1[[#This Row],[Order_Date]],"mmm")</f>
        <v>Jun</v>
      </c>
      <c r="D994" t="s">
        <v>2140</v>
      </c>
      <c r="E994" t="s">
        <v>17</v>
      </c>
      <c r="F994">
        <v>5</v>
      </c>
      <c r="G994">
        <v>1996.41</v>
      </c>
      <c r="H994">
        <v>9982.0499999999993</v>
      </c>
      <c r="I994" t="s">
        <v>13</v>
      </c>
      <c r="J994" t="s">
        <v>14</v>
      </c>
    </row>
    <row r="995" spans="1:10" x14ac:dyDescent="0.35">
      <c r="A995" t="s">
        <v>2141</v>
      </c>
      <c r="B995" t="s">
        <v>2136</v>
      </c>
      <c r="C995" t="str">
        <f>TEXT(Table1[[#This Row],[Order_Date]],"mmm")</f>
        <v>Jun</v>
      </c>
      <c r="D995" t="s">
        <v>2142</v>
      </c>
      <c r="E995" t="s">
        <v>53</v>
      </c>
      <c r="F995">
        <v>3</v>
      </c>
      <c r="G995">
        <v>5250.94</v>
      </c>
      <c r="H995">
        <v>15752.82</v>
      </c>
      <c r="I995" t="s">
        <v>42</v>
      </c>
      <c r="J995" t="s">
        <v>35</v>
      </c>
    </row>
    <row r="996" spans="1:10" x14ac:dyDescent="0.35">
      <c r="A996" t="s">
        <v>2143</v>
      </c>
      <c r="B996" t="s">
        <v>2136</v>
      </c>
      <c r="C996" t="str">
        <f>TEXT(Table1[[#This Row],[Order_Date]],"mmm")</f>
        <v>Jun</v>
      </c>
      <c r="D996" t="s">
        <v>2144</v>
      </c>
      <c r="E996" t="s">
        <v>12</v>
      </c>
      <c r="F996">
        <v>4</v>
      </c>
      <c r="G996">
        <v>8624.25</v>
      </c>
      <c r="H996">
        <v>34497</v>
      </c>
      <c r="I996" t="s">
        <v>13</v>
      </c>
      <c r="J996" t="s">
        <v>35</v>
      </c>
    </row>
    <row r="997" spans="1:10" x14ac:dyDescent="0.35">
      <c r="A997" t="s">
        <v>2145</v>
      </c>
      <c r="B997" t="s">
        <v>2136</v>
      </c>
      <c r="C997" t="str">
        <f>TEXT(Table1[[#This Row],[Order_Date]],"mmm")</f>
        <v>Jun</v>
      </c>
      <c r="D997" t="s">
        <v>2146</v>
      </c>
      <c r="E997" t="s">
        <v>72</v>
      </c>
      <c r="F997">
        <v>4</v>
      </c>
      <c r="G997">
        <v>44681.279999999999</v>
      </c>
      <c r="H997">
        <v>178725.12</v>
      </c>
      <c r="I997" t="s">
        <v>13</v>
      </c>
      <c r="J997" t="s">
        <v>35</v>
      </c>
    </row>
    <row r="998" spans="1:10" x14ac:dyDescent="0.35">
      <c r="A998" t="s">
        <v>2147</v>
      </c>
      <c r="B998" t="s">
        <v>2136</v>
      </c>
      <c r="C998" t="str">
        <f>TEXT(Table1[[#This Row],[Order_Date]],"mmm")</f>
        <v>Jun</v>
      </c>
      <c r="D998" t="s">
        <v>2148</v>
      </c>
      <c r="E998" t="s">
        <v>53</v>
      </c>
      <c r="F998">
        <v>4</v>
      </c>
      <c r="G998">
        <v>37700.71</v>
      </c>
      <c r="H998">
        <v>150802.84</v>
      </c>
      <c r="I998" t="s">
        <v>13</v>
      </c>
      <c r="J998" t="s">
        <v>24</v>
      </c>
    </row>
    <row r="999" spans="1:10" x14ac:dyDescent="0.35">
      <c r="A999" t="s">
        <v>2149</v>
      </c>
      <c r="B999" t="s">
        <v>2150</v>
      </c>
      <c r="C999" t="str">
        <f>TEXT(Table1[[#This Row],[Order_Date]],"mmm")</f>
        <v>Jul</v>
      </c>
      <c r="D999" t="s">
        <v>2151</v>
      </c>
      <c r="E999" t="s">
        <v>17</v>
      </c>
      <c r="F999">
        <v>1</v>
      </c>
      <c r="G999">
        <v>33519.26</v>
      </c>
      <c r="H999">
        <v>33519.26</v>
      </c>
      <c r="I999" t="s">
        <v>42</v>
      </c>
      <c r="J999" t="s">
        <v>14</v>
      </c>
    </row>
    <row r="1000" spans="1:10" x14ac:dyDescent="0.35">
      <c r="A1000" t="s">
        <v>2152</v>
      </c>
      <c r="B1000" t="s">
        <v>2150</v>
      </c>
      <c r="C1000" t="str">
        <f>TEXT(Table1[[#This Row],[Order_Date]],"mmm")</f>
        <v>Jul</v>
      </c>
      <c r="D1000" t="s">
        <v>2153</v>
      </c>
      <c r="E1000" t="s">
        <v>47</v>
      </c>
      <c r="F1000">
        <v>1</v>
      </c>
      <c r="G1000">
        <v>18761.490000000002</v>
      </c>
      <c r="H1000">
        <v>18761.490000000002</v>
      </c>
      <c r="I1000" t="s">
        <v>18</v>
      </c>
      <c r="J1000" t="s">
        <v>14</v>
      </c>
    </row>
    <row r="1001" spans="1:10" x14ac:dyDescent="0.35">
      <c r="A1001" t="s">
        <v>2154</v>
      </c>
      <c r="B1001" t="s">
        <v>2150</v>
      </c>
      <c r="C1001" t="str">
        <f>TEXT(Table1[[#This Row],[Order_Date]],"mmm")</f>
        <v>Jul</v>
      </c>
      <c r="D1001" t="s">
        <v>2155</v>
      </c>
      <c r="E1001" t="s">
        <v>22</v>
      </c>
      <c r="F1001">
        <v>5</v>
      </c>
      <c r="G1001">
        <v>38817.519999999997</v>
      </c>
      <c r="H1001">
        <v>194087.6</v>
      </c>
      <c r="I1001" t="s">
        <v>42</v>
      </c>
      <c r="J1001" t="s">
        <v>35</v>
      </c>
    </row>
    <row r="1002" spans="1:10" x14ac:dyDescent="0.35">
      <c r="A1002" t="s">
        <v>2156</v>
      </c>
      <c r="B1002" t="s">
        <v>2150</v>
      </c>
      <c r="C1002" t="str">
        <f>TEXT(Table1[[#This Row],[Order_Date]],"mmm")</f>
        <v>Jul</v>
      </c>
      <c r="D1002" t="s">
        <v>2157</v>
      </c>
      <c r="E1002" t="s">
        <v>56</v>
      </c>
      <c r="F1002">
        <v>5</v>
      </c>
      <c r="G1002">
        <v>33684.559999999998</v>
      </c>
      <c r="H1002">
        <v>168422.8</v>
      </c>
      <c r="I1002" t="s">
        <v>23</v>
      </c>
      <c r="J1002" t="s">
        <v>14</v>
      </c>
    </row>
    <row r="1003" spans="1:10" x14ac:dyDescent="0.35">
      <c r="A1003" t="s">
        <v>2158</v>
      </c>
      <c r="B1003" t="s">
        <v>2150</v>
      </c>
      <c r="C1003" t="str">
        <f>TEXT(Table1[[#This Row],[Order_Date]],"mmm")</f>
        <v>Jul</v>
      </c>
      <c r="D1003" t="s">
        <v>2159</v>
      </c>
      <c r="E1003" t="s">
        <v>53</v>
      </c>
      <c r="F1003">
        <v>4</v>
      </c>
      <c r="G1003">
        <v>13381.2</v>
      </c>
      <c r="H1003">
        <v>53524.800000000003</v>
      </c>
      <c r="I1003" t="s">
        <v>18</v>
      </c>
      <c r="J1003" t="s">
        <v>14</v>
      </c>
    </row>
    <row r="1004" spans="1:10" x14ac:dyDescent="0.35">
      <c r="A1004" t="s">
        <v>2160</v>
      </c>
      <c r="B1004" t="s">
        <v>2150</v>
      </c>
      <c r="C1004" t="str">
        <f>TEXT(Table1[[#This Row],[Order_Date]],"mmm")</f>
        <v>Jul</v>
      </c>
      <c r="D1004" t="s">
        <v>2161</v>
      </c>
      <c r="E1004" t="s">
        <v>47</v>
      </c>
      <c r="F1004">
        <v>4</v>
      </c>
      <c r="G1004">
        <v>14211.34</v>
      </c>
      <c r="H1004">
        <v>56845.36</v>
      </c>
      <c r="I1004" t="s">
        <v>18</v>
      </c>
      <c r="J1004" t="s">
        <v>24</v>
      </c>
    </row>
    <row r="1005" spans="1:10" x14ac:dyDescent="0.35">
      <c r="A1005" t="s">
        <v>2162</v>
      </c>
      <c r="B1005" t="s">
        <v>2163</v>
      </c>
      <c r="C1005" t="str">
        <f>TEXT(Table1[[#This Row],[Order_Date]],"mmm")</f>
        <v>Jul</v>
      </c>
      <c r="D1005" t="s">
        <v>2164</v>
      </c>
      <c r="E1005" t="s">
        <v>75</v>
      </c>
      <c r="F1005">
        <v>5</v>
      </c>
      <c r="G1005">
        <v>9197.44</v>
      </c>
      <c r="H1005">
        <v>45987.199999999997</v>
      </c>
      <c r="I1005" t="s">
        <v>13</v>
      </c>
      <c r="J1005" t="s">
        <v>24</v>
      </c>
    </row>
    <row r="1006" spans="1:10" x14ac:dyDescent="0.35">
      <c r="A1006" t="s">
        <v>2165</v>
      </c>
      <c r="B1006" t="s">
        <v>2163</v>
      </c>
      <c r="C1006" t="str">
        <f>TEXT(Table1[[#This Row],[Order_Date]],"mmm")</f>
        <v>Jul</v>
      </c>
      <c r="D1006" t="s">
        <v>2166</v>
      </c>
      <c r="E1006" t="s">
        <v>75</v>
      </c>
      <c r="F1006">
        <v>4</v>
      </c>
      <c r="G1006">
        <v>2910.03</v>
      </c>
      <c r="H1006">
        <v>11640.12</v>
      </c>
      <c r="I1006" t="s">
        <v>42</v>
      </c>
      <c r="J1006" t="s">
        <v>35</v>
      </c>
    </row>
    <row r="1007" spans="1:10" x14ac:dyDescent="0.35">
      <c r="A1007" t="s">
        <v>2167</v>
      </c>
      <c r="B1007" t="s">
        <v>2163</v>
      </c>
      <c r="C1007" t="str">
        <f>TEXT(Table1[[#This Row],[Order_Date]],"mmm")</f>
        <v>Jul</v>
      </c>
      <c r="D1007" t="s">
        <v>2168</v>
      </c>
      <c r="E1007" t="s">
        <v>56</v>
      </c>
      <c r="F1007">
        <v>1</v>
      </c>
      <c r="G1007">
        <v>553.29999999999995</v>
      </c>
      <c r="H1007">
        <v>553.29999999999995</v>
      </c>
      <c r="I1007" t="s">
        <v>18</v>
      </c>
      <c r="J1007" t="s">
        <v>35</v>
      </c>
    </row>
    <row r="1008" spans="1:10" x14ac:dyDescent="0.35">
      <c r="A1008" t="s">
        <v>2169</v>
      </c>
      <c r="B1008" t="s">
        <v>2163</v>
      </c>
      <c r="C1008" t="str">
        <f>TEXT(Table1[[#This Row],[Order_Date]],"mmm")</f>
        <v>Jul</v>
      </c>
      <c r="D1008" t="s">
        <v>2170</v>
      </c>
      <c r="E1008" t="s">
        <v>53</v>
      </c>
      <c r="F1008">
        <v>3</v>
      </c>
      <c r="G1008">
        <v>44739.32</v>
      </c>
      <c r="H1008">
        <v>134217.96</v>
      </c>
      <c r="I1008" t="s">
        <v>18</v>
      </c>
      <c r="J1008" t="s">
        <v>14</v>
      </c>
    </row>
    <row r="1009" spans="1:10" x14ac:dyDescent="0.35">
      <c r="A1009" t="s">
        <v>2171</v>
      </c>
      <c r="B1009" t="s">
        <v>2163</v>
      </c>
      <c r="C1009" t="str">
        <f>TEXT(Table1[[#This Row],[Order_Date]],"mmm")</f>
        <v>Jul</v>
      </c>
      <c r="D1009" t="s">
        <v>2172</v>
      </c>
      <c r="E1009" t="s">
        <v>75</v>
      </c>
      <c r="F1009">
        <v>2</v>
      </c>
      <c r="G1009">
        <v>37614.06</v>
      </c>
      <c r="H1009">
        <v>75228.12</v>
      </c>
      <c r="I1009" t="s">
        <v>42</v>
      </c>
      <c r="J1009" t="s">
        <v>19</v>
      </c>
    </row>
    <row r="1010" spans="1:10" x14ac:dyDescent="0.35">
      <c r="A1010" t="s">
        <v>2173</v>
      </c>
      <c r="B1010" t="s">
        <v>2163</v>
      </c>
      <c r="C1010" t="str">
        <f>TEXT(Table1[[#This Row],[Order_Date]],"mmm")</f>
        <v>Jul</v>
      </c>
      <c r="D1010" t="s">
        <v>2174</v>
      </c>
      <c r="E1010" t="s">
        <v>75</v>
      </c>
      <c r="F1010">
        <v>4</v>
      </c>
      <c r="G1010">
        <v>30608.7</v>
      </c>
      <c r="H1010">
        <v>122434.8</v>
      </c>
      <c r="I1010" t="s">
        <v>42</v>
      </c>
      <c r="J1010" t="s">
        <v>35</v>
      </c>
    </row>
    <row r="1011" spans="1:10" x14ac:dyDescent="0.35">
      <c r="A1011" t="s">
        <v>2175</v>
      </c>
      <c r="B1011" t="s">
        <v>2176</v>
      </c>
      <c r="C1011" t="str">
        <f>TEXT(Table1[[#This Row],[Order_Date]],"mmm")</f>
        <v>Jul</v>
      </c>
      <c r="D1011" t="s">
        <v>2177</v>
      </c>
      <c r="E1011" t="s">
        <v>56</v>
      </c>
      <c r="F1011">
        <v>4</v>
      </c>
      <c r="G1011">
        <v>46428.75</v>
      </c>
      <c r="H1011">
        <v>185715</v>
      </c>
      <c r="I1011" t="s">
        <v>42</v>
      </c>
      <c r="J1011" t="s">
        <v>14</v>
      </c>
    </row>
    <row r="1012" spans="1:10" x14ac:dyDescent="0.35">
      <c r="A1012" t="s">
        <v>2178</v>
      </c>
      <c r="B1012" t="s">
        <v>2176</v>
      </c>
      <c r="C1012" t="str">
        <f>TEXT(Table1[[#This Row],[Order_Date]],"mmm")</f>
        <v>Jul</v>
      </c>
      <c r="D1012" t="s">
        <v>2179</v>
      </c>
      <c r="E1012" t="s">
        <v>47</v>
      </c>
      <c r="F1012">
        <v>3</v>
      </c>
      <c r="G1012">
        <v>3966.05</v>
      </c>
      <c r="H1012">
        <v>11898.15</v>
      </c>
      <c r="I1012" t="s">
        <v>23</v>
      </c>
      <c r="J1012" t="s">
        <v>14</v>
      </c>
    </row>
    <row r="1013" spans="1:10" x14ac:dyDescent="0.35">
      <c r="A1013" t="s">
        <v>2180</v>
      </c>
      <c r="B1013" t="s">
        <v>2176</v>
      </c>
      <c r="C1013" t="str">
        <f>TEXT(Table1[[#This Row],[Order_Date]],"mmm")</f>
        <v>Jul</v>
      </c>
      <c r="D1013" t="s">
        <v>2181</v>
      </c>
      <c r="E1013" t="s">
        <v>12</v>
      </c>
      <c r="F1013">
        <v>3</v>
      </c>
      <c r="G1013">
        <v>17955.37</v>
      </c>
      <c r="H1013">
        <v>53866.11</v>
      </c>
      <c r="I1013" t="s">
        <v>23</v>
      </c>
      <c r="J1013" t="s">
        <v>19</v>
      </c>
    </row>
    <row r="1014" spans="1:10" x14ac:dyDescent="0.35">
      <c r="A1014" t="s">
        <v>2182</v>
      </c>
      <c r="B1014" t="s">
        <v>2176</v>
      </c>
      <c r="C1014" t="str">
        <f>TEXT(Table1[[#This Row],[Order_Date]],"mmm")</f>
        <v>Jul</v>
      </c>
      <c r="D1014" t="s">
        <v>2183</v>
      </c>
      <c r="E1014" t="s">
        <v>22</v>
      </c>
      <c r="F1014">
        <v>2</v>
      </c>
      <c r="G1014">
        <v>16673.59</v>
      </c>
      <c r="H1014">
        <v>33347.18</v>
      </c>
      <c r="I1014" t="s">
        <v>18</v>
      </c>
      <c r="J1014" t="s">
        <v>14</v>
      </c>
    </row>
    <row r="1015" spans="1:10" x14ac:dyDescent="0.35">
      <c r="A1015" t="s">
        <v>2184</v>
      </c>
      <c r="B1015" t="s">
        <v>2176</v>
      </c>
      <c r="C1015" t="str">
        <f>TEXT(Table1[[#This Row],[Order_Date]],"mmm")</f>
        <v>Jul</v>
      </c>
      <c r="D1015" t="s">
        <v>2185</v>
      </c>
      <c r="E1015" t="s">
        <v>38</v>
      </c>
      <c r="F1015">
        <v>1</v>
      </c>
      <c r="G1015">
        <v>47123.7</v>
      </c>
      <c r="H1015">
        <v>47123.7</v>
      </c>
      <c r="I1015" t="s">
        <v>18</v>
      </c>
      <c r="J1015" t="s">
        <v>35</v>
      </c>
    </row>
    <row r="1016" spans="1:10" x14ac:dyDescent="0.35">
      <c r="A1016" t="s">
        <v>2186</v>
      </c>
      <c r="B1016" t="s">
        <v>2176</v>
      </c>
      <c r="C1016" t="str">
        <f>TEXT(Table1[[#This Row],[Order_Date]],"mmm")</f>
        <v>Jul</v>
      </c>
      <c r="D1016" t="s">
        <v>2187</v>
      </c>
      <c r="E1016" t="s">
        <v>56</v>
      </c>
      <c r="F1016">
        <v>2</v>
      </c>
      <c r="G1016">
        <v>27404.14</v>
      </c>
      <c r="H1016">
        <v>54808.28</v>
      </c>
      <c r="I1016" t="s">
        <v>13</v>
      </c>
      <c r="J1016" t="s">
        <v>35</v>
      </c>
    </row>
    <row r="1017" spans="1:10" x14ac:dyDescent="0.35">
      <c r="A1017" t="s">
        <v>2188</v>
      </c>
      <c r="B1017" t="s">
        <v>2176</v>
      </c>
      <c r="C1017" t="str">
        <f>TEXT(Table1[[#This Row],[Order_Date]],"mmm")</f>
        <v>Jul</v>
      </c>
      <c r="D1017" t="s">
        <v>2189</v>
      </c>
      <c r="E1017" t="s">
        <v>17</v>
      </c>
      <c r="F1017">
        <v>5</v>
      </c>
      <c r="G1017">
        <v>16910.59</v>
      </c>
      <c r="H1017">
        <v>84552.95</v>
      </c>
      <c r="I1017" t="s">
        <v>23</v>
      </c>
      <c r="J1017" t="s">
        <v>19</v>
      </c>
    </row>
    <row r="1018" spans="1:10" x14ac:dyDescent="0.35">
      <c r="A1018" t="s">
        <v>2190</v>
      </c>
      <c r="B1018" t="s">
        <v>2176</v>
      </c>
      <c r="C1018" t="str">
        <f>TEXT(Table1[[#This Row],[Order_Date]],"mmm")</f>
        <v>Jul</v>
      </c>
      <c r="D1018" t="s">
        <v>2191</v>
      </c>
      <c r="E1018" t="s">
        <v>53</v>
      </c>
      <c r="F1018">
        <v>1</v>
      </c>
      <c r="G1018">
        <v>5956.63</v>
      </c>
      <c r="H1018">
        <v>5956.63</v>
      </c>
      <c r="I1018" t="s">
        <v>42</v>
      </c>
      <c r="J1018" t="s">
        <v>19</v>
      </c>
    </row>
    <row r="1019" spans="1:10" x14ac:dyDescent="0.35">
      <c r="A1019" t="s">
        <v>2192</v>
      </c>
      <c r="B1019" t="s">
        <v>2193</v>
      </c>
      <c r="C1019" t="str">
        <f>TEXT(Table1[[#This Row],[Order_Date]],"mmm")</f>
        <v>Jul</v>
      </c>
      <c r="D1019" t="s">
        <v>101</v>
      </c>
      <c r="E1019" t="s">
        <v>22</v>
      </c>
      <c r="F1019">
        <v>1</v>
      </c>
      <c r="G1019">
        <v>30334.62</v>
      </c>
      <c r="H1019">
        <v>30334.62</v>
      </c>
      <c r="I1019" t="s">
        <v>18</v>
      </c>
      <c r="J1019" t="s">
        <v>19</v>
      </c>
    </row>
    <row r="1020" spans="1:10" x14ac:dyDescent="0.35">
      <c r="A1020" t="s">
        <v>2194</v>
      </c>
      <c r="B1020" t="s">
        <v>2193</v>
      </c>
      <c r="C1020" t="str">
        <f>TEXT(Table1[[#This Row],[Order_Date]],"mmm")</f>
        <v>Jul</v>
      </c>
      <c r="D1020" t="s">
        <v>2195</v>
      </c>
      <c r="E1020" t="s">
        <v>32</v>
      </c>
      <c r="F1020">
        <v>4</v>
      </c>
      <c r="G1020">
        <v>5091.3</v>
      </c>
      <c r="H1020">
        <v>20365.2</v>
      </c>
      <c r="I1020" t="s">
        <v>18</v>
      </c>
      <c r="J1020" t="s">
        <v>14</v>
      </c>
    </row>
    <row r="1021" spans="1:10" x14ac:dyDescent="0.35">
      <c r="A1021" t="s">
        <v>2196</v>
      </c>
      <c r="B1021" t="s">
        <v>2193</v>
      </c>
      <c r="C1021" t="str">
        <f>TEXT(Table1[[#This Row],[Order_Date]],"mmm")</f>
        <v>Jul</v>
      </c>
      <c r="D1021" t="s">
        <v>2197</v>
      </c>
      <c r="E1021" t="s">
        <v>75</v>
      </c>
      <c r="F1021">
        <v>3</v>
      </c>
      <c r="G1021">
        <v>1816.74</v>
      </c>
      <c r="H1021">
        <v>5450.22</v>
      </c>
      <c r="I1021" t="s">
        <v>13</v>
      </c>
      <c r="J1021" t="s">
        <v>35</v>
      </c>
    </row>
    <row r="1022" spans="1:10" x14ac:dyDescent="0.35">
      <c r="A1022" t="s">
        <v>2198</v>
      </c>
      <c r="B1022" t="s">
        <v>2193</v>
      </c>
      <c r="C1022" t="str">
        <f>TEXT(Table1[[#This Row],[Order_Date]],"mmm")</f>
        <v>Jul</v>
      </c>
      <c r="D1022" t="s">
        <v>2199</v>
      </c>
      <c r="E1022" t="s">
        <v>17</v>
      </c>
      <c r="F1022">
        <v>5</v>
      </c>
      <c r="G1022">
        <v>19174.79</v>
      </c>
      <c r="H1022">
        <v>95873.95</v>
      </c>
      <c r="I1022" t="s">
        <v>23</v>
      </c>
      <c r="J1022" t="s">
        <v>35</v>
      </c>
    </row>
    <row r="1023" spans="1:10" x14ac:dyDescent="0.35">
      <c r="A1023" t="s">
        <v>2200</v>
      </c>
      <c r="B1023" t="s">
        <v>2193</v>
      </c>
      <c r="C1023" t="str">
        <f>TEXT(Table1[[#This Row],[Order_Date]],"mmm")</f>
        <v>Jul</v>
      </c>
      <c r="D1023" t="s">
        <v>2201</v>
      </c>
      <c r="E1023" t="s">
        <v>47</v>
      </c>
      <c r="F1023">
        <v>3</v>
      </c>
      <c r="G1023">
        <v>6934.15</v>
      </c>
      <c r="H1023">
        <v>20802.45</v>
      </c>
      <c r="I1023" t="s">
        <v>42</v>
      </c>
      <c r="J1023" t="s">
        <v>24</v>
      </c>
    </row>
    <row r="1024" spans="1:10" x14ac:dyDescent="0.35">
      <c r="A1024" t="s">
        <v>2202</v>
      </c>
      <c r="B1024" t="s">
        <v>2193</v>
      </c>
      <c r="C1024" t="str">
        <f>TEXT(Table1[[#This Row],[Order_Date]],"mmm")</f>
        <v>Jul</v>
      </c>
      <c r="D1024" t="s">
        <v>2203</v>
      </c>
      <c r="E1024" t="s">
        <v>22</v>
      </c>
      <c r="F1024">
        <v>5</v>
      </c>
      <c r="G1024">
        <v>17294.95</v>
      </c>
      <c r="H1024">
        <v>86474.75</v>
      </c>
      <c r="I1024" t="s">
        <v>18</v>
      </c>
      <c r="J1024" t="s">
        <v>35</v>
      </c>
    </row>
    <row r="1025" spans="1:10" x14ac:dyDescent="0.35">
      <c r="A1025" t="s">
        <v>2204</v>
      </c>
      <c r="B1025" t="s">
        <v>2193</v>
      </c>
      <c r="C1025" t="str">
        <f>TEXT(Table1[[#This Row],[Order_Date]],"mmm")</f>
        <v>Jul</v>
      </c>
      <c r="D1025" t="s">
        <v>2205</v>
      </c>
      <c r="E1025" t="s">
        <v>32</v>
      </c>
      <c r="F1025">
        <v>2</v>
      </c>
      <c r="G1025">
        <v>25604.69</v>
      </c>
      <c r="H1025">
        <v>51209.38</v>
      </c>
      <c r="I1025" t="s">
        <v>18</v>
      </c>
      <c r="J1025" t="s">
        <v>14</v>
      </c>
    </row>
    <row r="1026" spans="1:10" x14ac:dyDescent="0.35">
      <c r="A1026" t="s">
        <v>2206</v>
      </c>
      <c r="B1026" t="s">
        <v>2193</v>
      </c>
      <c r="C1026" t="str">
        <f>TEXT(Table1[[#This Row],[Order_Date]],"mmm")</f>
        <v>Jul</v>
      </c>
      <c r="D1026" t="s">
        <v>2207</v>
      </c>
      <c r="E1026" t="s">
        <v>47</v>
      </c>
      <c r="F1026">
        <v>2</v>
      </c>
      <c r="G1026">
        <v>21338.080000000002</v>
      </c>
      <c r="H1026">
        <v>42676.160000000003</v>
      </c>
      <c r="I1026" t="s">
        <v>42</v>
      </c>
      <c r="J1026" t="s">
        <v>19</v>
      </c>
    </row>
    <row r="1027" spans="1:10" x14ac:dyDescent="0.35">
      <c r="A1027" t="s">
        <v>2208</v>
      </c>
      <c r="B1027" t="s">
        <v>2209</v>
      </c>
      <c r="C1027" t="str">
        <f>TEXT(Table1[[#This Row],[Order_Date]],"mmm")</f>
        <v>Jul</v>
      </c>
      <c r="D1027" t="s">
        <v>2210</v>
      </c>
      <c r="E1027" t="s">
        <v>32</v>
      </c>
      <c r="F1027">
        <v>3</v>
      </c>
      <c r="G1027">
        <v>8446.75</v>
      </c>
      <c r="H1027">
        <v>25340.25</v>
      </c>
      <c r="I1027" t="s">
        <v>13</v>
      </c>
      <c r="J1027" t="s">
        <v>14</v>
      </c>
    </row>
    <row r="1028" spans="1:10" x14ac:dyDescent="0.35">
      <c r="A1028" t="s">
        <v>2211</v>
      </c>
      <c r="B1028" t="s">
        <v>2209</v>
      </c>
      <c r="C1028" t="str">
        <f>TEXT(Table1[[#This Row],[Order_Date]],"mmm")</f>
        <v>Jul</v>
      </c>
      <c r="D1028" t="s">
        <v>2212</v>
      </c>
      <c r="E1028" t="s">
        <v>53</v>
      </c>
      <c r="F1028">
        <v>5</v>
      </c>
      <c r="G1028">
        <v>23214.560000000001</v>
      </c>
      <c r="H1028">
        <v>116072.8</v>
      </c>
      <c r="I1028" t="s">
        <v>13</v>
      </c>
      <c r="J1028" t="s">
        <v>24</v>
      </c>
    </row>
    <row r="1029" spans="1:10" x14ac:dyDescent="0.35">
      <c r="A1029" t="s">
        <v>2213</v>
      </c>
      <c r="B1029" t="s">
        <v>2209</v>
      </c>
      <c r="C1029" t="str">
        <f>TEXT(Table1[[#This Row],[Order_Date]],"mmm")</f>
        <v>Jul</v>
      </c>
      <c r="D1029" t="s">
        <v>2214</v>
      </c>
      <c r="E1029" t="s">
        <v>38</v>
      </c>
      <c r="F1029">
        <v>3</v>
      </c>
      <c r="G1029">
        <v>2612.9699999999998</v>
      </c>
      <c r="H1029">
        <v>7838.91</v>
      </c>
      <c r="I1029" t="s">
        <v>18</v>
      </c>
      <c r="J1029" t="s">
        <v>35</v>
      </c>
    </row>
    <row r="1030" spans="1:10" x14ac:dyDescent="0.35">
      <c r="A1030" t="s">
        <v>2215</v>
      </c>
      <c r="B1030" t="s">
        <v>2209</v>
      </c>
      <c r="C1030" t="str">
        <f>TEXT(Table1[[#This Row],[Order_Date]],"mmm")</f>
        <v>Jul</v>
      </c>
      <c r="D1030" t="s">
        <v>2216</v>
      </c>
      <c r="E1030" t="s">
        <v>75</v>
      </c>
      <c r="F1030">
        <v>4</v>
      </c>
      <c r="G1030">
        <v>34262.589999999997</v>
      </c>
      <c r="H1030">
        <v>137050.35999999999</v>
      </c>
      <c r="I1030" t="s">
        <v>42</v>
      </c>
      <c r="J1030" t="s">
        <v>35</v>
      </c>
    </row>
    <row r="1031" spans="1:10" x14ac:dyDescent="0.35">
      <c r="A1031" t="s">
        <v>2217</v>
      </c>
      <c r="B1031" t="s">
        <v>2218</v>
      </c>
      <c r="C1031" t="str">
        <f>TEXT(Table1[[#This Row],[Order_Date]],"mmm")</f>
        <v>Jul</v>
      </c>
      <c r="D1031" t="s">
        <v>2219</v>
      </c>
      <c r="E1031" t="s">
        <v>38</v>
      </c>
      <c r="F1031">
        <v>1</v>
      </c>
      <c r="G1031">
        <v>16851.25</v>
      </c>
      <c r="H1031">
        <v>16851.25</v>
      </c>
      <c r="I1031" t="s">
        <v>23</v>
      </c>
      <c r="J1031" t="s">
        <v>19</v>
      </c>
    </row>
    <row r="1032" spans="1:10" x14ac:dyDescent="0.35">
      <c r="A1032" t="s">
        <v>2220</v>
      </c>
      <c r="B1032" t="s">
        <v>2218</v>
      </c>
      <c r="C1032" t="str">
        <f>TEXT(Table1[[#This Row],[Order_Date]],"mmm")</f>
        <v>Jul</v>
      </c>
      <c r="D1032" t="s">
        <v>1990</v>
      </c>
      <c r="E1032" t="s">
        <v>47</v>
      </c>
      <c r="F1032">
        <v>4</v>
      </c>
      <c r="G1032">
        <v>39517.71</v>
      </c>
      <c r="H1032">
        <v>158070.84</v>
      </c>
      <c r="I1032" t="s">
        <v>23</v>
      </c>
      <c r="J1032" t="s">
        <v>24</v>
      </c>
    </row>
    <row r="1033" spans="1:10" x14ac:dyDescent="0.35">
      <c r="A1033" t="s">
        <v>2221</v>
      </c>
      <c r="B1033" t="s">
        <v>2218</v>
      </c>
      <c r="C1033" t="str">
        <f>TEXT(Table1[[#This Row],[Order_Date]],"mmm")</f>
        <v>Jul</v>
      </c>
      <c r="D1033" t="s">
        <v>2222</v>
      </c>
      <c r="E1033" t="s">
        <v>56</v>
      </c>
      <c r="F1033">
        <v>4</v>
      </c>
      <c r="G1033">
        <v>6174.4</v>
      </c>
      <c r="H1033">
        <v>24697.599999999999</v>
      </c>
      <c r="I1033" t="s">
        <v>42</v>
      </c>
      <c r="J1033" t="s">
        <v>14</v>
      </c>
    </row>
    <row r="1034" spans="1:10" x14ac:dyDescent="0.35">
      <c r="A1034" t="s">
        <v>2223</v>
      </c>
      <c r="B1034" t="s">
        <v>2218</v>
      </c>
      <c r="C1034" t="str">
        <f>TEXT(Table1[[#This Row],[Order_Date]],"mmm")</f>
        <v>Jul</v>
      </c>
      <c r="D1034" t="s">
        <v>965</v>
      </c>
      <c r="E1034" t="s">
        <v>75</v>
      </c>
      <c r="F1034">
        <v>5</v>
      </c>
      <c r="G1034">
        <v>43843.12</v>
      </c>
      <c r="H1034">
        <v>219215.6</v>
      </c>
      <c r="I1034" t="s">
        <v>23</v>
      </c>
      <c r="J1034" t="s">
        <v>24</v>
      </c>
    </row>
    <row r="1035" spans="1:10" x14ac:dyDescent="0.35">
      <c r="A1035" t="s">
        <v>2224</v>
      </c>
      <c r="B1035" t="s">
        <v>2225</v>
      </c>
      <c r="C1035" t="str">
        <f>TEXT(Table1[[#This Row],[Order_Date]],"mmm")</f>
        <v>Jul</v>
      </c>
      <c r="D1035" t="s">
        <v>2226</v>
      </c>
      <c r="E1035" t="s">
        <v>47</v>
      </c>
      <c r="F1035">
        <v>5</v>
      </c>
      <c r="G1035">
        <v>34823.25</v>
      </c>
      <c r="H1035">
        <v>174116.25</v>
      </c>
      <c r="I1035" t="s">
        <v>13</v>
      </c>
      <c r="J1035" t="s">
        <v>14</v>
      </c>
    </row>
    <row r="1036" spans="1:10" x14ac:dyDescent="0.35">
      <c r="A1036" t="s">
        <v>2227</v>
      </c>
      <c r="B1036" t="s">
        <v>2225</v>
      </c>
      <c r="C1036" t="str">
        <f>TEXT(Table1[[#This Row],[Order_Date]],"mmm")</f>
        <v>Jul</v>
      </c>
      <c r="D1036" t="s">
        <v>2228</v>
      </c>
      <c r="E1036" t="s">
        <v>47</v>
      </c>
      <c r="F1036">
        <v>1</v>
      </c>
      <c r="G1036">
        <v>40006.68</v>
      </c>
      <c r="H1036">
        <v>40006.68</v>
      </c>
      <c r="I1036" t="s">
        <v>18</v>
      </c>
      <c r="J1036" t="s">
        <v>24</v>
      </c>
    </row>
    <row r="1037" spans="1:10" x14ac:dyDescent="0.35">
      <c r="A1037" t="s">
        <v>2229</v>
      </c>
      <c r="B1037" t="s">
        <v>2225</v>
      </c>
      <c r="C1037" t="str">
        <f>TEXT(Table1[[#This Row],[Order_Date]],"mmm")</f>
        <v>Jul</v>
      </c>
      <c r="D1037" t="s">
        <v>2230</v>
      </c>
      <c r="E1037" t="s">
        <v>22</v>
      </c>
      <c r="F1037">
        <v>3</v>
      </c>
      <c r="G1037">
        <v>49674.879999999997</v>
      </c>
      <c r="H1037">
        <v>149024.64000000001</v>
      </c>
      <c r="I1037" t="s">
        <v>42</v>
      </c>
      <c r="J1037" t="s">
        <v>35</v>
      </c>
    </row>
    <row r="1038" spans="1:10" x14ac:dyDescent="0.35">
      <c r="A1038" t="s">
        <v>2231</v>
      </c>
      <c r="B1038" t="s">
        <v>2232</v>
      </c>
      <c r="C1038" t="str">
        <f>TEXT(Table1[[#This Row],[Order_Date]],"mmm")</f>
        <v>Jul</v>
      </c>
      <c r="D1038" t="s">
        <v>2233</v>
      </c>
      <c r="E1038" t="s">
        <v>12</v>
      </c>
      <c r="F1038">
        <v>2</v>
      </c>
      <c r="G1038">
        <v>37302.1</v>
      </c>
      <c r="H1038">
        <v>74604.2</v>
      </c>
      <c r="I1038" t="s">
        <v>42</v>
      </c>
      <c r="J1038" t="s">
        <v>24</v>
      </c>
    </row>
    <row r="1039" spans="1:10" x14ac:dyDescent="0.35">
      <c r="A1039" t="s">
        <v>2234</v>
      </c>
      <c r="B1039" t="s">
        <v>2232</v>
      </c>
      <c r="C1039" t="str">
        <f>TEXT(Table1[[#This Row],[Order_Date]],"mmm")</f>
        <v>Jul</v>
      </c>
      <c r="D1039" t="s">
        <v>2235</v>
      </c>
      <c r="E1039" t="s">
        <v>56</v>
      </c>
      <c r="F1039">
        <v>1</v>
      </c>
      <c r="G1039">
        <v>7816.34</v>
      </c>
      <c r="H1039">
        <v>7816.34</v>
      </c>
      <c r="I1039" t="s">
        <v>13</v>
      </c>
      <c r="J1039" t="s">
        <v>19</v>
      </c>
    </row>
    <row r="1040" spans="1:10" x14ac:dyDescent="0.35">
      <c r="A1040" t="s">
        <v>2236</v>
      </c>
      <c r="B1040" t="s">
        <v>2232</v>
      </c>
      <c r="C1040" t="str">
        <f>TEXT(Table1[[#This Row],[Order_Date]],"mmm")</f>
        <v>Jul</v>
      </c>
      <c r="D1040" t="s">
        <v>2237</v>
      </c>
      <c r="E1040" t="s">
        <v>32</v>
      </c>
      <c r="F1040">
        <v>5</v>
      </c>
      <c r="G1040">
        <v>9938.2900000000009</v>
      </c>
      <c r="H1040">
        <v>49691.45</v>
      </c>
      <c r="I1040" t="s">
        <v>18</v>
      </c>
      <c r="J1040" t="s">
        <v>35</v>
      </c>
    </row>
    <row r="1041" spans="1:10" x14ac:dyDescent="0.35">
      <c r="A1041" t="s">
        <v>2238</v>
      </c>
      <c r="B1041" t="s">
        <v>2239</v>
      </c>
      <c r="C1041" t="str">
        <f>TEXT(Table1[[#This Row],[Order_Date]],"mmm")</f>
        <v>Jul</v>
      </c>
      <c r="D1041" t="s">
        <v>2240</v>
      </c>
      <c r="E1041" t="s">
        <v>17</v>
      </c>
      <c r="F1041">
        <v>2</v>
      </c>
      <c r="G1041">
        <v>18784.89</v>
      </c>
      <c r="H1041">
        <v>37569.78</v>
      </c>
      <c r="I1041" t="s">
        <v>42</v>
      </c>
      <c r="J1041" t="s">
        <v>14</v>
      </c>
    </row>
    <row r="1042" spans="1:10" x14ac:dyDescent="0.35">
      <c r="A1042" t="s">
        <v>2241</v>
      </c>
      <c r="B1042" t="s">
        <v>2239</v>
      </c>
      <c r="C1042" t="str">
        <f>TEXT(Table1[[#This Row],[Order_Date]],"mmm")</f>
        <v>Jul</v>
      </c>
      <c r="D1042" t="s">
        <v>936</v>
      </c>
      <c r="E1042" t="s">
        <v>32</v>
      </c>
      <c r="F1042">
        <v>4</v>
      </c>
      <c r="G1042">
        <v>48927.23</v>
      </c>
      <c r="H1042">
        <v>195708.92</v>
      </c>
      <c r="I1042" t="s">
        <v>13</v>
      </c>
      <c r="J1042" t="s">
        <v>35</v>
      </c>
    </row>
    <row r="1043" spans="1:10" x14ac:dyDescent="0.35">
      <c r="A1043" t="s">
        <v>2242</v>
      </c>
      <c r="B1043" t="s">
        <v>2239</v>
      </c>
      <c r="C1043" t="str">
        <f>TEXT(Table1[[#This Row],[Order_Date]],"mmm")</f>
        <v>Jul</v>
      </c>
      <c r="D1043" t="s">
        <v>2243</v>
      </c>
      <c r="E1043" t="s">
        <v>32</v>
      </c>
      <c r="F1043">
        <v>3</v>
      </c>
      <c r="G1043">
        <v>4328.6400000000003</v>
      </c>
      <c r="H1043">
        <v>12985.92</v>
      </c>
      <c r="I1043" t="s">
        <v>42</v>
      </c>
      <c r="J1043" t="s">
        <v>24</v>
      </c>
    </row>
    <row r="1044" spans="1:10" x14ac:dyDescent="0.35">
      <c r="A1044" t="s">
        <v>2244</v>
      </c>
      <c r="B1044" t="s">
        <v>2239</v>
      </c>
      <c r="C1044" t="str">
        <f>TEXT(Table1[[#This Row],[Order_Date]],"mmm")</f>
        <v>Jul</v>
      </c>
      <c r="D1044" t="s">
        <v>2245</v>
      </c>
      <c r="E1044" t="s">
        <v>22</v>
      </c>
      <c r="F1044">
        <v>4</v>
      </c>
      <c r="G1044">
        <v>23325.62</v>
      </c>
      <c r="H1044">
        <v>93302.48</v>
      </c>
      <c r="I1044" t="s">
        <v>23</v>
      </c>
      <c r="J1044" t="s">
        <v>19</v>
      </c>
    </row>
    <row r="1045" spans="1:10" x14ac:dyDescent="0.35">
      <c r="A1045" t="s">
        <v>2246</v>
      </c>
      <c r="B1045" t="s">
        <v>2239</v>
      </c>
      <c r="C1045" t="str">
        <f>TEXT(Table1[[#This Row],[Order_Date]],"mmm")</f>
        <v>Jul</v>
      </c>
      <c r="D1045" t="s">
        <v>2247</v>
      </c>
      <c r="E1045" t="s">
        <v>53</v>
      </c>
      <c r="F1045">
        <v>5</v>
      </c>
      <c r="G1045">
        <v>33932.35</v>
      </c>
      <c r="H1045">
        <v>169661.75</v>
      </c>
      <c r="I1045" t="s">
        <v>13</v>
      </c>
      <c r="J1045" t="s">
        <v>24</v>
      </c>
    </row>
    <row r="1046" spans="1:10" x14ac:dyDescent="0.35">
      <c r="A1046" t="s">
        <v>2248</v>
      </c>
      <c r="B1046" t="s">
        <v>2239</v>
      </c>
      <c r="C1046" t="str">
        <f>TEXT(Table1[[#This Row],[Order_Date]],"mmm")</f>
        <v>Jul</v>
      </c>
      <c r="D1046" t="s">
        <v>2249</v>
      </c>
      <c r="E1046" t="s">
        <v>22</v>
      </c>
      <c r="F1046">
        <v>1</v>
      </c>
      <c r="G1046">
        <v>22981.5</v>
      </c>
      <c r="H1046">
        <v>22981.5</v>
      </c>
      <c r="I1046" t="s">
        <v>18</v>
      </c>
      <c r="J1046" t="s">
        <v>14</v>
      </c>
    </row>
    <row r="1047" spans="1:10" x14ac:dyDescent="0.35">
      <c r="A1047" t="s">
        <v>2250</v>
      </c>
      <c r="B1047" t="s">
        <v>2239</v>
      </c>
      <c r="C1047" t="str">
        <f>TEXT(Table1[[#This Row],[Order_Date]],"mmm")</f>
        <v>Jul</v>
      </c>
      <c r="D1047" t="s">
        <v>2251</v>
      </c>
      <c r="E1047" t="s">
        <v>72</v>
      </c>
      <c r="F1047">
        <v>2</v>
      </c>
      <c r="G1047">
        <v>38166.269999999997</v>
      </c>
      <c r="H1047">
        <v>76332.539999999994</v>
      </c>
      <c r="I1047" t="s">
        <v>42</v>
      </c>
      <c r="J1047" t="s">
        <v>14</v>
      </c>
    </row>
    <row r="1048" spans="1:10" x14ac:dyDescent="0.35">
      <c r="A1048" t="s">
        <v>2252</v>
      </c>
      <c r="B1048" t="s">
        <v>2239</v>
      </c>
      <c r="C1048" t="str">
        <f>TEXT(Table1[[#This Row],[Order_Date]],"mmm")</f>
        <v>Jul</v>
      </c>
      <c r="D1048" t="s">
        <v>2253</v>
      </c>
      <c r="E1048" t="s">
        <v>75</v>
      </c>
      <c r="F1048">
        <v>1</v>
      </c>
      <c r="G1048">
        <v>29273.97</v>
      </c>
      <c r="H1048">
        <v>29273.97</v>
      </c>
      <c r="I1048" t="s">
        <v>23</v>
      </c>
      <c r="J1048" t="s">
        <v>14</v>
      </c>
    </row>
    <row r="1049" spans="1:10" x14ac:dyDescent="0.35">
      <c r="A1049" t="s">
        <v>2254</v>
      </c>
      <c r="B1049" t="s">
        <v>2255</v>
      </c>
      <c r="C1049" t="str">
        <f>TEXT(Table1[[#This Row],[Order_Date]],"mmm")</f>
        <v>Jul</v>
      </c>
      <c r="D1049" t="s">
        <v>2256</v>
      </c>
      <c r="E1049" t="s">
        <v>47</v>
      </c>
      <c r="F1049">
        <v>1</v>
      </c>
      <c r="G1049">
        <v>33728.660000000003</v>
      </c>
      <c r="H1049">
        <v>33728.660000000003</v>
      </c>
      <c r="I1049" t="s">
        <v>18</v>
      </c>
      <c r="J1049" t="s">
        <v>19</v>
      </c>
    </row>
    <row r="1050" spans="1:10" x14ac:dyDescent="0.35">
      <c r="A1050" t="s">
        <v>2257</v>
      </c>
      <c r="B1050" t="s">
        <v>2255</v>
      </c>
      <c r="C1050" t="str">
        <f>TEXT(Table1[[#This Row],[Order_Date]],"mmm")</f>
        <v>Jul</v>
      </c>
      <c r="D1050" t="s">
        <v>2258</v>
      </c>
      <c r="E1050" t="s">
        <v>38</v>
      </c>
      <c r="F1050">
        <v>3</v>
      </c>
      <c r="G1050">
        <v>22439.8</v>
      </c>
      <c r="H1050">
        <v>67319.399999999994</v>
      </c>
      <c r="I1050" t="s">
        <v>23</v>
      </c>
      <c r="J1050" t="s">
        <v>35</v>
      </c>
    </row>
    <row r="1051" spans="1:10" x14ac:dyDescent="0.35">
      <c r="A1051" t="s">
        <v>2259</v>
      </c>
      <c r="B1051" t="s">
        <v>2255</v>
      </c>
      <c r="C1051" t="str">
        <f>TEXT(Table1[[#This Row],[Order_Date]],"mmm")</f>
        <v>Jul</v>
      </c>
      <c r="D1051" t="s">
        <v>2260</v>
      </c>
      <c r="E1051" t="s">
        <v>72</v>
      </c>
      <c r="F1051">
        <v>1</v>
      </c>
      <c r="G1051">
        <v>42601.93</v>
      </c>
      <c r="H1051">
        <v>42601.93</v>
      </c>
      <c r="I1051" t="s">
        <v>13</v>
      </c>
      <c r="J1051" t="s">
        <v>24</v>
      </c>
    </row>
    <row r="1052" spans="1:10" x14ac:dyDescent="0.35">
      <c r="A1052" t="s">
        <v>2261</v>
      </c>
      <c r="B1052" t="s">
        <v>2255</v>
      </c>
      <c r="C1052" t="str">
        <f>TEXT(Table1[[#This Row],[Order_Date]],"mmm")</f>
        <v>Jul</v>
      </c>
      <c r="D1052" t="s">
        <v>2262</v>
      </c>
      <c r="E1052" t="s">
        <v>17</v>
      </c>
      <c r="F1052">
        <v>5</v>
      </c>
      <c r="G1052">
        <v>7991.34</v>
      </c>
      <c r="H1052">
        <v>39956.699999999997</v>
      </c>
      <c r="I1052" t="s">
        <v>23</v>
      </c>
      <c r="J1052" t="s">
        <v>14</v>
      </c>
    </row>
    <row r="1053" spans="1:10" x14ac:dyDescent="0.35">
      <c r="A1053" t="s">
        <v>2263</v>
      </c>
      <c r="B1053" t="s">
        <v>2255</v>
      </c>
      <c r="C1053" t="str">
        <f>TEXT(Table1[[#This Row],[Order_Date]],"mmm")</f>
        <v>Jul</v>
      </c>
      <c r="D1053" t="s">
        <v>2264</v>
      </c>
      <c r="E1053" t="s">
        <v>56</v>
      </c>
      <c r="F1053">
        <v>5</v>
      </c>
      <c r="G1053">
        <v>43503.65</v>
      </c>
      <c r="H1053">
        <v>217518.25</v>
      </c>
      <c r="I1053" t="s">
        <v>13</v>
      </c>
      <c r="J1053" t="s">
        <v>19</v>
      </c>
    </row>
    <row r="1054" spans="1:10" x14ac:dyDescent="0.35">
      <c r="A1054" t="s">
        <v>2265</v>
      </c>
      <c r="B1054" t="s">
        <v>2266</v>
      </c>
      <c r="C1054" t="str">
        <f>TEXT(Table1[[#This Row],[Order_Date]],"mmm")</f>
        <v>Jul</v>
      </c>
      <c r="D1054" t="s">
        <v>2267</v>
      </c>
      <c r="E1054" t="s">
        <v>56</v>
      </c>
      <c r="F1054">
        <v>5</v>
      </c>
      <c r="G1054">
        <v>9926.85</v>
      </c>
      <c r="H1054">
        <v>49634.25</v>
      </c>
      <c r="I1054" t="s">
        <v>18</v>
      </c>
      <c r="J1054" t="s">
        <v>24</v>
      </c>
    </row>
    <row r="1055" spans="1:10" x14ac:dyDescent="0.35">
      <c r="A1055" t="s">
        <v>2268</v>
      </c>
      <c r="B1055" t="s">
        <v>2266</v>
      </c>
      <c r="C1055" t="str">
        <f>TEXT(Table1[[#This Row],[Order_Date]],"mmm")</f>
        <v>Jul</v>
      </c>
      <c r="D1055" t="s">
        <v>2269</v>
      </c>
      <c r="E1055" t="s">
        <v>38</v>
      </c>
      <c r="F1055">
        <v>3</v>
      </c>
      <c r="G1055">
        <v>26676.92</v>
      </c>
      <c r="H1055">
        <v>80030.759999999995</v>
      </c>
      <c r="I1055" t="s">
        <v>18</v>
      </c>
      <c r="J1055" t="s">
        <v>35</v>
      </c>
    </row>
    <row r="1056" spans="1:10" x14ac:dyDescent="0.35">
      <c r="A1056" t="s">
        <v>2270</v>
      </c>
      <c r="B1056" t="s">
        <v>2266</v>
      </c>
      <c r="C1056" t="str">
        <f>TEXT(Table1[[#This Row],[Order_Date]],"mmm")</f>
        <v>Jul</v>
      </c>
      <c r="D1056" t="s">
        <v>2271</v>
      </c>
      <c r="E1056" t="s">
        <v>47</v>
      </c>
      <c r="F1056">
        <v>4</v>
      </c>
      <c r="G1056">
        <v>49575.199999999997</v>
      </c>
      <c r="H1056">
        <v>198300.79999999999</v>
      </c>
      <c r="I1056" t="s">
        <v>13</v>
      </c>
      <c r="J1056" t="s">
        <v>35</v>
      </c>
    </row>
    <row r="1057" spans="1:10" x14ac:dyDescent="0.35">
      <c r="A1057" t="s">
        <v>2272</v>
      </c>
      <c r="B1057" t="s">
        <v>2266</v>
      </c>
      <c r="C1057" t="str">
        <f>TEXT(Table1[[#This Row],[Order_Date]],"mmm")</f>
        <v>Jul</v>
      </c>
      <c r="D1057" t="s">
        <v>2273</v>
      </c>
      <c r="E1057" t="s">
        <v>72</v>
      </c>
      <c r="F1057">
        <v>5</v>
      </c>
      <c r="G1057">
        <v>46571.48</v>
      </c>
      <c r="H1057">
        <v>232857.4</v>
      </c>
      <c r="I1057" t="s">
        <v>18</v>
      </c>
      <c r="J1057" t="s">
        <v>24</v>
      </c>
    </row>
    <row r="1058" spans="1:10" x14ac:dyDescent="0.35">
      <c r="A1058" t="s">
        <v>2274</v>
      </c>
      <c r="B1058" t="s">
        <v>2266</v>
      </c>
      <c r="C1058" t="str">
        <f>TEXT(Table1[[#This Row],[Order_Date]],"mmm")</f>
        <v>Jul</v>
      </c>
      <c r="D1058" t="s">
        <v>2275</v>
      </c>
      <c r="E1058" t="s">
        <v>56</v>
      </c>
      <c r="F1058">
        <v>2</v>
      </c>
      <c r="G1058">
        <v>44803.06</v>
      </c>
      <c r="H1058">
        <v>89606.12</v>
      </c>
      <c r="I1058" t="s">
        <v>23</v>
      </c>
      <c r="J1058" t="s">
        <v>14</v>
      </c>
    </row>
    <row r="1059" spans="1:10" x14ac:dyDescent="0.35">
      <c r="A1059" t="s">
        <v>2276</v>
      </c>
      <c r="B1059" t="s">
        <v>2266</v>
      </c>
      <c r="C1059" t="str">
        <f>TEXT(Table1[[#This Row],[Order_Date]],"mmm")</f>
        <v>Jul</v>
      </c>
      <c r="D1059" t="s">
        <v>2277</v>
      </c>
      <c r="E1059" t="s">
        <v>38</v>
      </c>
      <c r="F1059">
        <v>4</v>
      </c>
      <c r="G1059">
        <v>48674.49</v>
      </c>
      <c r="H1059">
        <v>194697.96</v>
      </c>
      <c r="I1059" t="s">
        <v>18</v>
      </c>
      <c r="J1059" t="s">
        <v>35</v>
      </c>
    </row>
    <row r="1060" spans="1:10" x14ac:dyDescent="0.35">
      <c r="A1060" t="s">
        <v>2278</v>
      </c>
      <c r="B1060" t="s">
        <v>2266</v>
      </c>
      <c r="C1060" t="str">
        <f>TEXT(Table1[[#This Row],[Order_Date]],"mmm")</f>
        <v>Jul</v>
      </c>
      <c r="D1060" t="s">
        <v>2279</v>
      </c>
      <c r="E1060" t="s">
        <v>17</v>
      </c>
      <c r="F1060">
        <v>3</v>
      </c>
      <c r="G1060">
        <v>10708.99</v>
      </c>
      <c r="H1060">
        <v>32126.97</v>
      </c>
      <c r="I1060" t="s">
        <v>42</v>
      </c>
      <c r="J1060" t="s">
        <v>35</v>
      </c>
    </row>
    <row r="1061" spans="1:10" x14ac:dyDescent="0.35">
      <c r="A1061" t="s">
        <v>2280</v>
      </c>
      <c r="B1061" t="s">
        <v>2266</v>
      </c>
      <c r="C1061" t="str">
        <f>TEXT(Table1[[#This Row],[Order_Date]],"mmm")</f>
        <v>Jul</v>
      </c>
      <c r="D1061" t="s">
        <v>2281</v>
      </c>
      <c r="E1061" t="s">
        <v>47</v>
      </c>
      <c r="F1061">
        <v>2</v>
      </c>
      <c r="G1061">
        <v>35462.21</v>
      </c>
      <c r="H1061">
        <v>70924.42</v>
      </c>
      <c r="I1061" t="s">
        <v>42</v>
      </c>
      <c r="J1061" t="s">
        <v>35</v>
      </c>
    </row>
    <row r="1062" spans="1:10" x14ac:dyDescent="0.35">
      <c r="A1062" t="s">
        <v>2282</v>
      </c>
      <c r="B1062" t="s">
        <v>2283</v>
      </c>
      <c r="C1062" t="str">
        <f>TEXT(Table1[[#This Row],[Order_Date]],"mmm")</f>
        <v>Jul</v>
      </c>
      <c r="D1062" t="s">
        <v>2284</v>
      </c>
      <c r="E1062" t="s">
        <v>47</v>
      </c>
      <c r="F1062">
        <v>1</v>
      </c>
      <c r="G1062">
        <v>36787.370000000003</v>
      </c>
      <c r="H1062">
        <v>36787.370000000003</v>
      </c>
      <c r="I1062" t="s">
        <v>42</v>
      </c>
      <c r="J1062" t="s">
        <v>35</v>
      </c>
    </row>
    <row r="1063" spans="1:10" x14ac:dyDescent="0.35">
      <c r="A1063" t="s">
        <v>2285</v>
      </c>
      <c r="B1063" t="s">
        <v>2283</v>
      </c>
      <c r="C1063" t="str">
        <f>TEXT(Table1[[#This Row],[Order_Date]],"mmm")</f>
        <v>Jul</v>
      </c>
      <c r="D1063" t="s">
        <v>2286</v>
      </c>
      <c r="E1063" t="s">
        <v>75</v>
      </c>
      <c r="F1063">
        <v>5</v>
      </c>
      <c r="G1063">
        <v>6567.18</v>
      </c>
      <c r="H1063">
        <v>32835.9</v>
      </c>
      <c r="I1063" t="s">
        <v>23</v>
      </c>
      <c r="J1063" t="s">
        <v>19</v>
      </c>
    </row>
    <row r="1064" spans="1:10" x14ac:dyDescent="0.35">
      <c r="A1064" t="s">
        <v>2287</v>
      </c>
      <c r="B1064" t="s">
        <v>2283</v>
      </c>
      <c r="C1064" t="str">
        <f>TEXT(Table1[[#This Row],[Order_Date]],"mmm")</f>
        <v>Jul</v>
      </c>
      <c r="D1064" t="s">
        <v>2288</v>
      </c>
      <c r="E1064" t="s">
        <v>47</v>
      </c>
      <c r="F1064">
        <v>2</v>
      </c>
      <c r="G1064">
        <v>33686.75</v>
      </c>
      <c r="H1064">
        <v>67373.5</v>
      </c>
      <c r="I1064" t="s">
        <v>42</v>
      </c>
      <c r="J1064" t="s">
        <v>35</v>
      </c>
    </row>
    <row r="1065" spans="1:10" x14ac:dyDescent="0.35">
      <c r="A1065" t="s">
        <v>2289</v>
      </c>
      <c r="B1065" t="s">
        <v>2283</v>
      </c>
      <c r="C1065" t="str">
        <f>TEXT(Table1[[#This Row],[Order_Date]],"mmm")</f>
        <v>Jul</v>
      </c>
      <c r="D1065" t="s">
        <v>2290</v>
      </c>
      <c r="E1065" t="s">
        <v>38</v>
      </c>
      <c r="F1065">
        <v>3</v>
      </c>
      <c r="G1065">
        <v>6158.39</v>
      </c>
      <c r="H1065">
        <v>18475.169999999998</v>
      </c>
      <c r="I1065" t="s">
        <v>42</v>
      </c>
      <c r="J1065" t="s">
        <v>14</v>
      </c>
    </row>
    <row r="1066" spans="1:10" x14ac:dyDescent="0.35">
      <c r="A1066" t="s">
        <v>2291</v>
      </c>
      <c r="B1066" t="s">
        <v>2283</v>
      </c>
      <c r="C1066" t="str">
        <f>TEXT(Table1[[#This Row],[Order_Date]],"mmm")</f>
        <v>Jul</v>
      </c>
      <c r="D1066" t="s">
        <v>770</v>
      </c>
      <c r="E1066" t="s">
        <v>47</v>
      </c>
      <c r="F1066">
        <v>3</v>
      </c>
      <c r="G1066">
        <v>5071.8599999999997</v>
      </c>
      <c r="H1066">
        <v>15215.58</v>
      </c>
      <c r="I1066" t="s">
        <v>42</v>
      </c>
      <c r="J1066" t="s">
        <v>35</v>
      </c>
    </row>
    <row r="1067" spans="1:10" x14ac:dyDescent="0.35">
      <c r="A1067" t="s">
        <v>2292</v>
      </c>
      <c r="B1067" t="s">
        <v>2283</v>
      </c>
      <c r="C1067" t="str">
        <f>TEXT(Table1[[#This Row],[Order_Date]],"mmm")</f>
        <v>Jul</v>
      </c>
      <c r="D1067" t="s">
        <v>158</v>
      </c>
      <c r="E1067" t="s">
        <v>12</v>
      </c>
      <c r="F1067">
        <v>5</v>
      </c>
      <c r="G1067">
        <v>48734.62</v>
      </c>
      <c r="H1067">
        <v>243673.1</v>
      </c>
      <c r="I1067" t="s">
        <v>18</v>
      </c>
      <c r="J1067" t="s">
        <v>24</v>
      </c>
    </row>
    <row r="1068" spans="1:10" x14ac:dyDescent="0.35">
      <c r="A1068" t="s">
        <v>2293</v>
      </c>
      <c r="B1068" t="s">
        <v>2283</v>
      </c>
      <c r="C1068" t="str">
        <f>TEXT(Table1[[#This Row],[Order_Date]],"mmm")</f>
        <v>Jul</v>
      </c>
      <c r="D1068" t="s">
        <v>2294</v>
      </c>
      <c r="E1068" t="s">
        <v>75</v>
      </c>
      <c r="F1068">
        <v>4</v>
      </c>
      <c r="G1068">
        <v>24058.67</v>
      </c>
      <c r="H1068">
        <v>96234.68</v>
      </c>
      <c r="I1068" t="s">
        <v>13</v>
      </c>
      <c r="J1068" t="s">
        <v>24</v>
      </c>
    </row>
    <row r="1069" spans="1:10" x14ac:dyDescent="0.35">
      <c r="A1069" t="s">
        <v>2295</v>
      </c>
      <c r="B1069" t="s">
        <v>2283</v>
      </c>
      <c r="C1069" t="str">
        <f>TEXT(Table1[[#This Row],[Order_Date]],"mmm")</f>
        <v>Jul</v>
      </c>
      <c r="D1069" t="s">
        <v>2296</v>
      </c>
      <c r="E1069" t="s">
        <v>38</v>
      </c>
      <c r="F1069">
        <v>5</v>
      </c>
      <c r="G1069">
        <v>21025.02</v>
      </c>
      <c r="H1069">
        <v>105125.1</v>
      </c>
      <c r="I1069" t="s">
        <v>13</v>
      </c>
      <c r="J1069" t="s">
        <v>14</v>
      </c>
    </row>
    <row r="1070" spans="1:10" x14ac:dyDescent="0.35">
      <c r="A1070" t="s">
        <v>2297</v>
      </c>
      <c r="B1070" t="s">
        <v>2298</v>
      </c>
      <c r="C1070" t="str">
        <f>TEXT(Table1[[#This Row],[Order_Date]],"mmm")</f>
        <v>Jul</v>
      </c>
      <c r="D1070" t="s">
        <v>2299</v>
      </c>
      <c r="E1070" t="s">
        <v>12</v>
      </c>
      <c r="F1070">
        <v>2</v>
      </c>
      <c r="G1070">
        <v>37051.35</v>
      </c>
      <c r="H1070">
        <v>74102.7</v>
      </c>
      <c r="I1070" t="s">
        <v>23</v>
      </c>
      <c r="J1070" t="s">
        <v>35</v>
      </c>
    </row>
    <row r="1071" spans="1:10" x14ac:dyDescent="0.35">
      <c r="A1071" t="s">
        <v>2300</v>
      </c>
      <c r="B1071" t="s">
        <v>2298</v>
      </c>
      <c r="C1071" t="str">
        <f>TEXT(Table1[[#This Row],[Order_Date]],"mmm")</f>
        <v>Jul</v>
      </c>
      <c r="D1071" t="s">
        <v>2301</v>
      </c>
      <c r="E1071" t="s">
        <v>32</v>
      </c>
      <c r="F1071">
        <v>5</v>
      </c>
      <c r="G1071">
        <v>6812.43</v>
      </c>
      <c r="H1071">
        <v>34062.15</v>
      </c>
      <c r="I1071" t="s">
        <v>42</v>
      </c>
      <c r="J1071" t="s">
        <v>14</v>
      </c>
    </row>
    <row r="1072" spans="1:10" x14ac:dyDescent="0.35">
      <c r="A1072" t="s">
        <v>2302</v>
      </c>
      <c r="B1072" t="s">
        <v>2298</v>
      </c>
      <c r="C1072" t="str">
        <f>TEXT(Table1[[#This Row],[Order_Date]],"mmm")</f>
        <v>Jul</v>
      </c>
      <c r="D1072" t="s">
        <v>2303</v>
      </c>
      <c r="E1072" t="s">
        <v>12</v>
      </c>
      <c r="F1072">
        <v>4</v>
      </c>
      <c r="G1072">
        <v>3391.93</v>
      </c>
      <c r="H1072">
        <v>13567.72</v>
      </c>
      <c r="I1072" t="s">
        <v>23</v>
      </c>
      <c r="J1072" t="s">
        <v>19</v>
      </c>
    </row>
    <row r="1073" spans="1:10" x14ac:dyDescent="0.35">
      <c r="A1073" t="s">
        <v>2304</v>
      </c>
      <c r="B1073" t="s">
        <v>2298</v>
      </c>
      <c r="C1073" t="str">
        <f>TEXT(Table1[[#This Row],[Order_Date]],"mmm")</f>
        <v>Jul</v>
      </c>
      <c r="D1073" t="s">
        <v>2305</v>
      </c>
      <c r="E1073" t="s">
        <v>72</v>
      </c>
      <c r="F1073">
        <v>1</v>
      </c>
      <c r="G1073">
        <v>24979.49</v>
      </c>
      <c r="H1073">
        <v>24979.49</v>
      </c>
      <c r="I1073" t="s">
        <v>18</v>
      </c>
      <c r="J1073" t="s">
        <v>35</v>
      </c>
    </row>
    <row r="1074" spans="1:10" x14ac:dyDescent="0.35">
      <c r="A1074" t="s">
        <v>2306</v>
      </c>
      <c r="B1074" t="s">
        <v>2298</v>
      </c>
      <c r="C1074" t="str">
        <f>TEXT(Table1[[#This Row],[Order_Date]],"mmm")</f>
        <v>Jul</v>
      </c>
      <c r="D1074" t="s">
        <v>2307</v>
      </c>
      <c r="E1074" t="s">
        <v>38</v>
      </c>
      <c r="F1074">
        <v>2</v>
      </c>
      <c r="G1074">
        <v>13275.81</v>
      </c>
      <c r="H1074">
        <v>26551.62</v>
      </c>
      <c r="I1074" t="s">
        <v>23</v>
      </c>
      <c r="J1074" t="s">
        <v>24</v>
      </c>
    </row>
    <row r="1075" spans="1:10" x14ac:dyDescent="0.35">
      <c r="A1075" t="s">
        <v>2308</v>
      </c>
      <c r="B1075" t="s">
        <v>2309</v>
      </c>
      <c r="C1075" t="str">
        <f>TEXT(Table1[[#This Row],[Order_Date]],"mmm")</f>
        <v>Jul</v>
      </c>
      <c r="D1075" t="s">
        <v>2310</v>
      </c>
      <c r="E1075" t="s">
        <v>47</v>
      </c>
      <c r="F1075">
        <v>1</v>
      </c>
      <c r="G1075">
        <v>19558.84</v>
      </c>
      <c r="H1075">
        <v>19558.84</v>
      </c>
      <c r="I1075" t="s">
        <v>18</v>
      </c>
      <c r="J1075" t="s">
        <v>35</v>
      </c>
    </row>
    <row r="1076" spans="1:10" x14ac:dyDescent="0.35">
      <c r="A1076" t="s">
        <v>2311</v>
      </c>
      <c r="B1076" t="s">
        <v>2309</v>
      </c>
      <c r="C1076" t="str">
        <f>TEXT(Table1[[#This Row],[Order_Date]],"mmm")</f>
        <v>Jul</v>
      </c>
      <c r="D1076" t="s">
        <v>2312</v>
      </c>
      <c r="E1076" t="s">
        <v>53</v>
      </c>
      <c r="F1076">
        <v>1</v>
      </c>
      <c r="G1076">
        <v>46224.78</v>
      </c>
      <c r="H1076">
        <v>46224.78</v>
      </c>
      <c r="I1076" t="s">
        <v>18</v>
      </c>
      <c r="J1076" t="s">
        <v>19</v>
      </c>
    </row>
    <row r="1077" spans="1:10" x14ac:dyDescent="0.35">
      <c r="A1077" t="s">
        <v>2313</v>
      </c>
      <c r="B1077" t="s">
        <v>2309</v>
      </c>
      <c r="C1077" t="str">
        <f>TEXT(Table1[[#This Row],[Order_Date]],"mmm")</f>
        <v>Jul</v>
      </c>
      <c r="D1077" t="s">
        <v>2314</v>
      </c>
      <c r="E1077" t="s">
        <v>56</v>
      </c>
      <c r="F1077">
        <v>2</v>
      </c>
      <c r="G1077">
        <v>44553.99</v>
      </c>
      <c r="H1077">
        <v>89107.98</v>
      </c>
      <c r="I1077" t="s">
        <v>13</v>
      </c>
      <c r="J1077" t="s">
        <v>35</v>
      </c>
    </row>
    <row r="1078" spans="1:10" x14ac:dyDescent="0.35">
      <c r="A1078" t="s">
        <v>2315</v>
      </c>
      <c r="B1078" t="s">
        <v>2309</v>
      </c>
      <c r="C1078" t="str">
        <f>TEXT(Table1[[#This Row],[Order_Date]],"mmm")</f>
        <v>Jul</v>
      </c>
      <c r="D1078" t="s">
        <v>2316</v>
      </c>
      <c r="E1078" t="s">
        <v>32</v>
      </c>
      <c r="F1078">
        <v>3</v>
      </c>
      <c r="G1078">
        <v>32949.360000000001</v>
      </c>
      <c r="H1078">
        <v>98848.08</v>
      </c>
      <c r="I1078" t="s">
        <v>23</v>
      </c>
      <c r="J1078" t="s">
        <v>14</v>
      </c>
    </row>
    <row r="1079" spans="1:10" x14ac:dyDescent="0.35">
      <c r="A1079" t="s">
        <v>2317</v>
      </c>
      <c r="B1079" t="s">
        <v>2318</v>
      </c>
      <c r="C1079" t="str">
        <f>TEXT(Table1[[#This Row],[Order_Date]],"mmm")</f>
        <v>Jul</v>
      </c>
      <c r="D1079" t="s">
        <v>2269</v>
      </c>
      <c r="E1079" t="s">
        <v>53</v>
      </c>
      <c r="F1079">
        <v>1</v>
      </c>
      <c r="G1079">
        <v>27545.18</v>
      </c>
      <c r="H1079">
        <v>27545.18</v>
      </c>
      <c r="I1079" t="s">
        <v>13</v>
      </c>
      <c r="J1079" t="s">
        <v>35</v>
      </c>
    </row>
    <row r="1080" spans="1:10" x14ac:dyDescent="0.35">
      <c r="A1080" t="s">
        <v>2319</v>
      </c>
      <c r="B1080" t="s">
        <v>2318</v>
      </c>
      <c r="C1080" t="str">
        <f>TEXT(Table1[[#This Row],[Order_Date]],"mmm")</f>
        <v>Jul</v>
      </c>
      <c r="D1080" t="s">
        <v>2320</v>
      </c>
      <c r="E1080" t="s">
        <v>17</v>
      </c>
      <c r="F1080">
        <v>1</v>
      </c>
      <c r="G1080">
        <v>29712.1</v>
      </c>
      <c r="H1080">
        <v>29712.1</v>
      </c>
      <c r="I1080" t="s">
        <v>23</v>
      </c>
      <c r="J1080" t="s">
        <v>24</v>
      </c>
    </row>
    <row r="1081" spans="1:10" x14ac:dyDescent="0.35">
      <c r="A1081" t="s">
        <v>2321</v>
      </c>
      <c r="B1081" t="s">
        <v>2318</v>
      </c>
      <c r="C1081" t="str">
        <f>TEXT(Table1[[#This Row],[Order_Date]],"mmm")</f>
        <v>Jul</v>
      </c>
      <c r="D1081" t="s">
        <v>2085</v>
      </c>
      <c r="E1081" t="s">
        <v>17</v>
      </c>
      <c r="F1081">
        <v>5</v>
      </c>
      <c r="G1081">
        <v>30635.96</v>
      </c>
      <c r="H1081">
        <v>153179.79999999999</v>
      </c>
      <c r="I1081" t="s">
        <v>18</v>
      </c>
      <c r="J1081" t="s">
        <v>35</v>
      </c>
    </row>
    <row r="1082" spans="1:10" x14ac:dyDescent="0.35">
      <c r="A1082" t="s">
        <v>2322</v>
      </c>
      <c r="B1082" t="s">
        <v>2318</v>
      </c>
      <c r="C1082" t="str">
        <f>TEXT(Table1[[#This Row],[Order_Date]],"mmm")</f>
        <v>Jul</v>
      </c>
      <c r="D1082" t="s">
        <v>2323</v>
      </c>
      <c r="E1082" t="s">
        <v>22</v>
      </c>
      <c r="F1082">
        <v>2</v>
      </c>
      <c r="G1082">
        <v>6170.14</v>
      </c>
      <c r="H1082">
        <v>12340.28</v>
      </c>
      <c r="I1082" t="s">
        <v>13</v>
      </c>
      <c r="J1082" t="s">
        <v>35</v>
      </c>
    </row>
    <row r="1083" spans="1:10" x14ac:dyDescent="0.35">
      <c r="A1083" t="s">
        <v>2324</v>
      </c>
      <c r="B1083" t="s">
        <v>2318</v>
      </c>
      <c r="C1083" t="str">
        <f>TEXT(Table1[[#This Row],[Order_Date]],"mmm")</f>
        <v>Jul</v>
      </c>
      <c r="D1083" t="s">
        <v>2325</v>
      </c>
      <c r="E1083" t="s">
        <v>53</v>
      </c>
      <c r="F1083">
        <v>2</v>
      </c>
      <c r="G1083">
        <v>22203.21</v>
      </c>
      <c r="H1083">
        <v>44406.42</v>
      </c>
      <c r="I1083" t="s">
        <v>42</v>
      </c>
      <c r="J1083" t="s">
        <v>35</v>
      </c>
    </row>
    <row r="1084" spans="1:10" x14ac:dyDescent="0.35">
      <c r="A1084" t="s">
        <v>2326</v>
      </c>
      <c r="B1084" t="s">
        <v>2318</v>
      </c>
      <c r="C1084" t="str">
        <f>TEXT(Table1[[#This Row],[Order_Date]],"mmm")</f>
        <v>Jul</v>
      </c>
      <c r="D1084" t="s">
        <v>2327</v>
      </c>
      <c r="E1084" t="s">
        <v>17</v>
      </c>
      <c r="F1084">
        <v>3</v>
      </c>
      <c r="G1084">
        <v>21472.85</v>
      </c>
      <c r="H1084">
        <v>64418.55</v>
      </c>
      <c r="I1084" t="s">
        <v>13</v>
      </c>
      <c r="J1084" t="s">
        <v>19</v>
      </c>
    </row>
    <row r="1085" spans="1:10" x14ac:dyDescent="0.35">
      <c r="A1085" t="s">
        <v>2328</v>
      </c>
      <c r="B1085" t="s">
        <v>2318</v>
      </c>
      <c r="C1085" t="str">
        <f>TEXT(Table1[[#This Row],[Order_Date]],"mmm")</f>
        <v>Jul</v>
      </c>
      <c r="D1085" t="s">
        <v>2329</v>
      </c>
      <c r="E1085" t="s">
        <v>47</v>
      </c>
      <c r="F1085">
        <v>2</v>
      </c>
      <c r="G1085">
        <v>4491.7700000000004</v>
      </c>
      <c r="H1085">
        <v>8983.5400000000009</v>
      </c>
      <c r="I1085" t="s">
        <v>18</v>
      </c>
      <c r="J1085" t="s">
        <v>14</v>
      </c>
    </row>
    <row r="1086" spans="1:10" x14ac:dyDescent="0.35">
      <c r="A1086" t="s">
        <v>2330</v>
      </c>
      <c r="B1086" t="s">
        <v>2331</v>
      </c>
      <c r="C1086" t="str">
        <f>TEXT(Table1[[#This Row],[Order_Date]],"mmm")</f>
        <v>Jul</v>
      </c>
      <c r="D1086" t="s">
        <v>2332</v>
      </c>
      <c r="E1086" t="s">
        <v>22</v>
      </c>
      <c r="F1086">
        <v>1</v>
      </c>
      <c r="G1086">
        <v>46095.32</v>
      </c>
      <c r="H1086">
        <v>46095.32</v>
      </c>
      <c r="I1086" t="s">
        <v>23</v>
      </c>
      <c r="J1086" t="s">
        <v>24</v>
      </c>
    </row>
    <row r="1087" spans="1:10" x14ac:dyDescent="0.35">
      <c r="A1087" t="s">
        <v>2333</v>
      </c>
      <c r="B1087" t="s">
        <v>2331</v>
      </c>
      <c r="C1087" t="str">
        <f>TEXT(Table1[[#This Row],[Order_Date]],"mmm")</f>
        <v>Jul</v>
      </c>
      <c r="D1087" t="s">
        <v>1685</v>
      </c>
      <c r="E1087" t="s">
        <v>72</v>
      </c>
      <c r="F1087">
        <v>3</v>
      </c>
      <c r="G1087">
        <v>43592.53</v>
      </c>
      <c r="H1087">
        <v>130777.59</v>
      </c>
      <c r="I1087" t="s">
        <v>18</v>
      </c>
      <c r="J1087" t="s">
        <v>14</v>
      </c>
    </row>
    <row r="1088" spans="1:10" x14ac:dyDescent="0.35">
      <c r="A1088" t="s">
        <v>2334</v>
      </c>
      <c r="B1088" t="s">
        <v>2331</v>
      </c>
      <c r="C1088" t="str">
        <f>TEXT(Table1[[#This Row],[Order_Date]],"mmm")</f>
        <v>Jul</v>
      </c>
      <c r="D1088" t="s">
        <v>2335</v>
      </c>
      <c r="E1088" t="s">
        <v>12</v>
      </c>
      <c r="F1088">
        <v>1</v>
      </c>
      <c r="G1088">
        <v>45792.7</v>
      </c>
      <c r="H1088">
        <v>45792.7</v>
      </c>
      <c r="I1088" t="s">
        <v>13</v>
      </c>
      <c r="J1088" t="s">
        <v>24</v>
      </c>
    </row>
    <row r="1089" spans="1:10" x14ac:dyDescent="0.35">
      <c r="A1089" t="s">
        <v>2336</v>
      </c>
      <c r="B1089" t="s">
        <v>2331</v>
      </c>
      <c r="C1089" t="str">
        <f>TEXT(Table1[[#This Row],[Order_Date]],"mmm")</f>
        <v>Jul</v>
      </c>
      <c r="D1089" t="s">
        <v>2337</v>
      </c>
      <c r="E1089" t="s">
        <v>17</v>
      </c>
      <c r="F1089">
        <v>3</v>
      </c>
      <c r="G1089">
        <v>5205.7700000000004</v>
      </c>
      <c r="H1089">
        <v>15617.31</v>
      </c>
      <c r="I1089" t="s">
        <v>42</v>
      </c>
      <c r="J1089" t="s">
        <v>24</v>
      </c>
    </row>
    <row r="1090" spans="1:10" x14ac:dyDescent="0.35">
      <c r="A1090" t="s">
        <v>2338</v>
      </c>
      <c r="B1090" t="s">
        <v>2331</v>
      </c>
      <c r="C1090" t="str">
        <f>TEXT(Table1[[#This Row],[Order_Date]],"mmm")</f>
        <v>Jul</v>
      </c>
      <c r="D1090" t="s">
        <v>2339</v>
      </c>
      <c r="E1090" t="s">
        <v>38</v>
      </c>
      <c r="F1090">
        <v>3</v>
      </c>
      <c r="G1090">
        <v>15337.87</v>
      </c>
      <c r="H1090">
        <v>46013.61</v>
      </c>
      <c r="I1090" t="s">
        <v>18</v>
      </c>
      <c r="J1090" t="s">
        <v>35</v>
      </c>
    </row>
    <row r="1091" spans="1:10" x14ac:dyDescent="0.35">
      <c r="A1091" t="s">
        <v>2340</v>
      </c>
      <c r="B1091" t="s">
        <v>2341</v>
      </c>
      <c r="C1091" t="str">
        <f>TEXT(Table1[[#This Row],[Order_Date]],"mmm")</f>
        <v>Jul</v>
      </c>
      <c r="D1091" t="s">
        <v>2342</v>
      </c>
      <c r="E1091" t="s">
        <v>47</v>
      </c>
      <c r="F1091">
        <v>4</v>
      </c>
      <c r="G1091">
        <v>11964.89</v>
      </c>
      <c r="H1091">
        <v>47859.56</v>
      </c>
      <c r="I1091" t="s">
        <v>13</v>
      </c>
      <c r="J1091" t="s">
        <v>19</v>
      </c>
    </row>
    <row r="1092" spans="1:10" x14ac:dyDescent="0.35">
      <c r="A1092" t="s">
        <v>2343</v>
      </c>
      <c r="B1092" t="s">
        <v>2341</v>
      </c>
      <c r="C1092" t="str">
        <f>TEXT(Table1[[#This Row],[Order_Date]],"mmm")</f>
        <v>Jul</v>
      </c>
      <c r="D1092" t="s">
        <v>2344</v>
      </c>
      <c r="E1092" t="s">
        <v>47</v>
      </c>
      <c r="F1092">
        <v>2</v>
      </c>
      <c r="G1092">
        <v>1688.67</v>
      </c>
      <c r="H1092">
        <v>3377.34</v>
      </c>
      <c r="I1092" t="s">
        <v>42</v>
      </c>
      <c r="J1092" t="s">
        <v>19</v>
      </c>
    </row>
    <row r="1093" spans="1:10" x14ac:dyDescent="0.35">
      <c r="A1093" t="s">
        <v>2345</v>
      </c>
      <c r="B1093" t="s">
        <v>2341</v>
      </c>
      <c r="C1093" t="str">
        <f>TEXT(Table1[[#This Row],[Order_Date]],"mmm")</f>
        <v>Jul</v>
      </c>
      <c r="D1093" t="s">
        <v>2346</v>
      </c>
      <c r="E1093" t="s">
        <v>38</v>
      </c>
      <c r="F1093">
        <v>3</v>
      </c>
      <c r="G1093">
        <v>18595.43</v>
      </c>
      <c r="H1093">
        <v>55786.29</v>
      </c>
      <c r="I1093" t="s">
        <v>42</v>
      </c>
      <c r="J1093" t="s">
        <v>19</v>
      </c>
    </row>
    <row r="1094" spans="1:10" x14ac:dyDescent="0.35">
      <c r="A1094" t="s">
        <v>2347</v>
      </c>
      <c r="B1094" t="s">
        <v>2348</v>
      </c>
      <c r="C1094" t="str">
        <f>TEXT(Table1[[#This Row],[Order_Date]],"mmm")</f>
        <v>Jul</v>
      </c>
      <c r="D1094" t="s">
        <v>2349</v>
      </c>
      <c r="E1094" t="s">
        <v>32</v>
      </c>
      <c r="F1094">
        <v>4</v>
      </c>
      <c r="G1094">
        <v>47383.67</v>
      </c>
      <c r="H1094">
        <v>189534.68</v>
      </c>
      <c r="I1094" t="s">
        <v>18</v>
      </c>
      <c r="J1094" t="s">
        <v>19</v>
      </c>
    </row>
    <row r="1095" spans="1:10" x14ac:dyDescent="0.35">
      <c r="A1095" t="s">
        <v>2350</v>
      </c>
      <c r="B1095" t="s">
        <v>2348</v>
      </c>
      <c r="C1095" t="str">
        <f>TEXT(Table1[[#This Row],[Order_Date]],"mmm")</f>
        <v>Jul</v>
      </c>
      <c r="D1095" t="s">
        <v>2351</v>
      </c>
      <c r="E1095" t="s">
        <v>56</v>
      </c>
      <c r="F1095">
        <v>2</v>
      </c>
      <c r="G1095">
        <v>3024.43</v>
      </c>
      <c r="H1095">
        <v>6048.86</v>
      </c>
      <c r="I1095" t="s">
        <v>42</v>
      </c>
      <c r="J1095" t="s">
        <v>14</v>
      </c>
    </row>
    <row r="1096" spans="1:10" x14ac:dyDescent="0.35">
      <c r="A1096" t="s">
        <v>2352</v>
      </c>
      <c r="B1096" t="s">
        <v>2348</v>
      </c>
      <c r="C1096" t="str">
        <f>TEXT(Table1[[#This Row],[Order_Date]],"mmm")</f>
        <v>Jul</v>
      </c>
      <c r="D1096" t="s">
        <v>2353</v>
      </c>
      <c r="E1096" t="s">
        <v>47</v>
      </c>
      <c r="F1096">
        <v>2</v>
      </c>
      <c r="G1096">
        <v>43342.67</v>
      </c>
      <c r="H1096">
        <v>86685.34</v>
      </c>
      <c r="I1096" t="s">
        <v>23</v>
      </c>
      <c r="J1096" t="s">
        <v>35</v>
      </c>
    </row>
    <row r="1097" spans="1:10" x14ac:dyDescent="0.35">
      <c r="A1097" t="s">
        <v>2354</v>
      </c>
      <c r="B1097" t="s">
        <v>2348</v>
      </c>
      <c r="C1097" t="str">
        <f>TEXT(Table1[[#This Row],[Order_Date]],"mmm")</f>
        <v>Jul</v>
      </c>
      <c r="D1097" t="s">
        <v>1915</v>
      </c>
      <c r="E1097" t="s">
        <v>12</v>
      </c>
      <c r="F1097">
        <v>5</v>
      </c>
      <c r="G1097">
        <v>48234.74</v>
      </c>
      <c r="H1097">
        <v>241173.7</v>
      </c>
      <c r="I1097" t="s">
        <v>13</v>
      </c>
      <c r="J1097" t="s">
        <v>14</v>
      </c>
    </row>
    <row r="1098" spans="1:10" x14ac:dyDescent="0.35">
      <c r="A1098" t="s">
        <v>2355</v>
      </c>
      <c r="B1098" t="s">
        <v>2348</v>
      </c>
      <c r="C1098" t="str">
        <f>TEXT(Table1[[#This Row],[Order_Date]],"mmm")</f>
        <v>Jul</v>
      </c>
      <c r="D1098" t="s">
        <v>1200</v>
      </c>
      <c r="E1098" t="s">
        <v>75</v>
      </c>
      <c r="F1098">
        <v>4</v>
      </c>
      <c r="G1098">
        <v>41821.83</v>
      </c>
      <c r="H1098">
        <v>167287.32</v>
      </c>
      <c r="I1098" t="s">
        <v>23</v>
      </c>
      <c r="J1098" t="s">
        <v>19</v>
      </c>
    </row>
    <row r="1099" spans="1:10" x14ac:dyDescent="0.35">
      <c r="A1099" t="s">
        <v>2356</v>
      </c>
      <c r="B1099" t="s">
        <v>2348</v>
      </c>
      <c r="C1099" t="str">
        <f>TEXT(Table1[[#This Row],[Order_Date]],"mmm")</f>
        <v>Jul</v>
      </c>
      <c r="D1099" t="s">
        <v>2357</v>
      </c>
      <c r="E1099" t="s">
        <v>47</v>
      </c>
      <c r="F1099">
        <v>5</v>
      </c>
      <c r="G1099">
        <v>10225.82</v>
      </c>
      <c r="H1099">
        <v>51129.1</v>
      </c>
      <c r="I1099" t="s">
        <v>42</v>
      </c>
      <c r="J1099" t="s">
        <v>35</v>
      </c>
    </row>
    <row r="1100" spans="1:10" x14ac:dyDescent="0.35">
      <c r="A1100" t="s">
        <v>2358</v>
      </c>
      <c r="B1100" t="s">
        <v>2359</v>
      </c>
      <c r="C1100" t="str">
        <f>TEXT(Table1[[#This Row],[Order_Date]],"mmm")</f>
        <v>Jul</v>
      </c>
      <c r="D1100" t="s">
        <v>2360</v>
      </c>
      <c r="E1100" t="s">
        <v>22</v>
      </c>
      <c r="F1100">
        <v>2</v>
      </c>
      <c r="G1100">
        <v>8721.6299999999992</v>
      </c>
      <c r="H1100">
        <v>17443.259999999998</v>
      </c>
      <c r="I1100" t="s">
        <v>13</v>
      </c>
      <c r="J1100" t="s">
        <v>19</v>
      </c>
    </row>
    <row r="1101" spans="1:10" x14ac:dyDescent="0.35">
      <c r="A1101" t="s">
        <v>2361</v>
      </c>
      <c r="B1101" t="s">
        <v>2359</v>
      </c>
      <c r="C1101" t="str">
        <f>TEXT(Table1[[#This Row],[Order_Date]],"mmm")</f>
        <v>Jul</v>
      </c>
      <c r="D1101" t="s">
        <v>2362</v>
      </c>
      <c r="E1101" t="s">
        <v>47</v>
      </c>
      <c r="F1101">
        <v>5</v>
      </c>
      <c r="G1101">
        <v>34950.28</v>
      </c>
      <c r="H1101">
        <v>174751.4</v>
      </c>
      <c r="I1101" t="s">
        <v>18</v>
      </c>
      <c r="J1101" t="s">
        <v>14</v>
      </c>
    </row>
    <row r="1102" spans="1:10" x14ac:dyDescent="0.35">
      <c r="A1102" t="s">
        <v>2363</v>
      </c>
      <c r="B1102" t="s">
        <v>2359</v>
      </c>
      <c r="C1102" t="str">
        <f>TEXT(Table1[[#This Row],[Order_Date]],"mmm")</f>
        <v>Jul</v>
      </c>
      <c r="D1102" t="s">
        <v>2364</v>
      </c>
      <c r="E1102" t="s">
        <v>17</v>
      </c>
      <c r="F1102">
        <v>3</v>
      </c>
      <c r="G1102">
        <v>10900.17</v>
      </c>
      <c r="H1102">
        <v>32700.51</v>
      </c>
      <c r="I1102" t="s">
        <v>23</v>
      </c>
      <c r="J1102" t="s">
        <v>24</v>
      </c>
    </row>
    <row r="1103" spans="1:10" x14ac:dyDescent="0.35">
      <c r="A1103" t="s">
        <v>2365</v>
      </c>
      <c r="B1103" t="s">
        <v>2359</v>
      </c>
      <c r="C1103" t="str">
        <f>TEXT(Table1[[#This Row],[Order_Date]],"mmm")</f>
        <v>Jul</v>
      </c>
      <c r="D1103" t="s">
        <v>2185</v>
      </c>
      <c r="E1103" t="s">
        <v>17</v>
      </c>
      <c r="F1103">
        <v>2</v>
      </c>
      <c r="G1103">
        <v>30871.43</v>
      </c>
      <c r="H1103">
        <v>61742.86</v>
      </c>
      <c r="I1103" t="s">
        <v>13</v>
      </c>
      <c r="J1103" t="s">
        <v>19</v>
      </c>
    </row>
    <row r="1104" spans="1:10" x14ac:dyDescent="0.35">
      <c r="A1104" t="s">
        <v>2366</v>
      </c>
      <c r="B1104" t="s">
        <v>2359</v>
      </c>
      <c r="C1104" t="str">
        <f>TEXT(Table1[[#This Row],[Order_Date]],"mmm")</f>
        <v>Jul</v>
      </c>
      <c r="D1104" t="s">
        <v>2367</v>
      </c>
      <c r="E1104" t="s">
        <v>17</v>
      </c>
      <c r="F1104">
        <v>2</v>
      </c>
      <c r="G1104">
        <v>32007.42</v>
      </c>
      <c r="H1104">
        <v>64014.84</v>
      </c>
      <c r="I1104" t="s">
        <v>18</v>
      </c>
      <c r="J1104" t="s">
        <v>35</v>
      </c>
    </row>
    <row r="1105" spans="1:10" x14ac:dyDescent="0.35">
      <c r="A1105" t="s">
        <v>2368</v>
      </c>
      <c r="B1105" t="s">
        <v>2359</v>
      </c>
      <c r="C1105" t="str">
        <f>TEXT(Table1[[#This Row],[Order_Date]],"mmm")</f>
        <v>Jul</v>
      </c>
      <c r="D1105" t="s">
        <v>1111</v>
      </c>
      <c r="E1105" t="s">
        <v>47</v>
      </c>
      <c r="F1105">
        <v>4</v>
      </c>
      <c r="G1105">
        <v>10785.03</v>
      </c>
      <c r="H1105">
        <v>43140.12</v>
      </c>
      <c r="I1105" t="s">
        <v>23</v>
      </c>
      <c r="J1105" t="s">
        <v>19</v>
      </c>
    </row>
    <row r="1106" spans="1:10" x14ac:dyDescent="0.35">
      <c r="A1106" t="s">
        <v>2369</v>
      </c>
      <c r="B1106" t="s">
        <v>2370</v>
      </c>
      <c r="C1106" t="str">
        <f>TEXT(Table1[[#This Row],[Order_Date]],"mmm")</f>
        <v>Jul</v>
      </c>
      <c r="D1106" t="s">
        <v>2371</v>
      </c>
      <c r="E1106" t="s">
        <v>38</v>
      </c>
      <c r="F1106">
        <v>3</v>
      </c>
      <c r="G1106">
        <v>34328.449999999997</v>
      </c>
      <c r="H1106">
        <v>102985.35</v>
      </c>
      <c r="I1106" t="s">
        <v>23</v>
      </c>
      <c r="J1106" t="s">
        <v>24</v>
      </c>
    </row>
    <row r="1107" spans="1:10" x14ac:dyDescent="0.35">
      <c r="A1107" t="s">
        <v>2372</v>
      </c>
      <c r="B1107" t="s">
        <v>2370</v>
      </c>
      <c r="C1107" t="str">
        <f>TEXT(Table1[[#This Row],[Order_Date]],"mmm")</f>
        <v>Jul</v>
      </c>
      <c r="D1107" t="s">
        <v>2373</v>
      </c>
      <c r="E1107" t="s">
        <v>32</v>
      </c>
      <c r="F1107">
        <v>5</v>
      </c>
      <c r="G1107">
        <v>635.59</v>
      </c>
      <c r="H1107">
        <v>3177.95</v>
      </c>
      <c r="I1107" t="s">
        <v>13</v>
      </c>
      <c r="J1107" t="s">
        <v>19</v>
      </c>
    </row>
    <row r="1108" spans="1:10" x14ac:dyDescent="0.35">
      <c r="A1108" t="s">
        <v>2374</v>
      </c>
      <c r="B1108" t="s">
        <v>2370</v>
      </c>
      <c r="C1108" t="str">
        <f>TEXT(Table1[[#This Row],[Order_Date]],"mmm")</f>
        <v>Jul</v>
      </c>
      <c r="D1108" t="s">
        <v>2375</v>
      </c>
      <c r="E1108" t="s">
        <v>32</v>
      </c>
      <c r="F1108">
        <v>5</v>
      </c>
      <c r="G1108">
        <v>10318.540000000001</v>
      </c>
      <c r="H1108">
        <v>51592.7</v>
      </c>
      <c r="I1108" t="s">
        <v>18</v>
      </c>
      <c r="J1108" t="s">
        <v>14</v>
      </c>
    </row>
    <row r="1109" spans="1:10" x14ac:dyDescent="0.35">
      <c r="A1109" t="s">
        <v>2376</v>
      </c>
      <c r="B1109" t="s">
        <v>2370</v>
      </c>
      <c r="C1109" t="str">
        <f>TEXT(Table1[[#This Row],[Order_Date]],"mmm")</f>
        <v>Jul</v>
      </c>
      <c r="D1109" t="s">
        <v>2377</v>
      </c>
      <c r="E1109" t="s">
        <v>47</v>
      </c>
      <c r="F1109">
        <v>5</v>
      </c>
      <c r="G1109">
        <v>13784.06</v>
      </c>
      <c r="H1109">
        <v>68920.3</v>
      </c>
      <c r="I1109" t="s">
        <v>42</v>
      </c>
      <c r="J1109" t="s">
        <v>35</v>
      </c>
    </row>
    <row r="1110" spans="1:10" x14ac:dyDescent="0.35">
      <c r="A1110" t="s">
        <v>2378</v>
      </c>
      <c r="B1110" t="s">
        <v>2370</v>
      </c>
      <c r="C1110" t="str">
        <f>TEXT(Table1[[#This Row],[Order_Date]],"mmm")</f>
        <v>Jul</v>
      </c>
      <c r="D1110" t="s">
        <v>2379</v>
      </c>
      <c r="E1110" t="s">
        <v>47</v>
      </c>
      <c r="F1110">
        <v>5</v>
      </c>
      <c r="G1110">
        <v>35359.26</v>
      </c>
      <c r="H1110">
        <v>176796.3</v>
      </c>
      <c r="I1110" t="s">
        <v>13</v>
      </c>
      <c r="J1110" t="s">
        <v>35</v>
      </c>
    </row>
    <row r="1111" spans="1:10" x14ac:dyDescent="0.35">
      <c r="A1111" t="s">
        <v>2380</v>
      </c>
      <c r="B1111" t="s">
        <v>2370</v>
      </c>
      <c r="C1111" t="str">
        <f>TEXT(Table1[[#This Row],[Order_Date]],"mmm")</f>
        <v>Jul</v>
      </c>
      <c r="D1111" t="s">
        <v>2381</v>
      </c>
      <c r="E1111" t="s">
        <v>47</v>
      </c>
      <c r="F1111">
        <v>1</v>
      </c>
      <c r="G1111">
        <v>21547.8</v>
      </c>
      <c r="H1111">
        <v>21547.8</v>
      </c>
      <c r="I1111" t="s">
        <v>42</v>
      </c>
      <c r="J1111" t="s">
        <v>24</v>
      </c>
    </row>
    <row r="1112" spans="1:10" x14ac:dyDescent="0.35">
      <c r="A1112" t="s">
        <v>2382</v>
      </c>
      <c r="B1112" t="s">
        <v>2383</v>
      </c>
      <c r="C1112" t="str">
        <f>TEXT(Table1[[#This Row],[Order_Date]],"mmm")</f>
        <v>Jul</v>
      </c>
      <c r="D1112" t="s">
        <v>2384</v>
      </c>
      <c r="E1112" t="s">
        <v>75</v>
      </c>
      <c r="F1112">
        <v>1</v>
      </c>
      <c r="G1112">
        <v>32028.04</v>
      </c>
      <c r="H1112">
        <v>32028.04</v>
      </c>
      <c r="I1112" t="s">
        <v>18</v>
      </c>
      <c r="J1112" t="s">
        <v>24</v>
      </c>
    </row>
    <row r="1113" spans="1:10" x14ac:dyDescent="0.35">
      <c r="A1113" t="s">
        <v>2385</v>
      </c>
      <c r="B1113" t="s">
        <v>2383</v>
      </c>
      <c r="C1113" t="str">
        <f>TEXT(Table1[[#This Row],[Order_Date]],"mmm")</f>
        <v>Jul</v>
      </c>
      <c r="D1113" t="s">
        <v>448</v>
      </c>
      <c r="E1113" t="s">
        <v>17</v>
      </c>
      <c r="F1113">
        <v>4</v>
      </c>
      <c r="G1113">
        <v>18208.2</v>
      </c>
      <c r="H1113">
        <v>72832.800000000003</v>
      </c>
      <c r="I1113" t="s">
        <v>18</v>
      </c>
      <c r="J1113" t="s">
        <v>19</v>
      </c>
    </row>
    <row r="1114" spans="1:10" x14ac:dyDescent="0.35">
      <c r="A1114" t="s">
        <v>2386</v>
      </c>
      <c r="B1114" t="s">
        <v>2383</v>
      </c>
      <c r="C1114" t="str">
        <f>TEXT(Table1[[#This Row],[Order_Date]],"mmm")</f>
        <v>Jul</v>
      </c>
      <c r="D1114" t="s">
        <v>978</v>
      </c>
      <c r="E1114" t="s">
        <v>75</v>
      </c>
      <c r="F1114">
        <v>1</v>
      </c>
      <c r="G1114">
        <v>14100.54</v>
      </c>
      <c r="H1114">
        <v>14100.54</v>
      </c>
      <c r="I1114" t="s">
        <v>23</v>
      </c>
      <c r="J1114" t="s">
        <v>19</v>
      </c>
    </row>
    <row r="1115" spans="1:10" x14ac:dyDescent="0.35">
      <c r="A1115" t="s">
        <v>2387</v>
      </c>
      <c r="B1115" t="s">
        <v>2383</v>
      </c>
      <c r="C1115" t="str">
        <f>TEXT(Table1[[#This Row],[Order_Date]],"mmm")</f>
        <v>Jul</v>
      </c>
      <c r="D1115" t="s">
        <v>441</v>
      </c>
      <c r="E1115" t="s">
        <v>75</v>
      </c>
      <c r="F1115">
        <v>1</v>
      </c>
      <c r="G1115">
        <v>6657.11</v>
      </c>
      <c r="H1115">
        <v>6657.11</v>
      </c>
      <c r="I1115" t="s">
        <v>18</v>
      </c>
      <c r="J1115" t="s">
        <v>35</v>
      </c>
    </row>
    <row r="1116" spans="1:10" x14ac:dyDescent="0.35">
      <c r="A1116" t="s">
        <v>2388</v>
      </c>
      <c r="B1116" t="s">
        <v>2383</v>
      </c>
      <c r="C1116" t="str">
        <f>TEXT(Table1[[#This Row],[Order_Date]],"mmm")</f>
        <v>Jul</v>
      </c>
      <c r="D1116" t="s">
        <v>1931</v>
      </c>
      <c r="E1116" t="s">
        <v>53</v>
      </c>
      <c r="F1116">
        <v>5</v>
      </c>
      <c r="G1116">
        <v>10260.790000000001</v>
      </c>
      <c r="H1116">
        <v>51303.95</v>
      </c>
      <c r="I1116" t="s">
        <v>42</v>
      </c>
      <c r="J1116" t="s">
        <v>24</v>
      </c>
    </row>
    <row r="1117" spans="1:10" x14ac:dyDescent="0.35">
      <c r="A1117" t="s">
        <v>2389</v>
      </c>
      <c r="B1117" t="s">
        <v>2383</v>
      </c>
      <c r="C1117" t="str">
        <f>TEXT(Table1[[#This Row],[Order_Date]],"mmm")</f>
        <v>Jul</v>
      </c>
      <c r="D1117" t="s">
        <v>2390</v>
      </c>
      <c r="E1117" t="s">
        <v>75</v>
      </c>
      <c r="F1117">
        <v>4</v>
      </c>
      <c r="G1117">
        <v>21592.51</v>
      </c>
      <c r="H1117">
        <v>86370.04</v>
      </c>
      <c r="I1117" t="s">
        <v>18</v>
      </c>
      <c r="J1117" t="s">
        <v>19</v>
      </c>
    </row>
    <row r="1118" spans="1:10" x14ac:dyDescent="0.35">
      <c r="A1118" t="s">
        <v>2391</v>
      </c>
      <c r="B1118" t="s">
        <v>2383</v>
      </c>
      <c r="C1118" t="str">
        <f>TEXT(Table1[[#This Row],[Order_Date]],"mmm")</f>
        <v>Jul</v>
      </c>
      <c r="D1118" t="s">
        <v>2392</v>
      </c>
      <c r="E1118" t="s">
        <v>53</v>
      </c>
      <c r="F1118">
        <v>4</v>
      </c>
      <c r="G1118">
        <v>36009.519999999997</v>
      </c>
      <c r="H1118">
        <v>144038.07999999999</v>
      </c>
      <c r="I1118" t="s">
        <v>18</v>
      </c>
      <c r="J1118" t="s">
        <v>35</v>
      </c>
    </row>
    <row r="1119" spans="1:10" x14ac:dyDescent="0.35">
      <c r="A1119" t="s">
        <v>2393</v>
      </c>
      <c r="B1119" t="s">
        <v>2394</v>
      </c>
      <c r="C1119" t="str">
        <f>TEXT(Table1[[#This Row],[Order_Date]],"mmm")</f>
        <v>Jul</v>
      </c>
      <c r="D1119" t="s">
        <v>2395</v>
      </c>
      <c r="E1119" t="s">
        <v>32</v>
      </c>
      <c r="F1119">
        <v>3</v>
      </c>
      <c r="G1119">
        <v>45943.28</v>
      </c>
      <c r="H1119">
        <v>137829.84</v>
      </c>
      <c r="I1119" t="s">
        <v>13</v>
      </c>
      <c r="J1119" t="s">
        <v>14</v>
      </c>
    </row>
    <row r="1120" spans="1:10" x14ac:dyDescent="0.35">
      <c r="A1120" t="s">
        <v>2396</v>
      </c>
      <c r="B1120" t="s">
        <v>2394</v>
      </c>
      <c r="C1120" t="str">
        <f>TEXT(Table1[[#This Row],[Order_Date]],"mmm")</f>
        <v>Jul</v>
      </c>
      <c r="D1120" t="s">
        <v>2397</v>
      </c>
      <c r="E1120" t="s">
        <v>12</v>
      </c>
      <c r="F1120">
        <v>5</v>
      </c>
      <c r="G1120">
        <v>46495.45</v>
      </c>
      <c r="H1120">
        <v>232477.25</v>
      </c>
      <c r="I1120" t="s">
        <v>42</v>
      </c>
      <c r="J1120" t="s">
        <v>19</v>
      </c>
    </row>
    <row r="1121" spans="1:10" x14ac:dyDescent="0.35">
      <c r="A1121" t="s">
        <v>2398</v>
      </c>
      <c r="B1121" t="s">
        <v>2394</v>
      </c>
      <c r="C1121" t="str">
        <f>TEXT(Table1[[#This Row],[Order_Date]],"mmm")</f>
        <v>Jul</v>
      </c>
      <c r="D1121" t="s">
        <v>2399</v>
      </c>
      <c r="E1121" t="s">
        <v>12</v>
      </c>
      <c r="F1121">
        <v>3</v>
      </c>
      <c r="G1121">
        <v>31729.89</v>
      </c>
      <c r="H1121">
        <v>95189.67</v>
      </c>
      <c r="I1121" t="s">
        <v>23</v>
      </c>
      <c r="J1121" t="s">
        <v>35</v>
      </c>
    </row>
    <row r="1122" spans="1:10" x14ac:dyDescent="0.35">
      <c r="A1122" t="s">
        <v>2400</v>
      </c>
      <c r="B1122" t="s">
        <v>2394</v>
      </c>
      <c r="C1122" t="str">
        <f>TEXT(Table1[[#This Row],[Order_Date]],"mmm")</f>
        <v>Jul</v>
      </c>
      <c r="D1122" t="s">
        <v>2401</v>
      </c>
      <c r="E1122" t="s">
        <v>75</v>
      </c>
      <c r="F1122">
        <v>4</v>
      </c>
      <c r="G1122">
        <v>4407.51</v>
      </c>
      <c r="H1122">
        <v>17630.04</v>
      </c>
      <c r="I1122" t="s">
        <v>13</v>
      </c>
      <c r="J1122" t="s">
        <v>14</v>
      </c>
    </row>
    <row r="1123" spans="1:10" x14ac:dyDescent="0.35">
      <c r="A1123" t="s">
        <v>2402</v>
      </c>
      <c r="B1123" t="s">
        <v>2394</v>
      </c>
      <c r="C1123" t="str">
        <f>TEXT(Table1[[#This Row],[Order_Date]],"mmm")</f>
        <v>Jul</v>
      </c>
      <c r="D1123" t="s">
        <v>2403</v>
      </c>
      <c r="E1123" t="s">
        <v>75</v>
      </c>
      <c r="F1123">
        <v>4</v>
      </c>
      <c r="G1123">
        <v>49531.68</v>
      </c>
      <c r="H1123">
        <v>198126.72</v>
      </c>
      <c r="I1123" t="s">
        <v>42</v>
      </c>
      <c r="J1123" t="s">
        <v>24</v>
      </c>
    </row>
    <row r="1124" spans="1:10" x14ac:dyDescent="0.35">
      <c r="A1124" t="s">
        <v>2404</v>
      </c>
      <c r="B1124" t="s">
        <v>2394</v>
      </c>
      <c r="C1124" t="str">
        <f>TEXT(Table1[[#This Row],[Order_Date]],"mmm")</f>
        <v>Jul</v>
      </c>
      <c r="D1124" t="s">
        <v>2405</v>
      </c>
      <c r="E1124" t="s">
        <v>53</v>
      </c>
      <c r="F1124">
        <v>5</v>
      </c>
      <c r="G1124">
        <v>36791.410000000003</v>
      </c>
      <c r="H1124">
        <v>183957.05</v>
      </c>
      <c r="I1124" t="s">
        <v>13</v>
      </c>
      <c r="J1124" t="s">
        <v>24</v>
      </c>
    </row>
    <row r="1125" spans="1:10" x14ac:dyDescent="0.35">
      <c r="A1125" t="s">
        <v>2406</v>
      </c>
      <c r="B1125" t="s">
        <v>2394</v>
      </c>
      <c r="C1125" t="str">
        <f>TEXT(Table1[[#This Row],[Order_Date]],"mmm")</f>
        <v>Jul</v>
      </c>
      <c r="D1125" t="s">
        <v>2407</v>
      </c>
      <c r="E1125" t="s">
        <v>22</v>
      </c>
      <c r="F1125">
        <v>2</v>
      </c>
      <c r="G1125">
        <v>826</v>
      </c>
      <c r="H1125">
        <v>1652</v>
      </c>
      <c r="I1125" t="s">
        <v>18</v>
      </c>
      <c r="J1125" t="s">
        <v>19</v>
      </c>
    </row>
    <row r="1126" spans="1:10" x14ac:dyDescent="0.35">
      <c r="A1126" t="s">
        <v>2408</v>
      </c>
      <c r="B1126" t="s">
        <v>2409</v>
      </c>
      <c r="C1126" t="str">
        <f>TEXT(Table1[[#This Row],[Order_Date]],"mmm")</f>
        <v>Jul</v>
      </c>
      <c r="D1126" t="s">
        <v>1830</v>
      </c>
      <c r="E1126" t="s">
        <v>22</v>
      </c>
      <c r="F1126">
        <v>5</v>
      </c>
      <c r="G1126">
        <v>20530.72</v>
      </c>
      <c r="H1126">
        <v>102653.6</v>
      </c>
      <c r="I1126" t="s">
        <v>23</v>
      </c>
      <c r="J1126" t="s">
        <v>24</v>
      </c>
    </row>
    <row r="1127" spans="1:10" x14ac:dyDescent="0.35">
      <c r="A1127" t="s">
        <v>2410</v>
      </c>
      <c r="B1127" t="s">
        <v>2409</v>
      </c>
      <c r="C1127" t="str">
        <f>TEXT(Table1[[#This Row],[Order_Date]],"mmm")</f>
        <v>Jul</v>
      </c>
      <c r="D1127" t="s">
        <v>2411</v>
      </c>
      <c r="E1127" t="s">
        <v>12</v>
      </c>
      <c r="F1127">
        <v>3</v>
      </c>
      <c r="G1127">
        <v>45281.29</v>
      </c>
      <c r="H1127">
        <v>135843.87</v>
      </c>
      <c r="I1127" t="s">
        <v>42</v>
      </c>
      <c r="J1127" t="s">
        <v>19</v>
      </c>
    </row>
    <row r="1128" spans="1:10" x14ac:dyDescent="0.35">
      <c r="A1128" t="s">
        <v>2412</v>
      </c>
      <c r="B1128" t="s">
        <v>2409</v>
      </c>
      <c r="C1128" t="str">
        <f>TEXT(Table1[[#This Row],[Order_Date]],"mmm")</f>
        <v>Jul</v>
      </c>
      <c r="D1128" t="s">
        <v>2413</v>
      </c>
      <c r="E1128" t="s">
        <v>75</v>
      </c>
      <c r="F1128">
        <v>3</v>
      </c>
      <c r="G1128">
        <v>7532.83</v>
      </c>
      <c r="H1128">
        <v>22598.49</v>
      </c>
      <c r="I1128" t="s">
        <v>18</v>
      </c>
      <c r="J1128" t="s">
        <v>19</v>
      </c>
    </row>
    <row r="1129" spans="1:10" x14ac:dyDescent="0.35">
      <c r="A1129" t="s">
        <v>2414</v>
      </c>
      <c r="B1129" t="s">
        <v>2409</v>
      </c>
      <c r="C1129" t="str">
        <f>TEXT(Table1[[#This Row],[Order_Date]],"mmm")</f>
        <v>Jul</v>
      </c>
      <c r="D1129" t="s">
        <v>2415</v>
      </c>
      <c r="E1129" t="s">
        <v>12</v>
      </c>
      <c r="F1129">
        <v>2</v>
      </c>
      <c r="G1129">
        <v>14038.31</v>
      </c>
      <c r="H1129">
        <v>28076.62</v>
      </c>
      <c r="I1129" t="s">
        <v>23</v>
      </c>
      <c r="J1129" t="s">
        <v>14</v>
      </c>
    </row>
    <row r="1130" spans="1:10" x14ac:dyDescent="0.35">
      <c r="A1130" t="s">
        <v>2416</v>
      </c>
      <c r="B1130" t="s">
        <v>2409</v>
      </c>
      <c r="C1130" t="str">
        <f>TEXT(Table1[[#This Row],[Order_Date]],"mmm")</f>
        <v>Jul</v>
      </c>
      <c r="D1130" t="s">
        <v>2417</v>
      </c>
      <c r="E1130" t="s">
        <v>22</v>
      </c>
      <c r="F1130">
        <v>4</v>
      </c>
      <c r="G1130">
        <v>15992.04</v>
      </c>
      <c r="H1130">
        <v>63968.160000000003</v>
      </c>
      <c r="I1130" t="s">
        <v>42</v>
      </c>
      <c r="J1130" t="s">
        <v>35</v>
      </c>
    </row>
    <row r="1131" spans="1:10" x14ac:dyDescent="0.35">
      <c r="A1131" t="s">
        <v>2418</v>
      </c>
      <c r="B1131" t="s">
        <v>2409</v>
      </c>
      <c r="C1131" t="str">
        <f>TEXT(Table1[[#This Row],[Order_Date]],"mmm")</f>
        <v>Jul</v>
      </c>
      <c r="D1131" t="s">
        <v>2419</v>
      </c>
      <c r="E1131" t="s">
        <v>47</v>
      </c>
      <c r="F1131">
        <v>5</v>
      </c>
      <c r="G1131">
        <v>45032.29</v>
      </c>
      <c r="H1131">
        <v>225161.45</v>
      </c>
      <c r="I1131" t="s">
        <v>18</v>
      </c>
      <c r="J1131" t="s">
        <v>14</v>
      </c>
    </row>
    <row r="1132" spans="1:10" x14ac:dyDescent="0.35">
      <c r="A1132" t="s">
        <v>2420</v>
      </c>
      <c r="B1132" t="s">
        <v>2409</v>
      </c>
      <c r="C1132" t="str">
        <f>TEXT(Table1[[#This Row],[Order_Date]],"mmm")</f>
        <v>Jul</v>
      </c>
      <c r="D1132" t="s">
        <v>1432</v>
      </c>
      <c r="E1132" t="s">
        <v>12</v>
      </c>
      <c r="F1132">
        <v>5</v>
      </c>
      <c r="G1132">
        <v>19711.18</v>
      </c>
      <c r="H1132">
        <v>98555.9</v>
      </c>
      <c r="I1132" t="s">
        <v>23</v>
      </c>
      <c r="J1132" t="s">
        <v>35</v>
      </c>
    </row>
    <row r="1133" spans="1:10" x14ac:dyDescent="0.35">
      <c r="A1133" t="s">
        <v>2421</v>
      </c>
      <c r="B1133" t="s">
        <v>2409</v>
      </c>
      <c r="C1133" t="str">
        <f>TEXT(Table1[[#This Row],[Order_Date]],"mmm")</f>
        <v>Jul</v>
      </c>
      <c r="D1133" t="s">
        <v>2422</v>
      </c>
      <c r="E1133" t="s">
        <v>47</v>
      </c>
      <c r="F1133">
        <v>2</v>
      </c>
      <c r="G1133">
        <v>42152.36</v>
      </c>
      <c r="H1133">
        <v>84304.72</v>
      </c>
      <c r="I1133" t="s">
        <v>13</v>
      </c>
      <c r="J1133" t="s">
        <v>24</v>
      </c>
    </row>
    <row r="1134" spans="1:10" x14ac:dyDescent="0.35">
      <c r="A1134" t="s">
        <v>2423</v>
      </c>
      <c r="B1134" t="s">
        <v>2424</v>
      </c>
      <c r="C1134" t="str">
        <f>TEXT(Table1[[#This Row],[Order_Date]],"mmm")</f>
        <v>Jul</v>
      </c>
      <c r="D1134" t="s">
        <v>2425</v>
      </c>
      <c r="E1134" t="s">
        <v>56</v>
      </c>
      <c r="F1134">
        <v>2</v>
      </c>
      <c r="G1134">
        <v>23134.05</v>
      </c>
      <c r="H1134">
        <v>46268.1</v>
      </c>
      <c r="I1134" t="s">
        <v>42</v>
      </c>
      <c r="J1134" t="s">
        <v>14</v>
      </c>
    </row>
    <row r="1135" spans="1:10" x14ac:dyDescent="0.35">
      <c r="A1135" t="s">
        <v>2426</v>
      </c>
      <c r="B1135" t="s">
        <v>2424</v>
      </c>
      <c r="C1135" t="str">
        <f>TEXT(Table1[[#This Row],[Order_Date]],"mmm")</f>
        <v>Jul</v>
      </c>
      <c r="D1135" t="s">
        <v>2427</v>
      </c>
      <c r="E1135" t="s">
        <v>75</v>
      </c>
      <c r="F1135">
        <v>5</v>
      </c>
      <c r="G1135">
        <v>18068.45</v>
      </c>
      <c r="H1135">
        <v>90342.25</v>
      </c>
      <c r="I1135" t="s">
        <v>42</v>
      </c>
      <c r="J1135" t="s">
        <v>14</v>
      </c>
    </row>
    <row r="1136" spans="1:10" x14ac:dyDescent="0.35">
      <c r="A1136" t="s">
        <v>2428</v>
      </c>
      <c r="B1136" t="s">
        <v>2424</v>
      </c>
      <c r="C1136" t="str">
        <f>TEXT(Table1[[#This Row],[Order_Date]],"mmm")</f>
        <v>Jul</v>
      </c>
      <c r="D1136" t="s">
        <v>2429</v>
      </c>
      <c r="E1136" t="s">
        <v>38</v>
      </c>
      <c r="F1136">
        <v>1</v>
      </c>
      <c r="G1136">
        <v>16134.52</v>
      </c>
      <c r="H1136">
        <v>16134.52</v>
      </c>
      <c r="I1136" t="s">
        <v>23</v>
      </c>
      <c r="J1136" t="s">
        <v>24</v>
      </c>
    </row>
    <row r="1137" spans="1:10" x14ac:dyDescent="0.35">
      <c r="A1137" t="s">
        <v>2430</v>
      </c>
      <c r="B1137" t="s">
        <v>2424</v>
      </c>
      <c r="C1137" t="str">
        <f>TEXT(Table1[[#This Row],[Order_Date]],"mmm")</f>
        <v>Jul</v>
      </c>
      <c r="D1137" t="s">
        <v>2431</v>
      </c>
      <c r="E1137" t="s">
        <v>72</v>
      </c>
      <c r="F1137">
        <v>4</v>
      </c>
      <c r="G1137">
        <v>34674.58</v>
      </c>
      <c r="H1137">
        <v>138698.32</v>
      </c>
      <c r="I1137" t="s">
        <v>23</v>
      </c>
      <c r="J1137" t="s">
        <v>35</v>
      </c>
    </row>
    <row r="1138" spans="1:10" x14ac:dyDescent="0.35">
      <c r="A1138" t="s">
        <v>2432</v>
      </c>
      <c r="B1138" t="s">
        <v>2424</v>
      </c>
      <c r="C1138" t="str">
        <f>TEXT(Table1[[#This Row],[Order_Date]],"mmm")</f>
        <v>Jul</v>
      </c>
      <c r="D1138" t="s">
        <v>2433</v>
      </c>
      <c r="E1138" t="s">
        <v>56</v>
      </c>
      <c r="F1138">
        <v>3</v>
      </c>
      <c r="G1138">
        <v>46278.64</v>
      </c>
      <c r="H1138">
        <v>138835.92000000001</v>
      </c>
      <c r="I1138" t="s">
        <v>13</v>
      </c>
      <c r="J1138" t="s">
        <v>35</v>
      </c>
    </row>
    <row r="1139" spans="1:10" x14ac:dyDescent="0.35">
      <c r="A1139" t="s">
        <v>2434</v>
      </c>
      <c r="B1139" t="s">
        <v>2435</v>
      </c>
      <c r="C1139" t="str">
        <f>TEXT(Table1[[#This Row],[Order_Date]],"mmm")</f>
        <v>Jul</v>
      </c>
      <c r="D1139" t="s">
        <v>2436</v>
      </c>
      <c r="E1139" t="s">
        <v>47</v>
      </c>
      <c r="F1139">
        <v>4</v>
      </c>
      <c r="G1139">
        <v>39504.74</v>
      </c>
      <c r="H1139">
        <v>158018.96</v>
      </c>
      <c r="I1139" t="s">
        <v>13</v>
      </c>
      <c r="J1139" t="s">
        <v>24</v>
      </c>
    </row>
    <row r="1140" spans="1:10" x14ac:dyDescent="0.35">
      <c r="A1140" t="s">
        <v>2437</v>
      </c>
      <c r="B1140" t="s">
        <v>2435</v>
      </c>
      <c r="C1140" t="str">
        <f>TEXT(Table1[[#This Row],[Order_Date]],"mmm")</f>
        <v>Jul</v>
      </c>
      <c r="D1140" t="s">
        <v>2438</v>
      </c>
      <c r="E1140" t="s">
        <v>53</v>
      </c>
      <c r="F1140">
        <v>2</v>
      </c>
      <c r="G1140">
        <v>25047.96</v>
      </c>
      <c r="H1140">
        <v>50095.92</v>
      </c>
      <c r="I1140" t="s">
        <v>18</v>
      </c>
      <c r="J1140" t="s">
        <v>35</v>
      </c>
    </row>
    <row r="1141" spans="1:10" x14ac:dyDescent="0.35">
      <c r="A1141" t="s">
        <v>2439</v>
      </c>
      <c r="B1141" t="s">
        <v>2435</v>
      </c>
      <c r="C1141" t="str">
        <f>TEXT(Table1[[#This Row],[Order_Date]],"mmm")</f>
        <v>Jul</v>
      </c>
      <c r="D1141" t="s">
        <v>2440</v>
      </c>
      <c r="E1141" t="s">
        <v>12</v>
      </c>
      <c r="F1141">
        <v>4</v>
      </c>
      <c r="G1141">
        <v>34780.769999999997</v>
      </c>
      <c r="H1141">
        <v>139123.07999999999</v>
      </c>
      <c r="I1141" t="s">
        <v>42</v>
      </c>
      <c r="J1141" t="s">
        <v>14</v>
      </c>
    </row>
    <row r="1142" spans="1:10" x14ac:dyDescent="0.35">
      <c r="A1142" t="s">
        <v>2441</v>
      </c>
      <c r="B1142" t="s">
        <v>2435</v>
      </c>
      <c r="C1142" t="str">
        <f>TEXT(Table1[[#This Row],[Order_Date]],"mmm")</f>
        <v>Jul</v>
      </c>
      <c r="D1142" t="s">
        <v>2442</v>
      </c>
      <c r="E1142" t="s">
        <v>38</v>
      </c>
      <c r="F1142">
        <v>4</v>
      </c>
      <c r="G1142">
        <v>26987.82</v>
      </c>
      <c r="H1142">
        <v>107951.28</v>
      </c>
      <c r="I1142" t="s">
        <v>42</v>
      </c>
      <c r="J1142" t="s">
        <v>19</v>
      </c>
    </row>
    <row r="1143" spans="1:10" x14ac:dyDescent="0.35">
      <c r="A1143" t="s">
        <v>2443</v>
      </c>
      <c r="B1143" t="s">
        <v>2435</v>
      </c>
      <c r="C1143" t="str">
        <f>TEXT(Table1[[#This Row],[Order_Date]],"mmm")</f>
        <v>Jul</v>
      </c>
      <c r="D1143" t="s">
        <v>2444</v>
      </c>
      <c r="E1143" t="s">
        <v>53</v>
      </c>
      <c r="F1143">
        <v>2</v>
      </c>
      <c r="G1143">
        <v>16406.62</v>
      </c>
      <c r="H1143">
        <v>32813.24</v>
      </c>
      <c r="I1143" t="s">
        <v>13</v>
      </c>
      <c r="J1143" t="s">
        <v>24</v>
      </c>
    </row>
    <row r="1144" spans="1:10" x14ac:dyDescent="0.35">
      <c r="A1144" t="s">
        <v>2445</v>
      </c>
      <c r="B1144" t="s">
        <v>2435</v>
      </c>
      <c r="C1144" t="str">
        <f>TEXT(Table1[[#This Row],[Order_Date]],"mmm")</f>
        <v>Jul</v>
      </c>
      <c r="D1144" t="s">
        <v>2446</v>
      </c>
      <c r="E1144" t="s">
        <v>12</v>
      </c>
      <c r="F1144">
        <v>1</v>
      </c>
      <c r="G1144">
        <v>34078.870000000003</v>
      </c>
      <c r="H1144">
        <v>34078.870000000003</v>
      </c>
      <c r="I1144" t="s">
        <v>23</v>
      </c>
      <c r="J1144" t="s">
        <v>14</v>
      </c>
    </row>
    <row r="1145" spans="1:10" x14ac:dyDescent="0.35">
      <c r="A1145" t="s">
        <v>2447</v>
      </c>
      <c r="B1145" t="s">
        <v>2435</v>
      </c>
      <c r="C1145" t="str">
        <f>TEXT(Table1[[#This Row],[Order_Date]],"mmm")</f>
        <v>Jul</v>
      </c>
      <c r="D1145" t="s">
        <v>2448</v>
      </c>
      <c r="E1145" t="s">
        <v>12</v>
      </c>
      <c r="F1145">
        <v>5</v>
      </c>
      <c r="G1145">
        <v>4237.8</v>
      </c>
      <c r="H1145">
        <v>21189</v>
      </c>
      <c r="I1145" t="s">
        <v>42</v>
      </c>
      <c r="J1145" t="s">
        <v>14</v>
      </c>
    </row>
    <row r="1146" spans="1:10" x14ac:dyDescent="0.35">
      <c r="A1146" t="s">
        <v>2449</v>
      </c>
      <c r="B1146" t="s">
        <v>2450</v>
      </c>
      <c r="C1146" t="str">
        <f>TEXT(Table1[[#This Row],[Order_Date]],"mmm")</f>
        <v>Jul</v>
      </c>
      <c r="D1146" t="s">
        <v>2106</v>
      </c>
      <c r="E1146" t="s">
        <v>17</v>
      </c>
      <c r="F1146">
        <v>1</v>
      </c>
      <c r="G1146">
        <v>7873.26</v>
      </c>
      <c r="H1146">
        <v>7873.26</v>
      </c>
      <c r="I1146" t="s">
        <v>23</v>
      </c>
      <c r="J1146" t="s">
        <v>24</v>
      </c>
    </row>
    <row r="1147" spans="1:10" x14ac:dyDescent="0.35">
      <c r="A1147" t="s">
        <v>2451</v>
      </c>
      <c r="B1147" t="s">
        <v>2450</v>
      </c>
      <c r="C1147" t="str">
        <f>TEXT(Table1[[#This Row],[Order_Date]],"mmm")</f>
        <v>Jul</v>
      </c>
      <c r="D1147" t="s">
        <v>2452</v>
      </c>
      <c r="E1147" t="s">
        <v>17</v>
      </c>
      <c r="F1147">
        <v>3</v>
      </c>
      <c r="G1147">
        <v>34194.839999999997</v>
      </c>
      <c r="H1147">
        <v>102584.52</v>
      </c>
      <c r="I1147" t="s">
        <v>23</v>
      </c>
      <c r="J1147" t="s">
        <v>24</v>
      </c>
    </row>
    <row r="1148" spans="1:10" x14ac:dyDescent="0.35">
      <c r="A1148" t="s">
        <v>2453</v>
      </c>
      <c r="B1148" t="s">
        <v>2450</v>
      </c>
      <c r="C1148" t="str">
        <f>TEXT(Table1[[#This Row],[Order_Date]],"mmm")</f>
        <v>Jul</v>
      </c>
      <c r="D1148" t="s">
        <v>1082</v>
      </c>
      <c r="E1148" t="s">
        <v>72</v>
      </c>
      <c r="F1148">
        <v>2</v>
      </c>
      <c r="G1148">
        <v>47753.760000000002</v>
      </c>
      <c r="H1148">
        <v>95507.520000000004</v>
      </c>
      <c r="I1148" t="s">
        <v>23</v>
      </c>
      <c r="J1148" t="s">
        <v>35</v>
      </c>
    </row>
    <row r="1149" spans="1:10" x14ac:dyDescent="0.35">
      <c r="A1149" t="s">
        <v>2454</v>
      </c>
      <c r="B1149" t="s">
        <v>2450</v>
      </c>
      <c r="C1149" t="str">
        <f>TEXT(Table1[[#This Row],[Order_Date]],"mmm")</f>
        <v>Jul</v>
      </c>
      <c r="D1149" t="s">
        <v>2455</v>
      </c>
      <c r="E1149" t="s">
        <v>56</v>
      </c>
      <c r="F1149">
        <v>3</v>
      </c>
      <c r="G1149">
        <v>49564.160000000003</v>
      </c>
      <c r="H1149">
        <v>148692.48000000001</v>
      </c>
      <c r="I1149" t="s">
        <v>42</v>
      </c>
      <c r="J1149" t="s">
        <v>14</v>
      </c>
    </row>
    <row r="1150" spans="1:10" x14ac:dyDescent="0.35">
      <c r="A1150" t="s">
        <v>2456</v>
      </c>
      <c r="B1150" t="s">
        <v>2457</v>
      </c>
      <c r="C1150" t="str">
        <f>TEXT(Table1[[#This Row],[Order_Date]],"mmm")</f>
        <v>Jul</v>
      </c>
      <c r="D1150" t="s">
        <v>2458</v>
      </c>
      <c r="E1150" t="s">
        <v>17</v>
      </c>
      <c r="F1150">
        <v>2</v>
      </c>
      <c r="G1150">
        <v>37733.07</v>
      </c>
      <c r="H1150">
        <v>75466.14</v>
      </c>
      <c r="I1150" t="s">
        <v>18</v>
      </c>
      <c r="J1150" t="s">
        <v>24</v>
      </c>
    </row>
    <row r="1151" spans="1:10" x14ac:dyDescent="0.35">
      <c r="A1151" t="s">
        <v>2459</v>
      </c>
      <c r="B1151" t="s">
        <v>2457</v>
      </c>
      <c r="C1151" t="str">
        <f>TEXT(Table1[[#This Row],[Order_Date]],"mmm")</f>
        <v>Jul</v>
      </c>
      <c r="D1151" t="s">
        <v>2460</v>
      </c>
      <c r="E1151" t="s">
        <v>56</v>
      </c>
      <c r="F1151">
        <v>1</v>
      </c>
      <c r="G1151">
        <v>8961.16</v>
      </c>
      <c r="H1151">
        <v>8961.16</v>
      </c>
      <c r="I1151" t="s">
        <v>42</v>
      </c>
      <c r="J1151" t="s">
        <v>35</v>
      </c>
    </row>
    <row r="1152" spans="1:10" x14ac:dyDescent="0.35">
      <c r="A1152" t="s">
        <v>2461</v>
      </c>
      <c r="B1152" t="s">
        <v>2457</v>
      </c>
      <c r="C1152" t="str">
        <f>TEXT(Table1[[#This Row],[Order_Date]],"mmm")</f>
        <v>Jul</v>
      </c>
      <c r="D1152" t="s">
        <v>2462</v>
      </c>
      <c r="E1152" t="s">
        <v>12</v>
      </c>
      <c r="F1152">
        <v>4</v>
      </c>
      <c r="G1152">
        <v>26123.52</v>
      </c>
      <c r="H1152">
        <v>104494.08</v>
      </c>
      <c r="I1152" t="s">
        <v>13</v>
      </c>
      <c r="J1152" t="s">
        <v>35</v>
      </c>
    </row>
    <row r="1153" spans="1:10" x14ac:dyDescent="0.35">
      <c r="A1153" t="s">
        <v>2463</v>
      </c>
      <c r="B1153" t="s">
        <v>2457</v>
      </c>
      <c r="C1153" t="str">
        <f>TEXT(Table1[[#This Row],[Order_Date]],"mmm")</f>
        <v>Jul</v>
      </c>
      <c r="D1153" t="s">
        <v>1879</v>
      </c>
      <c r="E1153" t="s">
        <v>38</v>
      </c>
      <c r="F1153">
        <v>2</v>
      </c>
      <c r="G1153">
        <v>19400.91</v>
      </c>
      <c r="H1153">
        <v>38801.82</v>
      </c>
      <c r="I1153" t="s">
        <v>18</v>
      </c>
      <c r="J1153" t="s">
        <v>14</v>
      </c>
    </row>
    <row r="1154" spans="1:10" x14ac:dyDescent="0.35">
      <c r="A1154" t="s">
        <v>2464</v>
      </c>
      <c r="B1154" t="s">
        <v>2465</v>
      </c>
      <c r="C1154" t="str">
        <f>TEXT(Table1[[#This Row],[Order_Date]],"mmm")</f>
        <v>Jul</v>
      </c>
      <c r="D1154" t="s">
        <v>2466</v>
      </c>
      <c r="E1154" t="s">
        <v>53</v>
      </c>
      <c r="F1154">
        <v>3</v>
      </c>
      <c r="G1154">
        <v>47352.92</v>
      </c>
      <c r="H1154">
        <v>142058.76</v>
      </c>
      <c r="I1154" t="s">
        <v>18</v>
      </c>
      <c r="J1154" t="s">
        <v>19</v>
      </c>
    </row>
    <row r="1155" spans="1:10" x14ac:dyDescent="0.35">
      <c r="A1155" t="s">
        <v>2467</v>
      </c>
      <c r="B1155" t="s">
        <v>2465</v>
      </c>
      <c r="C1155" t="str">
        <f>TEXT(Table1[[#This Row],[Order_Date]],"mmm")</f>
        <v>Jul</v>
      </c>
      <c r="D1155" t="s">
        <v>2468</v>
      </c>
      <c r="E1155" t="s">
        <v>22</v>
      </c>
      <c r="F1155">
        <v>2</v>
      </c>
      <c r="G1155">
        <v>39310.14</v>
      </c>
      <c r="H1155">
        <v>78620.28</v>
      </c>
      <c r="I1155" t="s">
        <v>13</v>
      </c>
      <c r="J1155" t="s">
        <v>24</v>
      </c>
    </row>
    <row r="1156" spans="1:10" x14ac:dyDescent="0.35">
      <c r="A1156" t="s">
        <v>2469</v>
      </c>
      <c r="B1156" t="s">
        <v>2465</v>
      </c>
      <c r="C1156" t="str">
        <f>TEXT(Table1[[#This Row],[Order_Date]],"mmm")</f>
        <v>Jul</v>
      </c>
      <c r="D1156" t="s">
        <v>2470</v>
      </c>
      <c r="E1156" t="s">
        <v>32</v>
      </c>
      <c r="F1156">
        <v>2</v>
      </c>
      <c r="G1156">
        <v>34606.07</v>
      </c>
      <c r="H1156">
        <v>69212.14</v>
      </c>
      <c r="I1156" t="s">
        <v>18</v>
      </c>
      <c r="J1156" t="s">
        <v>24</v>
      </c>
    </row>
    <row r="1157" spans="1:10" x14ac:dyDescent="0.35">
      <c r="A1157" t="s">
        <v>2471</v>
      </c>
      <c r="B1157" t="s">
        <v>2465</v>
      </c>
      <c r="C1157" t="str">
        <f>TEXT(Table1[[#This Row],[Order_Date]],"mmm")</f>
        <v>Jul</v>
      </c>
      <c r="D1157" t="s">
        <v>2472</v>
      </c>
      <c r="E1157" t="s">
        <v>72</v>
      </c>
      <c r="F1157">
        <v>3</v>
      </c>
      <c r="G1157">
        <v>3584.6</v>
      </c>
      <c r="H1157">
        <v>10753.8</v>
      </c>
      <c r="I1157" t="s">
        <v>13</v>
      </c>
      <c r="J1157" t="s">
        <v>19</v>
      </c>
    </row>
    <row r="1158" spans="1:10" x14ac:dyDescent="0.35">
      <c r="A1158" t="s">
        <v>2473</v>
      </c>
      <c r="B1158" t="s">
        <v>2465</v>
      </c>
      <c r="C1158" t="str">
        <f>TEXT(Table1[[#This Row],[Order_Date]],"mmm")</f>
        <v>Jul</v>
      </c>
      <c r="D1158" t="s">
        <v>2474</v>
      </c>
      <c r="E1158" t="s">
        <v>56</v>
      </c>
      <c r="F1158">
        <v>5</v>
      </c>
      <c r="G1158">
        <v>38958.85</v>
      </c>
      <c r="H1158">
        <v>194794.25</v>
      </c>
      <c r="I1158" t="s">
        <v>42</v>
      </c>
      <c r="J1158" t="s">
        <v>19</v>
      </c>
    </row>
    <row r="1159" spans="1:10" x14ac:dyDescent="0.35">
      <c r="A1159" t="s">
        <v>2475</v>
      </c>
      <c r="B1159" t="s">
        <v>2465</v>
      </c>
      <c r="C1159" t="str">
        <f>TEXT(Table1[[#This Row],[Order_Date]],"mmm")</f>
        <v>Jul</v>
      </c>
      <c r="D1159" t="s">
        <v>2476</v>
      </c>
      <c r="E1159" t="s">
        <v>72</v>
      </c>
      <c r="F1159">
        <v>1</v>
      </c>
      <c r="G1159">
        <v>21978.240000000002</v>
      </c>
      <c r="H1159">
        <v>21978.240000000002</v>
      </c>
      <c r="I1159" t="s">
        <v>42</v>
      </c>
      <c r="J1159" t="s">
        <v>24</v>
      </c>
    </row>
    <row r="1160" spans="1:10" x14ac:dyDescent="0.35">
      <c r="A1160" t="s">
        <v>2477</v>
      </c>
      <c r="B1160" t="s">
        <v>2465</v>
      </c>
      <c r="C1160" t="str">
        <f>TEXT(Table1[[#This Row],[Order_Date]],"mmm")</f>
        <v>Jul</v>
      </c>
      <c r="D1160" t="s">
        <v>2478</v>
      </c>
      <c r="E1160" t="s">
        <v>22</v>
      </c>
      <c r="F1160">
        <v>3</v>
      </c>
      <c r="G1160">
        <v>32663.65</v>
      </c>
      <c r="H1160">
        <v>97990.95</v>
      </c>
      <c r="I1160" t="s">
        <v>18</v>
      </c>
      <c r="J1160" t="s">
        <v>24</v>
      </c>
    </row>
    <row r="1161" spans="1:10" x14ac:dyDescent="0.35">
      <c r="A1161" t="s">
        <v>2479</v>
      </c>
      <c r="B1161" t="s">
        <v>2465</v>
      </c>
      <c r="C1161" t="str">
        <f>TEXT(Table1[[#This Row],[Order_Date]],"mmm")</f>
        <v>Jul</v>
      </c>
      <c r="D1161" t="s">
        <v>2480</v>
      </c>
      <c r="E1161" t="s">
        <v>47</v>
      </c>
      <c r="F1161">
        <v>5</v>
      </c>
      <c r="G1161">
        <v>38612.400000000001</v>
      </c>
      <c r="H1161">
        <v>193062</v>
      </c>
      <c r="I1161" t="s">
        <v>42</v>
      </c>
      <c r="J1161" t="s">
        <v>14</v>
      </c>
    </row>
    <row r="1162" spans="1:10" x14ac:dyDescent="0.35">
      <c r="A1162" t="s">
        <v>2481</v>
      </c>
      <c r="B1162" t="s">
        <v>2482</v>
      </c>
      <c r="C1162" t="str">
        <f>TEXT(Table1[[#This Row],[Order_Date]],"mmm")</f>
        <v>Jul</v>
      </c>
      <c r="D1162" t="s">
        <v>2483</v>
      </c>
      <c r="E1162" t="s">
        <v>75</v>
      </c>
      <c r="F1162">
        <v>3</v>
      </c>
      <c r="G1162">
        <v>33109.230000000003</v>
      </c>
      <c r="H1162">
        <v>99327.69</v>
      </c>
      <c r="I1162" t="s">
        <v>13</v>
      </c>
      <c r="J1162" t="s">
        <v>19</v>
      </c>
    </row>
    <row r="1163" spans="1:10" x14ac:dyDescent="0.35">
      <c r="A1163" t="s">
        <v>2484</v>
      </c>
      <c r="B1163" t="s">
        <v>2482</v>
      </c>
      <c r="C1163" t="str">
        <f>TEXT(Table1[[#This Row],[Order_Date]],"mmm")</f>
        <v>Jul</v>
      </c>
      <c r="D1163" t="s">
        <v>715</v>
      </c>
      <c r="E1163" t="s">
        <v>53</v>
      </c>
      <c r="F1163">
        <v>5</v>
      </c>
      <c r="G1163">
        <v>23594.28</v>
      </c>
      <c r="H1163">
        <v>117971.4</v>
      </c>
      <c r="I1163" t="s">
        <v>13</v>
      </c>
      <c r="J1163" t="s">
        <v>19</v>
      </c>
    </row>
    <row r="1164" spans="1:10" x14ac:dyDescent="0.35">
      <c r="A1164" t="s">
        <v>2485</v>
      </c>
      <c r="B1164" t="s">
        <v>2482</v>
      </c>
      <c r="C1164" t="str">
        <f>TEXT(Table1[[#This Row],[Order_Date]],"mmm")</f>
        <v>Jul</v>
      </c>
      <c r="D1164" t="s">
        <v>2486</v>
      </c>
      <c r="E1164" t="s">
        <v>75</v>
      </c>
      <c r="F1164">
        <v>1</v>
      </c>
      <c r="G1164">
        <v>19725.12</v>
      </c>
      <c r="H1164">
        <v>19725.12</v>
      </c>
      <c r="I1164" t="s">
        <v>13</v>
      </c>
      <c r="J1164" t="s">
        <v>24</v>
      </c>
    </row>
    <row r="1165" spans="1:10" x14ac:dyDescent="0.35">
      <c r="A1165" t="s">
        <v>2487</v>
      </c>
      <c r="B1165" t="s">
        <v>2488</v>
      </c>
      <c r="C1165" t="str">
        <f>TEXT(Table1[[#This Row],[Order_Date]],"mmm")</f>
        <v>Jul</v>
      </c>
      <c r="D1165" t="s">
        <v>2489</v>
      </c>
      <c r="E1165" t="s">
        <v>75</v>
      </c>
      <c r="F1165">
        <v>3</v>
      </c>
      <c r="G1165">
        <v>15675.13</v>
      </c>
      <c r="H1165">
        <v>47025.39</v>
      </c>
      <c r="I1165" t="s">
        <v>23</v>
      </c>
      <c r="J1165" t="s">
        <v>14</v>
      </c>
    </row>
    <row r="1166" spans="1:10" x14ac:dyDescent="0.35">
      <c r="A1166" t="s">
        <v>2490</v>
      </c>
      <c r="B1166" t="s">
        <v>2488</v>
      </c>
      <c r="C1166" t="str">
        <f>TEXT(Table1[[#This Row],[Order_Date]],"mmm")</f>
        <v>Jul</v>
      </c>
      <c r="D1166" t="s">
        <v>2491</v>
      </c>
      <c r="E1166" t="s">
        <v>12</v>
      </c>
      <c r="F1166">
        <v>3</v>
      </c>
      <c r="G1166">
        <v>38184.410000000003</v>
      </c>
      <c r="H1166">
        <v>114553.23</v>
      </c>
      <c r="I1166" t="s">
        <v>23</v>
      </c>
      <c r="J1166" t="s">
        <v>35</v>
      </c>
    </row>
    <row r="1167" spans="1:10" x14ac:dyDescent="0.35">
      <c r="A1167" t="s">
        <v>2492</v>
      </c>
      <c r="B1167" t="s">
        <v>2488</v>
      </c>
      <c r="C1167" t="str">
        <f>TEXT(Table1[[#This Row],[Order_Date]],"mmm")</f>
        <v>Jul</v>
      </c>
      <c r="D1167" t="s">
        <v>2493</v>
      </c>
      <c r="E1167" t="s">
        <v>38</v>
      </c>
      <c r="F1167">
        <v>4</v>
      </c>
      <c r="G1167">
        <v>41703.72</v>
      </c>
      <c r="H1167">
        <v>166814.88</v>
      </c>
      <c r="I1167" t="s">
        <v>18</v>
      </c>
      <c r="J1167" t="s">
        <v>35</v>
      </c>
    </row>
    <row r="1168" spans="1:10" x14ac:dyDescent="0.35">
      <c r="A1168" t="s">
        <v>2494</v>
      </c>
      <c r="B1168" t="s">
        <v>2488</v>
      </c>
      <c r="C1168" t="str">
        <f>TEXT(Table1[[#This Row],[Order_Date]],"mmm")</f>
        <v>Jul</v>
      </c>
      <c r="D1168" t="s">
        <v>1894</v>
      </c>
      <c r="E1168" t="s">
        <v>32</v>
      </c>
      <c r="F1168">
        <v>1</v>
      </c>
      <c r="G1168">
        <v>28730.46</v>
      </c>
      <c r="H1168">
        <v>28730.46</v>
      </c>
      <c r="I1168" t="s">
        <v>23</v>
      </c>
      <c r="J1168" t="s">
        <v>35</v>
      </c>
    </row>
    <row r="1169" spans="1:10" x14ac:dyDescent="0.35">
      <c r="A1169" t="s">
        <v>2495</v>
      </c>
      <c r="B1169" t="s">
        <v>2488</v>
      </c>
      <c r="C1169" t="str">
        <f>TEXT(Table1[[#This Row],[Order_Date]],"mmm")</f>
        <v>Jul</v>
      </c>
      <c r="D1169" t="s">
        <v>2496</v>
      </c>
      <c r="E1169" t="s">
        <v>32</v>
      </c>
      <c r="F1169">
        <v>1</v>
      </c>
      <c r="G1169">
        <v>7178.72</v>
      </c>
      <c r="H1169">
        <v>7178.72</v>
      </c>
      <c r="I1169" t="s">
        <v>18</v>
      </c>
      <c r="J1169" t="s">
        <v>14</v>
      </c>
    </row>
    <row r="1170" spans="1:10" x14ac:dyDescent="0.35">
      <c r="A1170" t="s">
        <v>2497</v>
      </c>
      <c r="B1170" t="s">
        <v>2488</v>
      </c>
      <c r="C1170" t="str">
        <f>TEXT(Table1[[#This Row],[Order_Date]],"mmm")</f>
        <v>Jul</v>
      </c>
      <c r="D1170" t="s">
        <v>2498</v>
      </c>
      <c r="E1170" t="s">
        <v>22</v>
      </c>
      <c r="F1170">
        <v>3</v>
      </c>
      <c r="G1170">
        <v>11401.78</v>
      </c>
      <c r="H1170">
        <v>34205.339999999997</v>
      </c>
      <c r="I1170" t="s">
        <v>18</v>
      </c>
      <c r="J1170" t="s">
        <v>35</v>
      </c>
    </row>
    <row r="1171" spans="1:10" x14ac:dyDescent="0.35">
      <c r="A1171" t="s">
        <v>2499</v>
      </c>
      <c r="B1171" t="s">
        <v>2500</v>
      </c>
      <c r="C1171" t="str">
        <f>TEXT(Table1[[#This Row],[Order_Date]],"mmm")</f>
        <v>Jul</v>
      </c>
      <c r="D1171" t="s">
        <v>2501</v>
      </c>
      <c r="E1171" t="s">
        <v>53</v>
      </c>
      <c r="F1171">
        <v>1</v>
      </c>
      <c r="G1171">
        <v>5573.41</v>
      </c>
      <c r="H1171">
        <v>5573.41</v>
      </c>
      <c r="I1171" t="s">
        <v>18</v>
      </c>
      <c r="J1171" t="s">
        <v>24</v>
      </c>
    </row>
    <row r="1172" spans="1:10" x14ac:dyDescent="0.35">
      <c r="A1172" t="s">
        <v>2502</v>
      </c>
      <c r="B1172" t="s">
        <v>2500</v>
      </c>
      <c r="C1172" t="str">
        <f>TEXT(Table1[[#This Row],[Order_Date]],"mmm")</f>
        <v>Jul</v>
      </c>
      <c r="D1172" t="s">
        <v>2503</v>
      </c>
      <c r="E1172" t="s">
        <v>17</v>
      </c>
      <c r="F1172">
        <v>5</v>
      </c>
      <c r="G1172">
        <v>7179.19</v>
      </c>
      <c r="H1172">
        <v>35895.949999999997</v>
      </c>
      <c r="I1172" t="s">
        <v>42</v>
      </c>
      <c r="J1172" t="s">
        <v>19</v>
      </c>
    </row>
    <row r="1173" spans="1:10" x14ac:dyDescent="0.35">
      <c r="A1173" t="s">
        <v>2504</v>
      </c>
      <c r="B1173" t="s">
        <v>2500</v>
      </c>
      <c r="C1173" t="str">
        <f>TEXT(Table1[[#This Row],[Order_Date]],"mmm")</f>
        <v>Jul</v>
      </c>
      <c r="D1173" t="s">
        <v>2505</v>
      </c>
      <c r="E1173" t="s">
        <v>72</v>
      </c>
      <c r="F1173">
        <v>1</v>
      </c>
      <c r="G1173">
        <v>18295.29</v>
      </c>
      <c r="H1173">
        <v>18295.29</v>
      </c>
      <c r="I1173" t="s">
        <v>23</v>
      </c>
      <c r="J1173" t="s">
        <v>19</v>
      </c>
    </row>
    <row r="1174" spans="1:10" x14ac:dyDescent="0.35">
      <c r="A1174" t="s">
        <v>2506</v>
      </c>
      <c r="B1174" t="s">
        <v>2500</v>
      </c>
      <c r="C1174" t="str">
        <f>TEXT(Table1[[#This Row],[Order_Date]],"mmm")</f>
        <v>Jul</v>
      </c>
      <c r="D1174" t="s">
        <v>2507</v>
      </c>
      <c r="E1174" t="s">
        <v>72</v>
      </c>
      <c r="F1174">
        <v>5</v>
      </c>
      <c r="G1174">
        <v>20181.509999999998</v>
      </c>
      <c r="H1174">
        <v>100907.55</v>
      </c>
      <c r="I1174" t="s">
        <v>13</v>
      </c>
      <c r="J1174" t="s">
        <v>19</v>
      </c>
    </row>
    <row r="1175" spans="1:10" x14ac:dyDescent="0.35">
      <c r="A1175" t="s">
        <v>2508</v>
      </c>
      <c r="B1175" t="s">
        <v>2500</v>
      </c>
      <c r="C1175" t="str">
        <f>TEXT(Table1[[#This Row],[Order_Date]],"mmm")</f>
        <v>Jul</v>
      </c>
      <c r="D1175" t="s">
        <v>2509</v>
      </c>
      <c r="E1175" t="s">
        <v>32</v>
      </c>
      <c r="F1175">
        <v>5</v>
      </c>
      <c r="G1175">
        <v>20530.580000000002</v>
      </c>
      <c r="H1175">
        <v>102652.9</v>
      </c>
      <c r="I1175" t="s">
        <v>18</v>
      </c>
      <c r="J1175" t="s">
        <v>35</v>
      </c>
    </row>
    <row r="1176" spans="1:10" x14ac:dyDescent="0.35">
      <c r="A1176" t="s">
        <v>2510</v>
      </c>
      <c r="B1176" t="s">
        <v>2511</v>
      </c>
      <c r="C1176" t="str">
        <f>TEXT(Table1[[#This Row],[Order_Date]],"mmm")</f>
        <v>Aug</v>
      </c>
      <c r="D1176" t="s">
        <v>660</v>
      </c>
      <c r="E1176" t="s">
        <v>17</v>
      </c>
      <c r="F1176">
        <v>1</v>
      </c>
      <c r="G1176">
        <v>8419.4500000000007</v>
      </c>
      <c r="H1176">
        <v>8419.4500000000007</v>
      </c>
      <c r="I1176" t="s">
        <v>13</v>
      </c>
      <c r="J1176" t="s">
        <v>14</v>
      </c>
    </row>
    <row r="1177" spans="1:10" x14ac:dyDescent="0.35">
      <c r="A1177" t="s">
        <v>2512</v>
      </c>
      <c r="B1177" t="s">
        <v>2511</v>
      </c>
      <c r="C1177" t="str">
        <f>TEXT(Table1[[#This Row],[Order_Date]],"mmm")</f>
        <v>Aug</v>
      </c>
      <c r="D1177" t="s">
        <v>2513</v>
      </c>
      <c r="E1177" t="s">
        <v>75</v>
      </c>
      <c r="F1177">
        <v>1</v>
      </c>
      <c r="G1177">
        <v>4536.47</v>
      </c>
      <c r="H1177">
        <v>4536.47</v>
      </c>
      <c r="I1177" t="s">
        <v>42</v>
      </c>
      <c r="J1177" t="s">
        <v>19</v>
      </c>
    </row>
    <row r="1178" spans="1:10" x14ac:dyDescent="0.35">
      <c r="A1178" t="s">
        <v>2514</v>
      </c>
      <c r="B1178" t="s">
        <v>2511</v>
      </c>
      <c r="C1178" t="str">
        <f>TEXT(Table1[[#This Row],[Order_Date]],"mmm")</f>
        <v>Aug</v>
      </c>
      <c r="D1178" t="s">
        <v>2515</v>
      </c>
      <c r="E1178" t="s">
        <v>32</v>
      </c>
      <c r="F1178">
        <v>1</v>
      </c>
      <c r="G1178">
        <v>25615.91</v>
      </c>
      <c r="H1178">
        <v>25615.91</v>
      </c>
      <c r="I1178" t="s">
        <v>23</v>
      </c>
      <c r="J1178" t="s">
        <v>14</v>
      </c>
    </row>
    <row r="1179" spans="1:10" x14ac:dyDescent="0.35">
      <c r="A1179" t="s">
        <v>2516</v>
      </c>
      <c r="B1179" t="s">
        <v>2511</v>
      </c>
      <c r="C1179" t="str">
        <f>TEXT(Table1[[#This Row],[Order_Date]],"mmm")</f>
        <v>Aug</v>
      </c>
      <c r="D1179" t="s">
        <v>2517</v>
      </c>
      <c r="E1179" t="s">
        <v>32</v>
      </c>
      <c r="F1179">
        <v>2</v>
      </c>
      <c r="G1179">
        <v>12380.82</v>
      </c>
      <c r="H1179">
        <v>24761.64</v>
      </c>
      <c r="I1179" t="s">
        <v>42</v>
      </c>
      <c r="J1179" t="s">
        <v>24</v>
      </c>
    </row>
    <row r="1180" spans="1:10" x14ac:dyDescent="0.35">
      <c r="A1180" t="s">
        <v>2518</v>
      </c>
      <c r="B1180" t="s">
        <v>2519</v>
      </c>
      <c r="C1180" t="str">
        <f>TEXT(Table1[[#This Row],[Order_Date]],"mmm")</f>
        <v>Aug</v>
      </c>
      <c r="D1180" t="s">
        <v>2520</v>
      </c>
      <c r="E1180" t="s">
        <v>47</v>
      </c>
      <c r="F1180">
        <v>4</v>
      </c>
      <c r="G1180">
        <v>11808.37</v>
      </c>
      <c r="H1180">
        <v>47233.48</v>
      </c>
      <c r="I1180" t="s">
        <v>23</v>
      </c>
      <c r="J1180" t="s">
        <v>24</v>
      </c>
    </row>
    <row r="1181" spans="1:10" x14ac:dyDescent="0.35">
      <c r="A1181" t="s">
        <v>2521</v>
      </c>
      <c r="B1181" t="s">
        <v>2519</v>
      </c>
      <c r="C1181" t="str">
        <f>TEXT(Table1[[#This Row],[Order_Date]],"mmm")</f>
        <v>Aug</v>
      </c>
      <c r="D1181" t="s">
        <v>2522</v>
      </c>
      <c r="E1181" t="s">
        <v>12</v>
      </c>
      <c r="F1181">
        <v>2</v>
      </c>
      <c r="G1181">
        <v>33006.339999999997</v>
      </c>
      <c r="H1181">
        <v>66012.679999999993</v>
      </c>
      <c r="I1181" t="s">
        <v>23</v>
      </c>
      <c r="J1181" t="s">
        <v>35</v>
      </c>
    </row>
    <row r="1182" spans="1:10" x14ac:dyDescent="0.35">
      <c r="A1182" t="s">
        <v>2523</v>
      </c>
      <c r="B1182" t="s">
        <v>2519</v>
      </c>
      <c r="C1182" t="str">
        <f>TEXT(Table1[[#This Row],[Order_Date]],"mmm")</f>
        <v>Aug</v>
      </c>
      <c r="D1182" t="s">
        <v>2524</v>
      </c>
      <c r="E1182" t="s">
        <v>75</v>
      </c>
      <c r="F1182">
        <v>2</v>
      </c>
      <c r="G1182">
        <v>15896.82</v>
      </c>
      <c r="H1182">
        <v>31793.64</v>
      </c>
      <c r="I1182" t="s">
        <v>42</v>
      </c>
      <c r="J1182" t="s">
        <v>24</v>
      </c>
    </row>
    <row r="1183" spans="1:10" x14ac:dyDescent="0.35">
      <c r="A1183" t="s">
        <v>2525</v>
      </c>
      <c r="B1183" t="s">
        <v>2519</v>
      </c>
      <c r="C1183" t="str">
        <f>TEXT(Table1[[#This Row],[Order_Date]],"mmm")</f>
        <v>Aug</v>
      </c>
      <c r="D1183" t="s">
        <v>2526</v>
      </c>
      <c r="E1183" t="s">
        <v>38</v>
      </c>
      <c r="F1183">
        <v>3</v>
      </c>
      <c r="G1183">
        <v>35770.15</v>
      </c>
      <c r="H1183">
        <v>107310.45</v>
      </c>
      <c r="I1183" t="s">
        <v>18</v>
      </c>
      <c r="J1183" t="s">
        <v>24</v>
      </c>
    </row>
    <row r="1184" spans="1:10" x14ac:dyDescent="0.35">
      <c r="A1184" t="s">
        <v>2527</v>
      </c>
      <c r="B1184" t="s">
        <v>2519</v>
      </c>
      <c r="C1184" t="str">
        <f>TEXT(Table1[[#This Row],[Order_Date]],"mmm")</f>
        <v>Aug</v>
      </c>
      <c r="D1184" t="s">
        <v>2528</v>
      </c>
      <c r="E1184" t="s">
        <v>38</v>
      </c>
      <c r="F1184">
        <v>3</v>
      </c>
      <c r="G1184">
        <v>40788.19</v>
      </c>
      <c r="H1184">
        <v>122364.57</v>
      </c>
      <c r="I1184" t="s">
        <v>42</v>
      </c>
      <c r="J1184" t="s">
        <v>19</v>
      </c>
    </row>
    <row r="1185" spans="1:10" x14ac:dyDescent="0.35">
      <c r="A1185" t="s">
        <v>2529</v>
      </c>
      <c r="B1185" t="s">
        <v>2519</v>
      </c>
      <c r="C1185" t="str">
        <f>TEXT(Table1[[#This Row],[Order_Date]],"mmm")</f>
        <v>Aug</v>
      </c>
      <c r="D1185" t="s">
        <v>2530</v>
      </c>
      <c r="E1185" t="s">
        <v>72</v>
      </c>
      <c r="F1185">
        <v>4</v>
      </c>
      <c r="G1185">
        <v>43018.9</v>
      </c>
      <c r="H1185">
        <v>172075.6</v>
      </c>
      <c r="I1185" t="s">
        <v>13</v>
      </c>
      <c r="J1185" t="s">
        <v>35</v>
      </c>
    </row>
    <row r="1186" spans="1:10" x14ac:dyDescent="0.35">
      <c r="A1186" t="s">
        <v>2531</v>
      </c>
      <c r="B1186" t="s">
        <v>2532</v>
      </c>
      <c r="C1186" t="str">
        <f>TEXT(Table1[[#This Row],[Order_Date]],"mmm")</f>
        <v>Aug</v>
      </c>
      <c r="D1186" t="s">
        <v>969</v>
      </c>
      <c r="E1186" t="s">
        <v>75</v>
      </c>
      <c r="F1186">
        <v>1</v>
      </c>
      <c r="G1186">
        <v>13992.96</v>
      </c>
      <c r="H1186">
        <v>13992.96</v>
      </c>
      <c r="I1186" t="s">
        <v>18</v>
      </c>
      <c r="J1186" t="s">
        <v>19</v>
      </c>
    </row>
    <row r="1187" spans="1:10" x14ac:dyDescent="0.35">
      <c r="A1187" t="s">
        <v>2533</v>
      </c>
      <c r="B1187" t="s">
        <v>2532</v>
      </c>
      <c r="C1187" t="str">
        <f>TEXT(Table1[[#This Row],[Order_Date]],"mmm")</f>
        <v>Aug</v>
      </c>
      <c r="D1187" t="s">
        <v>2534</v>
      </c>
      <c r="E1187" t="s">
        <v>22</v>
      </c>
      <c r="F1187">
        <v>3</v>
      </c>
      <c r="G1187">
        <v>19012.650000000001</v>
      </c>
      <c r="H1187">
        <v>57037.95</v>
      </c>
      <c r="I1187" t="s">
        <v>23</v>
      </c>
      <c r="J1187" t="s">
        <v>24</v>
      </c>
    </row>
    <row r="1188" spans="1:10" x14ac:dyDescent="0.35">
      <c r="A1188" t="s">
        <v>2535</v>
      </c>
      <c r="B1188" t="s">
        <v>2532</v>
      </c>
      <c r="C1188" t="str">
        <f>TEXT(Table1[[#This Row],[Order_Date]],"mmm")</f>
        <v>Aug</v>
      </c>
      <c r="D1188" t="s">
        <v>845</v>
      </c>
      <c r="E1188" t="s">
        <v>72</v>
      </c>
      <c r="F1188">
        <v>1</v>
      </c>
      <c r="G1188">
        <v>45484.91</v>
      </c>
      <c r="H1188">
        <v>45484.91</v>
      </c>
      <c r="I1188" t="s">
        <v>42</v>
      </c>
      <c r="J1188" t="s">
        <v>24</v>
      </c>
    </row>
    <row r="1189" spans="1:10" x14ac:dyDescent="0.35">
      <c r="A1189" t="s">
        <v>2536</v>
      </c>
      <c r="B1189" t="s">
        <v>2532</v>
      </c>
      <c r="C1189" t="str">
        <f>TEXT(Table1[[#This Row],[Order_Date]],"mmm")</f>
        <v>Aug</v>
      </c>
      <c r="D1189" t="s">
        <v>2537</v>
      </c>
      <c r="E1189" t="s">
        <v>47</v>
      </c>
      <c r="F1189">
        <v>4</v>
      </c>
      <c r="G1189">
        <v>33519.61</v>
      </c>
      <c r="H1189">
        <v>134078.44</v>
      </c>
      <c r="I1189" t="s">
        <v>18</v>
      </c>
      <c r="J1189" t="s">
        <v>35</v>
      </c>
    </row>
    <row r="1190" spans="1:10" x14ac:dyDescent="0.35">
      <c r="A1190" t="s">
        <v>2538</v>
      </c>
      <c r="B1190" t="s">
        <v>2532</v>
      </c>
      <c r="C1190" t="str">
        <f>TEXT(Table1[[#This Row],[Order_Date]],"mmm")</f>
        <v>Aug</v>
      </c>
      <c r="D1190" t="s">
        <v>2539</v>
      </c>
      <c r="E1190" t="s">
        <v>47</v>
      </c>
      <c r="F1190">
        <v>1</v>
      </c>
      <c r="G1190">
        <v>38118.33</v>
      </c>
      <c r="H1190">
        <v>38118.33</v>
      </c>
      <c r="I1190" t="s">
        <v>42</v>
      </c>
      <c r="J1190" t="s">
        <v>35</v>
      </c>
    </row>
    <row r="1191" spans="1:10" x14ac:dyDescent="0.35">
      <c r="A1191" t="s">
        <v>2540</v>
      </c>
      <c r="B1191" t="s">
        <v>2532</v>
      </c>
      <c r="C1191" t="str">
        <f>TEXT(Table1[[#This Row],[Order_Date]],"mmm")</f>
        <v>Aug</v>
      </c>
      <c r="D1191" t="s">
        <v>2541</v>
      </c>
      <c r="E1191" t="s">
        <v>53</v>
      </c>
      <c r="F1191">
        <v>4</v>
      </c>
      <c r="G1191">
        <v>45522.78</v>
      </c>
      <c r="H1191">
        <v>182091.12</v>
      </c>
      <c r="I1191" t="s">
        <v>23</v>
      </c>
      <c r="J1191" t="s">
        <v>35</v>
      </c>
    </row>
    <row r="1192" spans="1:10" x14ac:dyDescent="0.35">
      <c r="A1192" t="s">
        <v>2542</v>
      </c>
      <c r="B1192" t="s">
        <v>2532</v>
      </c>
      <c r="C1192" t="str">
        <f>TEXT(Table1[[#This Row],[Order_Date]],"mmm")</f>
        <v>Aug</v>
      </c>
      <c r="D1192" t="s">
        <v>2543</v>
      </c>
      <c r="E1192" t="s">
        <v>17</v>
      </c>
      <c r="F1192">
        <v>5</v>
      </c>
      <c r="G1192">
        <v>31198.3</v>
      </c>
      <c r="H1192">
        <v>155991.5</v>
      </c>
      <c r="I1192" t="s">
        <v>13</v>
      </c>
      <c r="J1192" t="s">
        <v>24</v>
      </c>
    </row>
    <row r="1193" spans="1:10" x14ac:dyDescent="0.35">
      <c r="A1193" t="s">
        <v>2544</v>
      </c>
      <c r="B1193" t="s">
        <v>2532</v>
      </c>
      <c r="C1193" t="str">
        <f>TEXT(Table1[[#This Row],[Order_Date]],"mmm")</f>
        <v>Aug</v>
      </c>
      <c r="D1193" t="s">
        <v>421</v>
      </c>
      <c r="E1193" t="s">
        <v>17</v>
      </c>
      <c r="F1193">
        <v>2</v>
      </c>
      <c r="G1193">
        <v>18209.73</v>
      </c>
      <c r="H1193">
        <v>36419.46</v>
      </c>
      <c r="I1193" t="s">
        <v>23</v>
      </c>
      <c r="J1193" t="s">
        <v>24</v>
      </c>
    </row>
    <row r="1194" spans="1:10" x14ac:dyDescent="0.35">
      <c r="A1194" t="s">
        <v>2545</v>
      </c>
      <c r="B1194" t="s">
        <v>2546</v>
      </c>
      <c r="C1194" t="str">
        <f>TEXT(Table1[[#This Row],[Order_Date]],"mmm")</f>
        <v>Aug</v>
      </c>
      <c r="D1194" t="s">
        <v>2547</v>
      </c>
      <c r="E1194" t="s">
        <v>38</v>
      </c>
      <c r="F1194">
        <v>2</v>
      </c>
      <c r="G1194">
        <v>14841.49</v>
      </c>
      <c r="H1194">
        <v>29682.98</v>
      </c>
      <c r="I1194" t="s">
        <v>42</v>
      </c>
      <c r="J1194" t="s">
        <v>24</v>
      </c>
    </row>
    <row r="1195" spans="1:10" x14ac:dyDescent="0.35">
      <c r="A1195" t="s">
        <v>2548</v>
      </c>
      <c r="B1195" t="s">
        <v>2546</v>
      </c>
      <c r="C1195" t="str">
        <f>TEXT(Table1[[#This Row],[Order_Date]],"mmm")</f>
        <v>Aug</v>
      </c>
      <c r="D1195" t="s">
        <v>2549</v>
      </c>
      <c r="E1195" t="s">
        <v>22</v>
      </c>
      <c r="F1195">
        <v>5</v>
      </c>
      <c r="G1195">
        <v>11897.53</v>
      </c>
      <c r="H1195">
        <v>59487.65</v>
      </c>
      <c r="I1195" t="s">
        <v>13</v>
      </c>
      <c r="J1195" t="s">
        <v>19</v>
      </c>
    </row>
    <row r="1196" spans="1:10" x14ac:dyDescent="0.35">
      <c r="A1196" t="s">
        <v>2550</v>
      </c>
      <c r="B1196" t="s">
        <v>2546</v>
      </c>
      <c r="C1196" t="str">
        <f>TEXT(Table1[[#This Row],[Order_Date]],"mmm")</f>
        <v>Aug</v>
      </c>
      <c r="D1196" t="s">
        <v>2551</v>
      </c>
      <c r="E1196" t="s">
        <v>47</v>
      </c>
      <c r="F1196">
        <v>3</v>
      </c>
      <c r="G1196">
        <v>46611.48</v>
      </c>
      <c r="H1196">
        <v>139834.44</v>
      </c>
      <c r="I1196" t="s">
        <v>42</v>
      </c>
      <c r="J1196" t="s">
        <v>24</v>
      </c>
    </row>
    <row r="1197" spans="1:10" x14ac:dyDescent="0.35">
      <c r="A1197" t="s">
        <v>2552</v>
      </c>
      <c r="B1197" t="s">
        <v>2553</v>
      </c>
      <c r="C1197" t="str">
        <f>TEXT(Table1[[#This Row],[Order_Date]],"mmm")</f>
        <v>Aug</v>
      </c>
      <c r="D1197" t="s">
        <v>2554</v>
      </c>
      <c r="E1197" t="s">
        <v>53</v>
      </c>
      <c r="F1197">
        <v>1</v>
      </c>
      <c r="G1197">
        <v>15261.47</v>
      </c>
      <c r="H1197">
        <v>15261.47</v>
      </c>
      <c r="I1197" t="s">
        <v>23</v>
      </c>
      <c r="J1197" t="s">
        <v>35</v>
      </c>
    </row>
    <row r="1198" spans="1:10" x14ac:dyDescent="0.35">
      <c r="A1198" t="s">
        <v>2555</v>
      </c>
      <c r="B1198" t="s">
        <v>2553</v>
      </c>
      <c r="C1198" t="str">
        <f>TEXT(Table1[[#This Row],[Order_Date]],"mmm")</f>
        <v>Aug</v>
      </c>
      <c r="D1198" t="s">
        <v>2556</v>
      </c>
      <c r="E1198" t="s">
        <v>32</v>
      </c>
      <c r="F1198">
        <v>5</v>
      </c>
      <c r="G1198">
        <v>3935.55</v>
      </c>
      <c r="H1198">
        <v>19677.75</v>
      </c>
      <c r="I1198" t="s">
        <v>13</v>
      </c>
      <c r="J1198" t="s">
        <v>14</v>
      </c>
    </row>
    <row r="1199" spans="1:10" x14ac:dyDescent="0.35">
      <c r="A1199" t="s">
        <v>2557</v>
      </c>
      <c r="B1199" t="s">
        <v>2553</v>
      </c>
      <c r="C1199" t="str">
        <f>TEXT(Table1[[#This Row],[Order_Date]],"mmm")</f>
        <v>Aug</v>
      </c>
      <c r="D1199" t="s">
        <v>2558</v>
      </c>
      <c r="E1199" t="s">
        <v>32</v>
      </c>
      <c r="F1199">
        <v>1</v>
      </c>
      <c r="G1199">
        <v>24394.27</v>
      </c>
      <c r="H1199">
        <v>24394.27</v>
      </c>
      <c r="I1199" t="s">
        <v>13</v>
      </c>
      <c r="J1199" t="s">
        <v>19</v>
      </c>
    </row>
    <row r="1200" spans="1:10" x14ac:dyDescent="0.35">
      <c r="A1200" t="s">
        <v>2559</v>
      </c>
      <c r="B1200" t="s">
        <v>2553</v>
      </c>
      <c r="C1200" t="str">
        <f>TEXT(Table1[[#This Row],[Order_Date]],"mmm")</f>
        <v>Aug</v>
      </c>
      <c r="D1200" t="s">
        <v>2115</v>
      </c>
      <c r="E1200" t="s">
        <v>53</v>
      </c>
      <c r="F1200">
        <v>5</v>
      </c>
      <c r="G1200">
        <v>12211.8</v>
      </c>
      <c r="H1200">
        <v>61059</v>
      </c>
      <c r="I1200" t="s">
        <v>42</v>
      </c>
      <c r="J1200" t="s">
        <v>35</v>
      </c>
    </row>
    <row r="1201" spans="1:10" x14ac:dyDescent="0.35">
      <c r="A1201" t="s">
        <v>2560</v>
      </c>
      <c r="B1201" t="s">
        <v>2553</v>
      </c>
      <c r="C1201" t="str">
        <f>TEXT(Table1[[#This Row],[Order_Date]],"mmm")</f>
        <v>Aug</v>
      </c>
      <c r="D1201" t="s">
        <v>2561</v>
      </c>
      <c r="E1201" t="s">
        <v>72</v>
      </c>
      <c r="F1201">
        <v>2</v>
      </c>
      <c r="G1201">
        <v>879.51</v>
      </c>
      <c r="H1201">
        <v>1759.02</v>
      </c>
      <c r="I1201" t="s">
        <v>18</v>
      </c>
      <c r="J1201" t="s">
        <v>14</v>
      </c>
    </row>
    <row r="1202" spans="1:10" x14ac:dyDescent="0.35">
      <c r="A1202" t="s">
        <v>2562</v>
      </c>
      <c r="B1202" t="s">
        <v>2553</v>
      </c>
      <c r="C1202" t="str">
        <f>TEXT(Table1[[#This Row],[Order_Date]],"mmm")</f>
        <v>Aug</v>
      </c>
      <c r="D1202" t="s">
        <v>2563</v>
      </c>
      <c r="E1202" t="s">
        <v>75</v>
      </c>
      <c r="F1202">
        <v>3</v>
      </c>
      <c r="G1202">
        <v>43856.79</v>
      </c>
      <c r="H1202">
        <v>131570.37</v>
      </c>
      <c r="I1202" t="s">
        <v>23</v>
      </c>
      <c r="J1202" t="s">
        <v>14</v>
      </c>
    </row>
    <row r="1203" spans="1:10" x14ac:dyDescent="0.35">
      <c r="A1203" t="s">
        <v>2564</v>
      </c>
      <c r="B1203" t="s">
        <v>2553</v>
      </c>
      <c r="C1203" t="str">
        <f>TEXT(Table1[[#This Row],[Order_Date]],"mmm")</f>
        <v>Aug</v>
      </c>
      <c r="D1203" t="s">
        <v>2565</v>
      </c>
      <c r="E1203" t="s">
        <v>17</v>
      </c>
      <c r="F1203">
        <v>5</v>
      </c>
      <c r="G1203">
        <v>33376.9</v>
      </c>
      <c r="H1203">
        <v>166884.5</v>
      </c>
      <c r="I1203" t="s">
        <v>42</v>
      </c>
      <c r="J1203" t="s">
        <v>14</v>
      </c>
    </row>
    <row r="1204" spans="1:10" x14ac:dyDescent="0.35">
      <c r="A1204" t="s">
        <v>2566</v>
      </c>
      <c r="B1204" t="s">
        <v>2567</v>
      </c>
      <c r="C1204" t="str">
        <f>TEXT(Table1[[#This Row],[Order_Date]],"mmm")</f>
        <v>Aug</v>
      </c>
      <c r="D1204" t="s">
        <v>2568</v>
      </c>
      <c r="E1204" t="s">
        <v>53</v>
      </c>
      <c r="F1204">
        <v>4</v>
      </c>
      <c r="G1204">
        <v>22124.17</v>
      </c>
      <c r="H1204">
        <v>88496.68</v>
      </c>
      <c r="I1204" t="s">
        <v>13</v>
      </c>
      <c r="J1204" t="s">
        <v>35</v>
      </c>
    </row>
    <row r="1205" spans="1:10" x14ac:dyDescent="0.35">
      <c r="A1205" t="s">
        <v>2569</v>
      </c>
      <c r="B1205" t="s">
        <v>2567</v>
      </c>
      <c r="C1205" t="str">
        <f>TEXT(Table1[[#This Row],[Order_Date]],"mmm")</f>
        <v>Aug</v>
      </c>
      <c r="D1205" t="s">
        <v>520</v>
      </c>
      <c r="E1205" t="s">
        <v>56</v>
      </c>
      <c r="F1205">
        <v>5</v>
      </c>
      <c r="G1205">
        <v>40028.93</v>
      </c>
      <c r="H1205">
        <v>200144.65</v>
      </c>
      <c r="I1205" t="s">
        <v>23</v>
      </c>
      <c r="J1205" t="s">
        <v>19</v>
      </c>
    </row>
    <row r="1206" spans="1:10" x14ac:dyDescent="0.35">
      <c r="A1206" t="s">
        <v>2570</v>
      </c>
      <c r="B1206" t="s">
        <v>2567</v>
      </c>
      <c r="C1206" t="str">
        <f>TEXT(Table1[[#This Row],[Order_Date]],"mmm")</f>
        <v>Aug</v>
      </c>
      <c r="D1206" t="s">
        <v>2571</v>
      </c>
      <c r="E1206" t="s">
        <v>38</v>
      </c>
      <c r="F1206">
        <v>2</v>
      </c>
      <c r="G1206">
        <v>44425.66</v>
      </c>
      <c r="H1206">
        <v>88851.32</v>
      </c>
      <c r="I1206" t="s">
        <v>42</v>
      </c>
      <c r="J1206" t="s">
        <v>35</v>
      </c>
    </row>
    <row r="1207" spans="1:10" x14ac:dyDescent="0.35">
      <c r="A1207" t="s">
        <v>2572</v>
      </c>
      <c r="B1207" t="s">
        <v>2567</v>
      </c>
      <c r="C1207" t="str">
        <f>TEXT(Table1[[#This Row],[Order_Date]],"mmm")</f>
        <v>Aug</v>
      </c>
      <c r="D1207" t="s">
        <v>2528</v>
      </c>
      <c r="E1207" t="s">
        <v>38</v>
      </c>
      <c r="F1207">
        <v>3</v>
      </c>
      <c r="G1207">
        <v>4844.1000000000004</v>
      </c>
      <c r="H1207">
        <v>14532.3</v>
      </c>
      <c r="I1207" t="s">
        <v>23</v>
      </c>
      <c r="J1207" t="s">
        <v>19</v>
      </c>
    </row>
    <row r="1208" spans="1:10" x14ac:dyDescent="0.35">
      <c r="A1208" t="s">
        <v>2573</v>
      </c>
      <c r="B1208" t="s">
        <v>2567</v>
      </c>
      <c r="C1208" t="str">
        <f>TEXT(Table1[[#This Row],[Order_Date]],"mmm")</f>
        <v>Aug</v>
      </c>
      <c r="D1208" t="s">
        <v>2574</v>
      </c>
      <c r="E1208" t="s">
        <v>53</v>
      </c>
      <c r="F1208">
        <v>5</v>
      </c>
      <c r="G1208">
        <v>38510.639999999999</v>
      </c>
      <c r="H1208">
        <v>192553.2</v>
      </c>
      <c r="I1208" t="s">
        <v>23</v>
      </c>
      <c r="J1208" t="s">
        <v>14</v>
      </c>
    </row>
    <row r="1209" spans="1:10" x14ac:dyDescent="0.35">
      <c r="A1209" t="s">
        <v>2575</v>
      </c>
      <c r="B1209" t="s">
        <v>2576</v>
      </c>
      <c r="C1209" t="str">
        <f>TEXT(Table1[[#This Row],[Order_Date]],"mmm")</f>
        <v>Aug</v>
      </c>
      <c r="D1209" t="s">
        <v>2577</v>
      </c>
      <c r="E1209" t="s">
        <v>12</v>
      </c>
      <c r="F1209">
        <v>5</v>
      </c>
      <c r="G1209">
        <v>19984.28</v>
      </c>
      <c r="H1209">
        <v>99921.4</v>
      </c>
      <c r="I1209" t="s">
        <v>42</v>
      </c>
      <c r="J1209" t="s">
        <v>14</v>
      </c>
    </row>
    <row r="1210" spans="1:10" x14ac:dyDescent="0.35">
      <c r="A1210" t="s">
        <v>2578</v>
      </c>
      <c r="B1210" t="s">
        <v>2576</v>
      </c>
      <c r="C1210" t="str">
        <f>TEXT(Table1[[#This Row],[Order_Date]],"mmm")</f>
        <v>Aug</v>
      </c>
      <c r="D1210" t="s">
        <v>2579</v>
      </c>
      <c r="E1210" t="s">
        <v>75</v>
      </c>
      <c r="F1210">
        <v>3</v>
      </c>
      <c r="G1210">
        <v>34765.050000000003</v>
      </c>
      <c r="H1210">
        <v>104295.15</v>
      </c>
      <c r="I1210" t="s">
        <v>23</v>
      </c>
      <c r="J1210" t="s">
        <v>19</v>
      </c>
    </row>
    <row r="1211" spans="1:10" x14ac:dyDescent="0.35">
      <c r="A1211" t="s">
        <v>2580</v>
      </c>
      <c r="B1211" t="s">
        <v>2576</v>
      </c>
      <c r="C1211" t="str">
        <f>TEXT(Table1[[#This Row],[Order_Date]],"mmm")</f>
        <v>Aug</v>
      </c>
      <c r="D1211" t="s">
        <v>2515</v>
      </c>
      <c r="E1211" t="s">
        <v>47</v>
      </c>
      <c r="F1211">
        <v>2</v>
      </c>
      <c r="G1211">
        <v>33254.199999999997</v>
      </c>
      <c r="H1211">
        <v>66508.399999999994</v>
      </c>
      <c r="I1211" t="s">
        <v>18</v>
      </c>
      <c r="J1211" t="s">
        <v>19</v>
      </c>
    </row>
    <row r="1212" spans="1:10" x14ac:dyDescent="0.35">
      <c r="A1212" t="s">
        <v>2581</v>
      </c>
      <c r="B1212" t="s">
        <v>2576</v>
      </c>
      <c r="C1212" t="str">
        <f>TEXT(Table1[[#This Row],[Order_Date]],"mmm")</f>
        <v>Aug</v>
      </c>
      <c r="D1212" t="s">
        <v>97</v>
      </c>
      <c r="E1212" t="s">
        <v>38</v>
      </c>
      <c r="F1212">
        <v>1</v>
      </c>
      <c r="G1212">
        <v>35592.199999999997</v>
      </c>
      <c r="H1212">
        <v>35592.199999999997</v>
      </c>
      <c r="I1212" t="s">
        <v>18</v>
      </c>
      <c r="J1212" t="s">
        <v>24</v>
      </c>
    </row>
    <row r="1213" spans="1:10" x14ac:dyDescent="0.35">
      <c r="A1213" t="s">
        <v>2582</v>
      </c>
      <c r="B1213" t="s">
        <v>2576</v>
      </c>
      <c r="C1213" t="str">
        <f>TEXT(Table1[[#This Row],[Order_Date]],"mmm")</f>
        <v>Aug</v>
      </c>
      <c r="D1213" t="s">
        <v>2583</v>
      </c>
      <c r="E1213" t="s">
        <v>56</v>
      </c>
      <c r="F1213">
        <v>1</v>
      </c>
      <c r="G1213">
        <v>33394.19</v>
      </c>
      <c r="H1213">
        <v>33394.19</v>
      </c>
      <c r="I1213" t="s">
        <v>13</v>
      </c>
      <c r="J1213" t="s">
        <v>19</v>
      </c>
    </row>
    <row r="1214" spans="1:10" x14ac:dyDescent="0.35">
      <c r="A1214" t="s">
        <v>2584</v>
      </c>
      <c r="B1214" t="s">
        <v>2576</v>
      </c>
      <c r="C1214" t="str">
        <f>TEXT(Table1[[#This Row],[Order_Date]],"mmm")</f>
        <v>Aug</v>
      </c>
      <c r="D1214" t="s">
        <v>605</v>
      </c>
      <c r="E1214" t="s">
        <v>72</v>
      </c>
      <c r="F1214">
        <v>1</v>
      </c>
      <c r="G1214">
        <v>40558.44</v>
      </c>
      <c r="H1214">
        <v>40558.44</v>
      </c>
      <c r="I1214" t="s">
        <v>42</v>
      </c>
      <c r="J1214" t="s">
        <v>24</v>
      </c>
    </row>
    <row r="1215" spans="1:10" x14ac:dyDescent="0.35">
      <c r="A1215" t="s">
        <v>2585</v>
      </c>
      <c r="B1215" t="s">
        <v>2576</v>
      </c>
      <c r="C1215" t="str">
        <f>TEXT(Table1[[#This Row],[Order_Date]],"mmm")</f>
        <v>Aug</v>
      </c>
      <c r="D1215" t="s">
        <v>2586</v>
      </c>
      <c r="E1215" t="s">
        <v>53</v>
      </c>
      <c r="F1215">
        <v>3</v>
      </c>
      <c r="G1215">
        <v>46082.64</v>
      </c>
      <c r="H1215">
        <v>138247.92000000001</v>
      </c>
      <c r="I1215" t="s">
        <v>13</v>
      </c>
      <c r="J1215" t="s">
        <v>14</v>
      </c>
    </row>
    <row r="1216" spans="1:10" x14ac:dyDescent="0.35">
      <c r="A1216" t="s">
        <v>2587</v>
      </c>
      <c r="B1216" t="s">
        <v>2588</v>
      </c>
      <c r="C1216" t="str">
        <f>TEXT(Table1[[#This Row],[Order_Date]],"mmm")</f>
        <v>Aug</v>
      </c>
      <c r="D1216" t="s">
        <v>2589</v>
      </c>
      <c r="E1216" t="s">
        <v>56</v>
      </c>
      <c r="F1216">
        <v>3</v>
      </c>
      <c r="G1216">
        <v>36394.839999999997</v>
      </c>
      <c r="H1216">
        <v>109184.52</v>
      </c>
      <c r="I1216" t="s">
        <v>18</v>
      </c>
      <c r="J1216" t="s">
        <v>24</v>
      </c>
    </row>
    <row r="1217" spans="1:10" x14ac:dyDescent="0.35">
      <c r="A1217" t="s">
        <v>2590</v>
      </c>
      <c r="B1217" t="s">
        <v>2588</v>
      </c>
      <c r="C1217" t="str">
        <f>TEXT(Table1[[#This Row],[Order_Date]],"mmm")</f>
        <v>Aug</v>
      </c>
      <c r="D1217" t="s">
        <v>2591</v>
      </c>
      <c r="E1217" t="s">
        <v>53</v>
      </c>
      <c r="F1217">
        <v>2</v>
      </c>
      <c r="G1217">
        <v>6265.84</v>
      </c>
      <c r="H1217">
        <v>12531.68</v>
      </c>
      <c r="I1217" t="s">
        <v>42</v>
      </c>
      <c r="J1217" t="s">
        <v>35</v>
      </c>
    </row>
    <row r="1218" spans="1:10" x14ac:dyDescent="0.35">
      <c r="A1218" t="s">
        <v>2592</v>
      </c>
      <c r="B1218" t="s">
        <v>2588</v>
      </c>
      <c r="C1218" t="str">
        <f>TEXT(Table1[[#This Row],[Order_Date]],"mmm")</f>
        <v>Aug</v>
      </c>
      <c r="D1218" t="s">
        <v>2593</v>
      </c>
      <c r="E1218" t="s">
        <v>72</v>
      </c>
      <c r="F1218">
        <v>1</v>
      </c>
      <c r="G1218">
        <v>1872.48</v>
      </c>
      <c r="H1218">
        <v>1872.48</v>
      </c>
      <c r="I1218" t="s">
        <v>42</v>
      </c>
      <c r="J1218" t="s">
        <v>19</v>
      </c>
    </row>
    <row r="1219" spans="1:10" x14ac:dyDescent="0.35">
      <c r="A1219" t="s">
        <v>2594</v>
      </c>
      <c r="B1219" t="s">
        <v>2588</v>
      </c>
      <c r="C1219" t="str">
        <f>TEXT(Table1[[#This Row],[Order_Date]],"mmm")</f>
        <v>Aug</v>
      </c>
      <c r="D1219" t="s">
        <v>225</v>
      </c>
      <c r="E1219" t="s">
        <v>17</v>
      </c>
      <c r="F1219">
        <v>1</v>
      </c>
      <c r="G1219">
        <v>22612.92</v>
      </c>
      <c r="H1219">
        <v>22612.92</v>
      </c>
      <c r="I1219" t="s">
        <v>13</v>
      </c>
      <c r="J1219" t="s">
        <v>35</v>
      </c>
    </row>
    <row r="1220" spans="1:10" x14ac:dyDescent="0.35">
      <c r="A1220" t="s">
        <v>2595</v>
      </c>
      <c r="B1220" t="s">
        <v>2588</v>
      </c>
      <c r="C1220" t="str">
        <f>TEXT(Table1[[#This Row],[Order_Date]],"mmm")</f>
        <v>Aug</v>
      </c>
      <c r="D1220" t="s">
        <v>2596</v>
      </c>
      <c r="E1220" t="s">
        <v>56</v>
      </c>
      <c r="F1220">
        <v>3</v>
      </c>
      <c r="G1220">
        <v>45979.34</v>
      </c>
      <c r="H1220">
        <v>137938.01999999999</v>
      </c>
      <c r="I1220" t="s">
        <v>13</v>
      </c>
      <c r="J1220" t="s">
        <v>35</v>
      </c>
    </row>
    <row r="1221" spans="1:10" x14ac:dyDescent="0.35">
      <c r="A1221" t="s">
        <v>2597</v>
      </c>
      <c r="B1221" t="s">
        <v>2588</v>
      </c>
      <c r="C1221" t="str">
        <f>TEXT(Table1[[#This Row],[Order_Date]],"mmm")</f>
        <v>Aug</v>
      </c>
      <c r="D1221" t="s">
        <v>2598</v>
      </c>
      <c r="E1221" t="s">
        <v>12</v>
      </c>
      <c r="F1221">
        <v>2</v>
      </c>
      <c r="G1221">
        <v>36508.94</v>
      </c>
      <c r="H1221">
        <v>73017.88</v>
      </c>
      <c r="I1221" t="s">
        <v>13</v>
      </c>
      <c r="J1221" t="s">
        <v>35</v>
      </c>
    </row>
    <row r="1222" spans="1:10" x14ac:dyDescent="0.35">
      <c r="A1222" t="s">
        <v>2599</v>
      </c>
      <c r="B1222" t="s">
        <v>2588</v>
      </c>
      <c r="C1222" t="str">
        <f>TEXT(Table1[[#This Row],[Order_Date]],"mmm")</f>
        <v>Aug</v>
      </c>
      <c r="D1222" t="s">
        <v>2600</v>
      </c>
      <c r="E1222" t="s">
        <v>53</v>
      </c>
      <c r="F1222">
        <v>1</v>
      </c>
      <c r="G1222">
        <v>2799.04</v>
      </c>
      <c r="H1222">
        <v>2799.04</v>
      </c>
      <c r="I1222" t="s">
        <v>18</v>
      </c>
      <c r="J1222" t="s">
        <v>14</v>
      </c>
    </row>
    <row r="1223" spans="1:10" x14ac:dyDescent="0.35">
      <c r="A1223" t="s">
        <v>2601</v>
      </c>
      <c r="B1223" t="s">
        <v>2602</v>
      </c>
      <c r="C1223" t="str">
        <f>TEXT(Table1[[#This Row],[Order_Date]],"mmm")</f>
        <v>Aug</v>
      </c>
      <c r="D1223" t="s">
        <v>2603</v>
      </c>
      <c r="E1223" t="s">
        <v>22</v>
      </c>
      <c r="F1223">
        <v>5</v>
      </c>
      <c r="G1223">
        <v>28050.15</v>
      </c>
      <c r="H1223">
        <v>140250.75</v>
      </c>
      <c r="I1223" t="s">
        <v>18</v>
      </c>
      <c r="J1223" t="s">
        <v>24</v>
      </c>
    </row>
    <row r="1224" spans="1:10" x14ac:dyDescent="0.35">
      <c r="A1224" t="s">
        <v>2604</v>
      </c>
      <c r="B1224" t="s">
        <v>2602</v>
      </c>
      <c r="C1224" t="str">
        <f>TEXT(Table1[[#This Row],[Order_Date]],"mmm")</f>
        <v>Aug</v>
      </c>
      <c r="D1224" t="s">
        <v>2605</v>
      </c>
      <c r="E1224" t="s">
        <v>47</v>
      </c>
      <c r="F1224">
        <v>3</v>
      </c>
      <c r="G1224">
        <v>22576.31</v>
      </c>
      <c r="H1224">
        <v>67728.929999999993</v>
      </c>
      <c r="I1224" t="s">
        <v>18</v>
      </c>
      <c r="J1224" t="s">
        <v>35</v>
      </c>
    </row>
    <row r="1225" spans="1:10" x14ac:dyDescent="0.35">
      <c r="A1225" t="s">
        <v>2606</v>
      </c>
      <c r="B1225" t="s">
        <v>2602</v>
      </c>
      <c r="C1225" t="str">
        <f>TEXT(Table1[[#This Row],[Order_Date]],"mmm")</f>
        <v>Aug</v>
      </c>
      <c r="D1225" t="s">
        <v>2607</v>
      </c>
      <c r="E1225" t="s">
        <v>72</v>
      </c>
      <c r="F1225">
        <v>5</v>
      </c>
      <c r="G1225">
        <v>32603.47</v>
      </c>
      <c r="H1225">
        <v>163017.35</v>
      </c>
      <c r="I1225" t="s">
        <v>23</v>
      </c>
      <c r="J1225" t="s">
        <v>14</v>
      </c>
    </row>
    <row r="1226" spans="1:10" x14ac:dyDescent="0.35">
      <c r="A1226" t="s">
        <v>2608</v>
      </c>
      <c r="B1226" t="s">
        <v>2602</v>
      </c>
      <c r="C1226" t="str">
        <f>TEXT(Table1[[#This Row],[Order_Date]],"mmm")</f>
        <v>Aug</v>
      </c>
      <c r="D1226" t="s">
        <v>2609</v>
      </c>
      <c r="E1226" t="s">
        <v>38</v>
      </c>
      <c r="F1226">
        <v>2</v>
      </c>
      <c r="G1226">
        <v>27911.01</v>
      </c>
      <c r="H1226">
        <v>55822.02</v>
      </c>
      <c r="I1226" t="s">
        <v>23</v>
      </c>
      <c r="J1226" t="s">
        <v>19</v>
      </c>
    </row>
    <row r="1227" spans="1:10" x14ac:dyDescent="0.35">
      <c r="A1227" t="s">
        <v>2610</v>
      </c>
      <c r="B1227" t="s">
        <v>2602</v>
      </c>
      <c r="C1227" t="str">
        <f>TEXT(Table1[[#This Row],[Order_Date]],"mmm")</f>
        <v>Aug</v>
      </c>
      <c r="D1227" t="s">
        <v>2611</v>
      </c>
      <c r="E1227" t="s">
        <v>75</v>
      </c>
      <c r="F1227">
        <v>2</v>
      </c>
      <c r="G1227">
        <v>8409.98</v>
      </c>
      <c r="H1227">
        <v>16819.96</v>
      </c>
      <c r="I1227" t="s">
        <v>23</v>
      </c>
      <c r="J1227" t="s">
        <v>24</v>
      </c>
    </row>
    <row r="1228" spans="1:10" x14ac:dyDescent="0.35">
      <c r="A1228" t="s">
        <v>2612</v>
      </c>
      <c r="B1228" t="s">
        <v>2602</v>
      </c>
      <c r="C1228" t="str">
        <f>TEXT(Table1[[#This Row],[Order_Date]],"mmm")</f>
        <v>Aug</v>
      </c>
      <c r="D1228" t="s">
        <v>2613</v>
      </c>
      <c r="E1228" t="s">
        <v>12</v>
      </c>
      <c r="F1228">
        <v>2</v>
      </c>
      <c r="G1228">
        <v>3711.61</v>
      </c>
      <c r="H1228">
        <v>7423.22</v>
      </c>
      <c r="I1228" t="s">
        <v>23</v>
      </c>
      <c r="J1228" t="s">
        <v>24</v>
      </c>
    </row>
    <row r="1229" spans="1:10" x14ac:dyDescent="0.35">
      <c r="A1229" t="s">
        <v>2614</v>
      </c>
      <c r="B1229" t="s">
        <v>2602</v>
      </c>
      <c r="C1229" t="str">
        <f>TEXT(Table1[[#This Row],[Order_Date]],"mmm")</f>
        <v>Aug</v>
      </c>
      <c r="D1229" t="s">
        <v>2615</v>
      </c>
      <c r="E1229" t="s">
        <v>17</v>
      </c>
      <c r="F1229">
        <v>4</v>
      </c>
      <c r="G1229">
        <v>49309.51</v>
      </c>
      <c r="H1229">
        <v>197238.04</v>
      </c>
      <c r="I1229" t="s">
        <v>13</v>
      </c>
      <c r="J1229" t="s">
        <v>19</v>
      </c>
    </row>
    <row r="1230" spans="1:10" x14ac:dyDescent="0.35">
      <c r="A1230" t="s">
        <v>2616</v>
      </c>
      <c r="B1230" t="s">
        <v>2602</v>
      </c>
      <c r="C1230" t="str">
        <f>TEXT(Table1[[#This Row],[Order_Date]],"mmm")</f>
        <v>Aug</v>
      </c>
      <c r="D1230" t="s">
        <v>2617</v>
      </c>
      <c r="E1230" t="s">
        <v>17</v>
      </c>
      <c r="F1230">
        <v>1</v>
      </c>
      <c r="G1230">
        <v>36018.74</v>
      </c>
      <c r="H1230">
        <v>36018.74</v>
      </c>
      <c r="I1230" t="s">
        <v>13</v>
      </c>
      <c r="J1230" t="s">
        <v>35</v>
      </c>
    </row>
    <row r="1231" spans="1:10" x14ac:dyDescent="0.35">
      <c r="A1231" t="s">
        <v>2618</v>
      </c>
      <c r="B1231" t="s">
        <v>2619</v>
      </c>
      <c r="C1231" t="str">
        <f>TEXT(Table1[[#This Row],[Order_Date]],"mmm")</f>
        <v>Aug</v>
      </c>
      <c r="D1231" t="s">
        <v>2620</v>
      </c>
      <c r="E1231" t="s">
        <v>32</v>
      </c>
      <c r="F1231">
        <v>2</v>
      </c>
      <c r="G1231">
        <v>19422.509999999998</v>
      </c>
      <c r="H1231">
        <v>38845.019999999997</v>
      </c>
      <c r="I1231" t="s">
        <v>23</v>
      </c>
      <c r="J1231" t="s">
        <v>14</v>
      </c>
    </row>
    <row r="1232" spans="1:10" x14ac:dyDescent="0.35">
      <c r="A1232" t="s">
        <v>2621</v>
      </c>
      <c r="B1232" t="s">
        <v>2619</v>
      </c>
      <c r="C1232" t="str">
        <f>TEXT(Table1[[#This Row],[Order_Date]],"mmm")</f>
        <v>Aug</v>
      </c>
      <c r="D1232" t="s">
        <v>2622</v>
      </c>
      <c r="E1232" t="s">
        <v>53</v>
      </c>
      <c r="F1232">
        <v>1</v>
      </c>
      <c r="G1232">
        <v>47703.97</v>
      </c>
      <c r="H1232">
        <v>47703.97</v>
      </c>
      <c r="I1232" t="s">
        <v>13</v>
      </c>
      <c r="J1232" t="s">
        <v>24</v>
      </c>
    </row>
    <row r="1233" spans="1:10" x14ac:dyDescent="0.35">
      <c r="A1233" t="s">
        <v>2623</v>
      </c>
      <c r="B1233" t="s">
        <v>2619</v>
      </c>
      <c r="C1233" t="str">
        <f>TEXT(Table1[[#This Row],[Order_Date]],"mmm")</f>
        <v>Aug</v>
      </c>
      <c r="D1233" t="s">
        <v>2624</v>
      </c>
      <c r="E1233" t="s">
        <v>75</v>
      </c>
      <c r="F1233">
        <v>3</v>
      </c>
      <c r="G1233">
        <v>18804.11</v>
      </c>
      <c r="H1233">
        <v>56412.33</v>
      </c>
      <c r="I1233" t="s">
        <v>18</v>
      </c>
      <c r="J1233" t="s">
        <v>14</v>
      </c>
    </row>
    <row r="1234" spans="1:10" x14ac:dyDescent="0.35">
      <c r="A1234" t="s">
        <v>2625</v>
      </c>
      <c r="B1234" t="s">
        <v>2619</v>
      </c>
      <c r="C1234" t="str">
        <f>TEXT(Table1[[#This Row],[Order_Date]],"mmm")</f>
        <v>Aug</v>
      </c>
      <c r="D1234" t="s">
        <v>2626</v>
      </c>
      <c r="E1234" t="s">
        <v>17</v>
      </c>
      <c r="F1234">
        <v>3</v>
      </c>
      <c r="G1234">
        <v>2713.02</v>
      </c>
      <c r="H1234">
        <v>8139.06</v>
      </c>
      <c r="I1234" t="s">
        <v>42</v>
      </c>
      <c r="J1234" t="s">
        <v>24</v>
      </c>
    </row>
    <row r="1235" spans="1:10" x14ac:dyDescent="0.35">
      <c r="A1235" t="s">
        <v>2627</v>
      </c>
      <c r="B1235" t="s">
        <v>2619</v>
      </c>
      <c r="C1235" t="str">
        <f>TEXT(Table1[[#This Row],[Order_Date]],"mmm")</f>
        <v>Aug</v>
      </c>
      <c r="D1235" t="s">
        <v>2628</v>
      </c>
      <c r="E1235" t="s">
        <v>72</v>
      </c>
      <c r="F1235">
        <v>4</v>
      </c>
      <c r="G1235">
        <v>32543.59</v>
      </c>
      <c r="H1235">
        <v>130174.36</v>
      </c>
      <c r="I1235" t="s">
        <v>23</v>
      </c>
      <c r="J1235" t="s">
        <v>35</v>
      </c>
    </row>
    <row r="1236" spans="1:10" x14ac:dyDescent="0.35">
      <c r="A1236" t="s">
        <v>2629</v>
      </c>
      <c r="B1236" t="s">
        <v>2619</v>
      </c>
      <c r="C1236" t="str">
        <f>TEXT(Table1[[#This Row],[Order_Date]],"mmm")</f>
        <v>Aug</v>
      </c>
      <c r="D1236" t="s">
        <v>2630</v>
      </c>
      <c r="E1236" t="s">
        <v>53</v>
      </c>
      <c r="F1236">
        <v>3</v>
      </c>
      <c r="G1236">
        <v>26309.26</v>
      </c>
      <c r="H1236">
        <v>78927.78</v>
      </c>
      <c r="I1236" t="s">
        <v>42</v>
      </c>
      <c r="J1236" t="s">
        <v>19</v>
      </c>
    </row>
    <row r="1237" spans="1:10" x14ac:dyDescent="0.35">
      <c r="A1237" t="s">
        <v>2631</v>
      </c>
      <c r="B1237" t="s">
        <v>2632</v>
      </c>
      <c r="C1237" t="str">
        <f>TEXT(Table1[[#This Row],[Order_Date]],"mmm")</f>
        <v>Aug</v>
      </c>
      <c r="D1237" t="s">
        <v>2633</v>
      </c>
      <c r="E1237" t="s">
        <v>47</v>
      </c>
      <c r="F1237">
        <v>5</v>
      </c>
      <c r="G1237">
        <v>7655.94</v>
      </c>
      <c r="H1237">
        <v>38279.699999999997</v>
      </c>
      <c r="I1237" t="s">
        <v>13</v>
      </c>
      <c r="J1237" t="s">
        <v>14</v>
      </c>
    </row>
    <row r="1238" spans="1:10" x14ac:dyDescent="0.35">
      <c r="A1238" t="s">
        <v>2634</v>
      </c>
      <c r="B1238" t="s">
        <v>2632</v>
      </c>
      <c r="C1238" t="str">
        <f>TEXT(Table1[[#This Row],[Order_Date]],"mmm")</f>
        <v>Aug</v>
      </c>
      <c r="D1238" t="s">
        <v>2635</v>
      </c>
      <c r="E1238" t="s">
        <v>32</v>
      </c>
      <c r="F1238">
        <v>2</v>
      </c>
      <c r="G1238">
        <v>13366.19</v>
      </c>
      <c r="H1238">
        <v>26732.38</v>
      </c>
      <c r="I1238" t="s">
        <v>13</v>
      </c>
      <c r="J1238" t="s">
        <v>35</v>
      </c>
    </row>
    <row r="1239" spans="1:10" x14ac:dyDescent="0.35">
      <c r="A1239" t="s">
        <v>2636</v>
      </c>
      <c r="B1239" t="s">
        <v>2632</v>
      </c>
      <c r="C1239" t="str">
        <f>TEXT(Table1[[#This Row],[Order_Date]],"mmm")</f>
        <v>Aug</v>
      </c>
      <c r="D1239" t="s">
        <v>2637</v>
      </c>
      <c r="E1239" t="s">
        <v>17</v>
      </c>
      <c r="F1239">
        <v>3</v>
      </c>
      <c r="G1239">
        <v>41553.089999999997</v>
      </c>
      <c r="H1239">
        <v>124659.27</v>
      </c>
      <c r="I1239" t="s">
        <v>23</v>
      </c>
      <c r="J1239" t="s">
        <v>35</v>
      </c>
    </row>
    <row r="1240" spans="1:10" x14ac:dyDescent="0.35">
      <c r="A1240" t="s">
        <v>2638</v>
      </c>
      <c r="B1240" t="s">
        <v>2632</v>
      </c>
      <c r="C1240" t="str">
        <f>TEXT(Table1[[#This Row],[Order_Date]],"mmm")</f>
        <v>Aug</v>
      </c>
      <c r="D1240" t="s">
        <v>2639</v>
      </c>
      <c r="E1240" t="s">
        <v>22</v>
      </c>
      <c r="F1240">
        <v>5</v>
      </c>
      <c r="G1240">
        <v>41521.25</v>
      </c>
      <c r="H1240">
        <v>207606.25</v>
      </c>
      <c r="I1240" t="s">
        <v>13</v>
      </c>
      <c r="J1240" t="s">
        <v>24</v>
      </c>
    </row>
    <row r="1241" spans="1:10" x14ac:dyDescent="0.35">
      <c r="A1241" t="s">
        <v>2640</v>
      </c>
      <c r="B1241" t="s">
        <v>2632</v>
      </c>
      <c r="C1241" t="str">
        <f>TEXT(Table1[[#This Row],[Order_Date]],"mmm")</f>
        <v>Aug</v>
      </c>
      <c r="D1241" t="s">
        <v>2019</v>
      </c>
      <c r="E1241" t="s">
        <v>47</v>
      </c>
      <c r="F1241">
        <v>2</v>
      </c>
      <c r="G1241">
        <v>45703.49</v>
      </c>
      <c r="H1241">
        <v>91406.98</v>
      </c>
      <c r="I1241" t="s">
        <v>23</v>
      </c>
      <c r="J1241" t="s">
        <v>19</v>
      </c>
    </row>
    <row r="1242" spans="1:10" x14ac:dyDescent="0.35">
      <c r="A1242" t="s">
        <v>2641</v>
      </c>
      <c r="B1242" t="s">
        <v>2632</v>
      </c>
      <c r="C1242" t="str">
        <f>TEXT(Table1[[#This Row],[Order_Date]],"mmm")</f>
        <v>Aug</v>
      </c>
      <c r="D1242" t="s">
        <v>2642</v>
      </c>
      <c r="E1242" t="s">
        <v>22</v>
      </c>
      <c r="F1242">
        <v>3</v>
      </c>
      <c r="G1242">
        <v>22376.99</v>
      </c>
      <c r="H1242">
        <v>67130.97</v>
      </c>
      <c r="I1242" t="s">
        <v>18</v>
      </c>
      <c r="J1242" t="s">
        <v>14</v>
      </c>
    </row>
    <row r="1243" spans="1:10" x14ac:dyDescent="0.35">
      <c r="A1243" t="s">
        <v>2643</v>
      </c>
      <c r="B1243" t="s">
        <v>2632</v>
      </c>
      <c r="C1243" t="str">
        <f>TEXT(Table1[[#This Row],[Order_Date]],"mmm")</f>
        <v>Aug</v>
      </c>
      <c r="D1243" t="s">
        <v>2644</v>
      </c>
      <c r="E1243" t="s">
        <v>22</v>
      </c>
      <c r="F1243">
        <v>3</v>
      </c>
      <c r="G1243">
        <v>12706.47</v>
      </c>
      <c r="H1243">
        <v>38119.410000000003</v>
      </c>
      <c r="I1243" t="s">
        <v>18</v>
      </c>
      <c r="J1243" t="s">
        <v>19</v>
      </c>
    </row>
    <row r="1244" spans="1:10" x14ac:dyDescent="0.35">
      <c r="A1244" t="s">
        <v>2645</v>
      </c>
      <c r="B1244" t="s">
        <v>2646</v>
      </c>
      <c r="C1244" t="str">
        <f>TEXT(Table1[[#This Row],[Order_Date]],"mmm")</f>
        <v>Aug</v>
      </c>
      <c r="D1244" t="s">
        <v>2647</v>
      </c>
      <c r="E1244" t="s">
        <v>75</v>
      </c>
      <c r="F1244">
        <v>2</v>
      </c>
      <c r="G1244">
        <v>38167.06</v>
      </c>
      <c r="H1244">
        <v>76334.12</v>
      </c>
      <c r="I1244" t="s">
        <v>42</v>
      </c>
      <c r="J1244" t="s">
        <v>19</v>
      </c>
    </row>
    <row r="1245" spans="1:10" x14ac:dyDescent="0.35">
      <c r="A1245" t="s">
        <v>2648</v>
      </c>
      <c r="B1245" t="s">
        <v>2646</v>
      </c>
      <c r="C1245" t="str">
        <f>TEXT(Table1[[#This Row],[Order_Date]],"mmm")</f>
        <v>Aug</v>
      </c>
      <c r="D1245" t="s">
        <v>2649</v>
      </c>
      <c r="E1245" t="s">
        <v>47</v>
      </c>
      <c r="F1245">
        <v>4</v>
      </c>
      <c r="G1245">
        <v>48882.34</v>
      </c>
      <c r="H1245">
        <v>195529.36</v>
      </c>
      <c r="I1245" t="s">
        <v>23</v>
      </c>
      <c r="J1245" t="s">
        <v>24</v>
      </c>
    </row>
    <row r="1246" spans="1:10" x14ac:dyDescent="0.35">
      <c r="A1246" t="s">
        <v>2650</v>
      </c>
      <c r="B1246" t="s">
        <v>2646</v>
      </c>
      <c r="C1246" t="str">
        <f>TEXT(Table1[[#This Row],[Order_Date]],"mmm")</f>
        <v>Aug</v>
      </c>
      <c r="D1246" t="s">
        <v>2651</v>
      </c>
      <c r="E1246" t="s">
        <v>72</v>
      </c>
      <c r="F1246">
        <v>3</v>
      </c>
      <c r="G1246">
        <v>17107.23</v>
      </c>
      <c r="H1246">
        <v>51321.69</v>
      </c>
      <c r="I1246" t="s">
        <v>23</v>
      </c>
      <c r="J1246" t="s">
        <v>14</v>
      </c>
    </row>
    <row r="1247" spans="1:10" x14ac:dyDescent="0.35">
      <c r="A1247" t="s">
        <v>2652</v>
      </c>
      <c r="B1247" t="s">
        <v>2646</v>
      </c>
      <c r="C1247" t="str">
        <f>TEXT(Table1[[#This Row],[Order_Date]],"mmm")</f>
        <v>Aug</v>
      </c>
      <c r="D1247" t="s">
        <v>2653</v>
      </c>
      <c r="E1247" t="s">
        <v>12</v>
      </c>
      <c r="F1247">
        <v>2</v>
      </c>
      <c r="G1247">
        <v>26346.61</v>
      </c>
      <c r="H1247">
        <v>52693.22</v>
      </c>
      <c r="I1247" t="s">
        <v>13</v>
      </c>
      <c r="J1247" t="s">
        <v>19</v>
      </c>
    </row>
    <row r="1248" spans="1:10" x14ac:dyDescent="0.35">
      <c r="A1248" t="s">
        <v>2654</v>
      </c>
      <c r="B1248" t="s">
        <v>2646</v>
      </c>
      <c r="C1248" t="str">
        <f>TEXT(Table1[[#This Row],[Order_Date]],"mmm")</f>
        <v>Aug</v>
      </c>
      <c r="D1248" t="s">
        <v>2620</v>
      </c>
      <c r="E1248" t="s">
        <v>72</v>
      </c>
      <c r="F1248">
        <v>3</v>
      </c>
      <c r="G1248">
        <v>3083.36</v>
      </c>
      <c r="H1248">
        <v>9250.08</v>
      </c>
      <c r="I1248" t="s">
        <v>23</v>
      </c>
      <c r="J1248" t="s">
        <v>24</v>
      </c>
    </row>
    <row r="1249" spans="1:10" x14ac:dyDescent="0.35">
      <c r="A1249" t="s">
        <v>2655</v>
      </c>
      <c r="B1249" t="s">
        <v>2646</v>
      </c>
      <c r="C1249" t="str">
        <f>TEXT(Table1[[#This Row],[Order_Date]],"mmm")</f>
        <v>Aug</v>
      </c>
      <c r="D1249" t="s">
        <v>2656</v>
      </c>
      <c r="E1249" t="s">
        <v>75</v>
      </c>
      <c r="F1249">
        <v>2</v>
      </c>
      <c r="G1249">
        <v>15756.52</v>
      </c>
      <c r="H1249">
        <v>31513.040000000001</v>
      </c>
      <c r="I1249" t="s">
        <v>13</v>
      </c>
      <c r="J1249" t="s">
        <v>14</v>
      </c>
    </row>
    <row r="1250" spans="1:10" x14ac:dyDescent="0.35">
      <c r="A1250" t="s">
        <v>2657</v>
      </c>
      <c r="B1250" t="s">
        <v>2658</v>
      </c>
      <c r="C1250" t="str">
        <f>TEXT(Table1[[#This Row],[Order_Date]],"mmm")</f>
        <v>Aug</v>
      </c>
      <c r="D1250" t="s">
        <v>2659</v>
      </c>
      <c r="E1250" t="s">
        <v>32</v>
      </c>
      <c r="F1250">
        <v>4</v>
      </c>
      <c r="G1250">
        <v>35038.730000000003</v>
      </c>
      <c r="H1250">
        <v>140154.92000000001</v>
      </c>
      <c r="I1250" t="s">
        <v>13</v>
      </c>
      <c r="J1250" t="s">
        <v>24</v>
      </c>
    </row>
    <row r="1251" spans="1:10" x14ac:dyDescent="0.35">
      <c r="A1251" t="s">
        <v>2660</v>
      </c>
      <c r="B1251" t="s">
        <v>2658</v>
      </c>
      <c r="C1251" t="str">
        <f>TEXT(Table1[[#This Row],[Order_Date]],"mmm")</f>
        <v>Aug</v>
      </c>
      <c r="D1251" t="s">
        <v>2661</v>
      </c>
      <c r="E1251" t="s">
        <v>32</v>
      </c>
      <c r="F1251">
        <v>3</v>
      </c>
      <c r="G1251">
        <v>18506.689999999999</v>
      </c>
      <c r="H1251">
        <v>55520.07</v>
      </c>
      <c r="I1251" t="s">
        <v>42</v>
      </c>
      <c r="J1251" t="s">
        <v>35</v>
      </c>
    </row>
    <row r="1252" spans="1:10" x14ac:dyDescent="0.35">
      <c r="A1252" t="s">
        <v>2662</v>
      </c>
      <c r="B1252" t="s">
        <v>2658</v>
      </c>
      <c r="C1252" t="str">
        <f>TEXT(Table1[[#This Row],[Order_Date]],"mmm")</f>
        <v>Aug</v>
      </c>
      <c r="D1252" t="s">
        <v>2663</v>
      </c>
      <c r="E1252" t="s">
        <v>38</v>
      </c>
      <c r="F1252">
        <v>5</v>
      </c>
      <c r="G1252">
        <v>31169.53</v>
      </c>
      <c r="H1252">
        <v>155847.65</v>
      </c>
      <c r="I1252" t="s">
        <v>18</v>
      </c>
      <c r="J1252" t="s">
        <v>19</v>
      </c>
    </row>
    <row r="1253" spans="1:10" x14ac:dyDescent="0.35">
      <c r="A1253" t="s">
        <v>2664</v>
      </c>
      <c r="B1253" t="s">
        <v>2658</v>
      </c>
      <c r="C1253" t="str">
        <f>TEXT(Table1[[#This Row],[Order_Date]],"mmm")</f>
        <v>Aug</v>
      </c>
      <c r="D1253" t="s">
        <v>2665</v>
      </c>
      <c r="E1253" t="s">
        <v>17</v>
      </c>
      <c r="F1253">
        <v>4</v>
      </c>
      <c r="G1253">
        <v>9236.3799999999992</v>
      </c>
      <c r="H1253">
        <v>36945.519999999997</v>
      </c>
      <c r="I1253" t="s">
        <v>23</v>
      </c>
      <c r="J1253" t="s">
        <v>19</v>
      </c>
    </row>
    <row r="1254" spans="1:10" x14ac:dyDescent="0.35">
      <c r="A1254" t="s">
        <v>2666</v>
      </c>
      <c r="B1254" t="s">
        <v>2658</v>
      </c>
      <c r="C1254" t="str">
        <f>TEXT(Table1[[#This Row],[Order_Date]],"mmm")</f>
        <v>Aug</v>
      </c>
      <c r="D1254" t="s">
        <v>2667</v>
      </c>
      <c r="E1254" t="s">
        <v>72</v>
      </c>
      <c r="F1254">
        <v>2</v>
      </c>
      <c r="G1254">
        <v>14614.3</v>
      </c>
      <c r="H1254">
        <v>29228.6</v>
      </c>
      <c r="I1254" t="s">
        <v>42</v>
      </c>
      <c r="J1254" t="s">
        <v>19</v>
      </c>
    </row>
    <row r="1255" spans="1:10" x14ac:dyDescent="0.35">
      <c r="A1255" t="s">
        <v>2668</v>
      </c>
      <c r="B1255" t="s">
        <v>2669</v>
      </c>
      <c r="C1255" t="str">
        <f>TEXT(Table1[[#This Row],[Order_Date]],"mmm")</f>
        <v>Aug</v>
      </c>
      <c r="D1255" t="s">
        <v>2670</v>
      </c>
      <c r="E1255" t="s">
        <v>38</v>
      </c>
      <c r="F1255">
        <v>1</v>
      </c>
      <c r="G1255">
        <v>17817.61</v>
      </c>
      <c r="H1255">
        <v>17817.61</v>
      </c>
      <c r="I1255" t="s">
        <v>18</v>
      </c>
      <c r="J1255" t="s">
        <v>19</v>
      </c>
    </row>
    <row r="1256" spans="1:10" x14ac:dyDescent="0.35">
      <c r="A1256" t="s">
        <v>2671</v>
      </c>
      <c r="B1256" t="s">
        <v>2669</v>
      </c>
      <c r="C1256" t="str">
        <f>TEXT(Table1[[#This Row],[Order_Date]],"mmm")</f>
        <v>Aug</v>
      </c>
      <c r="D1256" t="s">
        <v>1344</v>
      </c>
      <c r="E1256" t="s">
        <v>12</v>
      </c>
      <c r="F1256">
        <v>3</v>
      </c>
      <c r="G1256">
        <v>48921.69</v>
      </c>
      <c r="H1256">
        <v>146765.07</v>
      </c>
      <c r="I1256" t="s">
        <v>42</v>
      </c>
      <c r="J1256" t="s">
        <v>35</v>
      </c>
    </row>
    <row r="1257" spans="1:10" x14ac:dyDescent="0.35">
      <c r="A1257" t="s">
        <v>2672</v>
      </c>
      <c r="B1257" t="s">
        <v>2669</v>
      </c>
      <c r="C1257" t="str">
        <f>TEXT(Table1[[#This Row],[Order_Date]],"mmm")</f>
        <v>Aug</v>
      </c>
      <c r="D1257" t="s">
        <v>2673</v>
      </c>
      <c r="E1257" t="s">
        <v>17</v>
      </c>
      <c r="F1257">
        <v>4</v>
      </c>
      <c r="G1257">
        <v>2709.73</v>
      </c>
      <c r="H1257">
        <v>10838.92</v>
      </c>
      <c r="I1257" t="s">
        <v>23</v>
      </c>
      <c r="J1257" t="s">
        <v>19</v>
      </c>
    </row>
    <row r="1258" spans="1:10" x14ac:dyDescent="0.35">
      <c r="A1258" t="s">
        <v>2674</v>
      </c>
      <c r="B1258" t="s">
        <v>2675</v>
      </c>
      <c r="C1258" t="str">
        <f>TEXT(Table1[[#This Row],[Order_Date]],"mmm")</f>
        <v>Aug</v>
      </c>
      <c r="D1258" t="s">
        <v>2676</v>
      </c>
      <c r="E1258" t="s">
        <v>53</v>
      </c>
      <c r="F1258">
        <v>5</v>
      </c>
      <c r="G1258">
        <v>13856.96</v>
      </c>
      <c r="H1258">
        <v>69284.800000000003</v>
      </c>
      <c r="I1258" t="s">
        <v>23</v>
      </c>
      <c r="J1258" t="s">
        <v>24</v>
      </c>
    </row>
    <row r="1259" spans="1:10" x14ac:dyDescent="0.35">
      <c r="A1259" t="s">
        <v>2677</v>
      </c>
      <c r="B1259" t="s">
        <v>2675</v>
      </c>
      <c r="C1259" t="str">
        <f>TEXT(Table1[[#This Row],[Order_Date]],"mmm")</f>
        <v>Aug</v>
      </c>
      <c r="D1259" t="s">
        <v>2678</v>
      </c>
      <c r="E1259" t="s">
        <v>12</v>
      </c>
      <c r="F1259">
        <v>3</v>
      </c>
      <c r="G1259">
        <v>49338.74</v>
      </c>
      <c r="H1259">
        <v>148016.22</v>
      </c>
      <c r="I1259" t="s">
        <v>13</v>
      </c>
      <c r="J1259" t="s">
        <v>24</v>
      </c>
    </row>
    <row r="1260" spans="1:10" x14ac:dyDescent="0.35">
      <c r="A1260" t="s">
        <v>2679</v>
      </c>
      <c r="B1260" t="s">
        <v>2675</v>
      </c>
      <c r="C1260" t="str">
        <f>TEXT(Table1[[#This Row],[Order_Date]],"mmm")</f>
        <v>Aug</v>
      </c>
      <c r="D1260" t="s">
        <v>1258</v>
      </c>
      <c r="E1260" t="s">
        <v>38</v>
      </c>
      <c r="F1260">
        <v>1</v>
      </c>
      <c r="G1260">
        <v>39257.360000000001</v>
      </c>
      <c r="H1260">
        <v>39257.360000000001</v>
      </c>
      <c r="I1260" t="s">
        <v>42</v>
      </c>
      <c r="J1260" t="s">
        <v>24</v>
      </c>
    </row>
    <row r="1261" spans="1:10" x14ac:dyDescent="0.35">
      <c r="A1261" t="s">
        <v>2680</v>
      </c>
      <c r="B1261" t="s">
        <v>2675</v>
      </c>
      <c r="C1261" t="str">
        <f>TEXT(Table1[[#This Row],[Order_Date]],"mmm")</f>
        <v>Aug</v>
      </c>
      <c r="D1261" t="s">
        <v>2681</v>
      </c>
      <c r="E1261" t="s">
        <v>47</v>
      </c>
      <c r="F1261">
        <v>4</v>
      </c>
      <c r="G1261">
        <v>24480.59</v>
      </c>
      <c r="H1261">
        <v>97922.36</v>
      </c>
      <c r="I1261" t="s">
        <v>18</v>
      </c>
      <c r="J1261" t="s">
        <v>35</v>
      </c>
    </row>
    <row r="1262" spans="1:10" x14ac:dyDescent="0.35">
      <c r="A1262" t="s">
        <v>2682</v>
      </c>
      <c r="B1262" t="s">
        <v>2683</v>
      </c>
      <c r="C1262" t="str">
        <f>TEXT(Table1[[#This Row],[Order_Date]],"mmm")</f>
        <v>Aug</v>
      </c>
      <c r="D1262" t="s">
        <v>2038</v>
      </c>
      <c r="E1262" t="s">
        <v>75</v>
      </c>
      <c r="F1262">
        <v>1</v>
      </c>
      <c r="G1262">
        <v>8692.14</v>
      </c>
      <c r="H1262">
        <v>8692.14</v>
      </c>
      <c r="I1262" t="s">
        <v>18</v>
      </c>
      <c r="J1262" t="s">
        <v>24</v>
      </c>
    </row>
    <row r="1263" spans="1:10" x14ac:dyDescent="0.35">
      <c r="A1263" t="s">
        <v>2684</v>
      </c>
      <c r="B1263" t="s">
        <v>2683</v>
      </c>
      <c r="C1263" t="str">
        <f>TEXT(Table1[[#This Row],[Order_Date]],"mmm")</f>
        <v>Aug</v>
      </c>
      <c r="D1263" t="s">
        <v>1915</v>
      </c>
      <c r="E1263" t="s">
        <v>72</v>
      </c>
      <c r="F1263">
        <v>2</v>
      </c>
      <c r="G1263">
        <v>39628.19</v>
      </c>
      <c r="H1263">
        <v>79256.38</v>
      </c>
      <c r="I1263" t="s">
        <v>42</v>
      </c>
      <c r="J1263" t="s">
        <v>35</v>
      </c>
    </row>
    <row r="1264" spans="1:10" x14ac:dyDescent="0.35">
      <c r="A1264" t="s">
        <v>2685</v>
      </c>
      <c r="B1264" t="s">
        <v>2683</v>
      </c>
      <c r="C1264" t="str">
        <f>TEXT(Table1[[#This Row],[Order_Date]],"mmm")</f>
        <v>Aug</v>
      </c>
      <c r="D1264" t="s">
        <v>505</v>
      </c>
      <c r="E1264" t="s">
        <v>38</v>
      </c>
      <c r="F1264">
        <v>3</v>
      </c>
      <c r="G1264">
        <v>1417.67</v>
      </c>
      <c r="H1264">
        <v>4253.01</v>
      </c>
      <c r="I1264" t="s">
        <v>18</v>
      </c>
      <c r="J1264" t="s">
        <v>19</v>
      </c>
    </row>
    <row r="1265" spans="1:10" x14ac:dyDescent="0.35">
      <c r="A1265" t="s">
        <v>2686</v>
      </c>
      <c r="B1265" t="s">
        <v>2687</v>
      </c>
      <c r="C1265" t="str">
        <f>TEXT(Table1[[#This Row],[Order_Date]],"mmm")</f>
        <v>Aug</v>
      </c>
      <c r="D1265" t="s">
        <v>2688</v>
      </c>
      <c r="E1265" t="s">
        <v>47</v>
      </c>
      <c r="F1265">
        <v>5</v>
      </c>
      <c r="G1265">
        <v>29837.24</v>
      </c>
      <c r="H1265">
        <v>149186.20000000001</v>
      </c>
      <c r="I1265" t="s">
        <v>18</v>
      </c>
      <c r="J1265" t="s">
        <v>14</v>
      </c>
    </row>
    <row r="1266" spans="1:10" x14ac:dyDescent="0.35">
      <c r="A1266" t="s">
        <v>2689</v>
      </c>
      <c r="B1266" t="s">
        <v>2687</v>
      </c>
      <c r="C1266" t="str">
        <f>TEXT(Table1[[#This Row],[Order_Date]],"mmm")</f>
        <v>Aug</v>
      </c>
      <c r="D1266" t="s">
        <v>2690</v>
      </c>
      <c r="E1266" t="s">
        <v>17</v>
      </c>
      <c r="F1266">
        <v>5</v>
      </c>
      <c r="G1266">
        <v>25564.83</v>
      </c>
      <c r="H1266">
        <v>127824.15</v>
      </c>
      <c r="I1266" t="s">
        <v>13</v>
      </c>
      <c r="J1266" t="s">
        <v>24</v>
      </c>
    </row>
    <row r="1267" spans="1:10" x14ac:dyDescent="0.35">
      <c r="A1267" t="s">
        <v>2691</v>
      </c>
      <c r="B1267" t="s">
        <v>2687</v>
      </c>
      <c r="C1267" t="str">
        <f>TEXT(Table1[[#This Row],[Order_Date]],"mmm")</f>
        <v>Aug</v>
      </c>
      <c r="D1267" t="s">
        <v>2692</v>
      </c>
      <c r="E1267" t="s">
        <v>56</v>
      </c>
      <c r="F1267">
        <v>3</v>
      </c>
      <c r="G1267">
        <v>22860.75</v>
      </c>
      <c r="H1267">
        <v>68582.25</v>
      </c>
      <c r="I1267" t="s">
        <v>18</v>
      </c>
      <c r="J1267" t="s">
        <v>19</v>
      </c>
    </row>
    <row r="1268" spans="1:10" x14ac:dyDescent="0.35">
      <c r="A1268" t="s">
        <v>2693</v>
      </c>
      <c r="B1268" t="s">
        <v>2687</v>
      </c>
      <c r="C1268" t="str">
        <f>TEXT(Table1[[#This Row],[Order_Date]],"mmm")</f>
        <v>Aug</v>
      </c>
      <c r="D1268" t="s">
        <v>2694</v>
      </c>
      <c r="E1268" t="s">
        <v>75</v>
      </c>
      <c r="F1268">
        <v>1</v>
      </c>
      <c r="G1268">
        <v>37202.449999999997</v>
      </c>
      <c r="H1268">
        <v>37202.449999999997</v>
      </c>
      <c r="I1268" t="s">
        <v>13</v>
      </c>
      <c r="J1268" t="s">
        <v>24</v>
      </c>
    </row>
    <row r="1269" spans="1:10" x14ac:dyDescent="0.35">
      <c r="A1269" t="s">
        <v>2695</v>
      </c>
      <c r="B1269" t="s">
        <v>2687</v>
      </c>
      <c r="C1269" t="str">
        <f>TEXT(Table1[[#This Row],[Order_Date]],"mmm")</f>
        <v>Aug</v>
      </c>
      <c r="D1269" t="s">
        <v>2696</v>
      </c>
      <c r="E1269" t="s">
        <v>38</v>
      </c>
      <c r="F1269">
        <v>1</v>
      </c>
      <c r="G1269">
        <v>41083.360000000001</v>
      </c>
      <c r="H1269">
        <v>41083.360000000001</v>
      </c>
      <c r="I1269" t="s">
        <v>42</v>
      </c>
      <c r="J1269" t="s">
        <v>19</v>
      </c>
    </row>
    <row r="1270" spans="1:10" x14ac:dyDescent="0.35">
      <c r="A1270" t="s">
        <v>2697</v>
      </c>
      <c r="B1270" t="s">
        <v>2687</v>
      </c>
      <c r="C1270" t="str">
        <f>TEXT(Table1[[#This Row],[Order_Date]],"mmm")</f>
        <v>Aug</v>
      </c>
      <c r="D1270" t="s">
        <v>2698</v>
      </c>
      <c r="E1270" t="s">
        <v>72</v>
      </c>
      <c r="F1270">
        <v>2</v>
      </c>
      <c r="G1270">
        <v>20808.53</v>
      </c>
      <c r="H1270">
        <v>41617.06</v>
      </c>
      <c r="I1270" t="s">
        <v>23</v>
      </c>
      <c r="J1270" t="s">
        <v>24</v>
      </c>
    </row>
    <row r="1271" spans="1:10" x14ac:dyDescent="0.35">
      <c r="A1271" t="s">
        <v>2699</v>
      </c>
      <c r="B1271" t="s">
        <v>2687</v>
      </c>
      <c r="C1271" t="str">
        <f>TEXT(Table1[[#This Row],[Order_Date]],"mmm")</f>
        <v>Aug</v>
      </c>
      <c r="D1271" t="s">
        <v>2700</v>
      </c>
      <c r="E1271" t="s">
        <v>22</v>
      </c>
      <c r="F1271">
        <v>3</v>
      </c>
      <c r="G1271">
        <v>16745.47</v>
      </c>
      <c r="H1271">
        <v>50236.41</v>
      </c>
      <c r="I1271" t="s">
        <v>42</v>
      </c>
      <c r="J1271" t="s">
        <v>14</v>
      </c>
    </row>
    <row r="1272" spans="1:10" x14ac:dyDescent="0.35">
      <c r="A1272" t="s">
        <v>2701</v>
      </c>
      <c r="B1272" t="s">
        <v>2687</v>
      </c>
      <c r="C1272" t="str">
        <f>TEXT(Table1[[#This Row],[Order_Date]],"mmm")</f>
        <v>Aug</v>
      </c>
      <c r="D1272" t="s">
        <v>2702</v>
      </c>
      <c r="E1272" t="s">
        <v>75</v>
      </c>
      <c r="F1272">
        <v>5</v>
      </c>
      <c r="G1272">
        <v>30426.48</v>
      </c>
      <c r="H1272">
        <v>152132.4</v>
      </c>
      <c r="I1272" t="s">
        <v>13</v>
      </c>
      <c r="J1272" t="s">
        <v>24</v>
      </c>
    </row>
    <row r="1273" spans="1:10" x14ac:dyDescent="0.35">
      <c r="A1273" t="s">
        <v>2703</v>
      </c>
      <c r="B1273" t="s">
        <v>2704</v>
      </c>
      <c r="C1273" t="str">
        <f>TEXT(Table1[[#This Row],[Order_Date]],"mmm")</f>
        <v>Aug</v>
      </c>
      <c r="D1273" t="s">
        <v>2705</v>
      </c>
      <c r="E1273" t="s">
        <v>72</v>
      </c>
      <c r="F1273">
        <v>1</v>
      </c>
      <c r="G1273">
        <v>13314.31</v>
      </c>
      <c r="H1273">
        <v>13314.31</v>
      </c>
      <c r="I1273" t="s">
        <v>42</v>
      </c>
      <c r="J1273" t="s">
        <v>14</v>
      </c>
    </row>
    <row r="1274" spans="1:10" x14ac:dyDescent="0.35">
      <c r="A1274" t="s">
        <v>2706</v>
      </c>
      <c r="B1274" t="s">
        <v>2704</v>
      </c>
      <c r="C1274" t="str">
        <f>TEXT(Table1[[#This Row],[Order_Date]],"mmm")</f>
        <v>Aug</v>
      </c>
      <c r="D1274" t="s">
        <v>2707</v>
      </c>
      <c r="E1274" t="s">
        <v>22</v>
      </c>
      <c r="F1274">
        <v>5</v>
      </c>
      <c r="G1274">
        <v>17349.73</v>
      </c>
      <c r="H1274">
        <v>86748.65</v>
      </c>
      <c r="I1274" t="s">
        <v>23</v>
      </c>
      <c r="J1274" t="s">
        <v>14</v>
      </c>
    </row>
    <row r="1275" spans="1:10" x14ac:dyDescent="0.35">
      <c r="A1275" t="s">
        <v>2708</v>
      </c>
      <c r="B1275" t="s">
        <v>2704</v>
      </c>
      <c r="C1275" t="str">
        <f>TEXT(Table1[[#This Row],[Order_Date]],"mmm")</f>
        <v>Aug</v>
      </c>
      <c r="D1275" t="s">
        <v>2709</v>
      </c>
      <c r="E1275" t="s">
        <v>75</v>
      </c>
      <c r="F1275">
        <v>3</v>
      </c>
      <c r="G1275">
        <v>34085.46</v>
      </c>
      <c r="H1275">
        <v>102256.38</v>
      </c>
      <c r="I1275" t="s">
        <v>42</v>
      </c>
      <c r="J1275" t="s">
        <v>19</v>
      </c>
    </row>
    <row r="1276" spans="1:10" x14ac:dyDescent="0.35">
      <c r="A1276" t="s">
        <v>2710</v>
      </c>
      <c r="B1276" t="s">
        <v>2704</v>
      </c>
      <c r="C1276" t="str">
        <f>TEXT(Table1[[#This Row],[Order_Date]],"mmm")</f>
        <v>Aug</v>
      </c>
      <c r="D1276" t="s">
        <v>2711</v>
      </c>
      <c r="E1276" t="s">
        <v>56</v>
      </c>
      <c r="F1276">
        <v>1</v>
      </c>
      <c r="G1276">
        <v>43607.83</v>
      </c>
      <c r="H1276">
        <v>43607.83</v>
      </c>
      <c r="I1276" t="s">
        <v>42</v>
      </c>
      <c r="J1276" t="s">
        <v>35</v>
      </c>
    </row>
    <row r="1277" spans="1:10" x14ac:dyDescent="0.35">
      <c r="A1277" t="s">
        <v>2712</v>
      </c>
      <c r="B1277" t="s">
        <v>2704</v>
      </c>
      <c r="C1277" t="str">
        <f>TEXT(Table1[[#This Row],[Order_Date]],"mmm")</f>
        <v>Aug</v>
      </c>
      <c r="D1277" t="s">
        <v>2713</v>
      </c>
      <c r="E1277" t="s">
        <v>75</v>
      </c>
      <c r="F1277">
        <v>2</v>
      </c>
      <c r="G1277">
        <v>2326.41</v>
      </c>
      <c r="H1277">
        <v>4652.82</v>
      </c>
      <c r="I1277" t="s">
        <v>18</v>
      </c>
      <c r="J1277" t="s">
        <v>14</v>
      </c>
    </row>
    <row r="1278" spans="1:10" x14ac:dyDescent="0.35">
      <c r="A1278" t="s">
        <v>2714</v>
      </c>
      <c r="B1278" t="s">
        <v>2704</v>
      </c>
      <c r="C1278" t="str">
        <f>TEXT(Table1[[#This Row],[Order_Date]],"mmm")</f>
        <v>Aug</v>
      </c>
      <c r="D1278" t="s">
        <v>2715</v>
      </c>
      <c r="E1278" t="s">
        <v>32</v>
      </c>
      <c r="F1278">
        <v>4</v>
      </c>
      <c r="G1278">
        <v>35635.879999999997</v>
      </c>
      <c r="H1278">
        <v>142543.51999999999</v>
      </c>
      <c r="I1278" t="s">
        <v>23</v>
      </c>
      <c r="J1278" t="s">
        <v>24</v>
      </c>
    </row>
    <row r="1279" spans="1:10" x14ac:dyDescent="0.35">
      <c r="A1279" t="s">
        <v>2716</v>
      </c>
      <c r="B1279" t="s">
        <v>2704</v>
      </c>
      <c r="C1279" t="str">
        <f>TEXT(Table1[[#This Row],[Order_Date]],"mmm")</f>
        <v>Aug</v>
      </c>
      <c r="D1279" t="s">
        <v>2717</v>
      </c>
      <c r="E1279" t="s">
        <v>75</v>
      </c>
      <c r="F1279">
        <v>3</v>
      </c>
      <c r="G1279">
        <v>45817.83</v>
      </c>
      <c r="H1279">
        <v>137453.49</v>
      </c>
      <c r="I1279" t="s">
        <v>23</v>
      </c>
      <c r="J1279" t="s">
        <v>24</v>
      </c>
    </row>
    <row r="1280" spans="1:10" x14ac:dyDescent="0.35">
      <c r="A1280" t="s">
        <v>2718</v>
      </c>
      <c r="B1280" t="s">
        <v>2704</v>
      </c>
      <c r="C1280" t="str">
        <f>TEXT(Table1[[#This Row],[Order_Date]],"mmm")</f>
        <v>Aug</v>
      </c>
      <c r="D1280" t="s">
        <v>2719</v>
      </c>
      <c r="E1280" t="s">
        <v>53</v>
      </c>
      <c r="F1280">
        <v>2</v>
      </c>
      <c r="G1280">
        <v>38455.08</v>
      </c>
      <c r="H1280">
        <v>76910.16</v>
      </c>
      <c r="I1280" t="s">
        <v>42</v>
      </c>
      <c r="J1280" t="s">
        <v>19</v>
      </c>
    </row>
    <row r="1281" spans="1:10" x14ac:dyDescent="0.35">
      <c r="A1281" t="s">
        <v>2720</v>
      </c>
      <c r="B1281" t="s">
        <v>2721</v>
      </c>
      <c r="C1281" t="str">
        <f>TEXT(Table1[[#This Row],[Order_Date]],"mmm")</f>
        <v>Aug</v>
      </c>
      <c r="D1281" t="s">
        <v>2722</v>
      </c>
      <c r="E1281" t="s">
        <v>22</v>
      </c>
      <c r="F1281">
        <v>3</v>
      </c>
      <c r="G1281">
        <v>46093.35</v>
      </c>
      <c r="H1281">
        <v>138280.04999999999</v>
      </c>
      <c r="I1281" t="s">
        <v>13</v>
      </c>
      <c r="J1281" t="s">
        <v>19</v>
      </c>
    </row>
    <row r="1282" spans="1:10" x14ac:dyDescent="0.35">
      <c r="A1282" t="s">
        <v>2723</v>
      </c>
      <c r="B1282" t="s">
        <v>2721</v>
      </c>
      <c r="C1282" t="str">
        <f>TEXT(Table1[[#This Row],[Order_Date]],"mmm")</f>
        <v>Aug</v>
      </c>
      <c r="D1282" t="s">
        <v>2724</v>
      </c>
      <c r="E1282" t="s">
        <v>72</v>
      </c>
      <c r="F1282">
        <v>1</v>
      </c>
      <c r="G1282">
        <v>20168.759999999998</v>
      </c>
      <c r="H1282">
        <v>20168.759999999998</v>
      </c>
      <c r="I1282" t="s">
        <v>13</v>
      </c>
      <c r="J1282" t="s">
        <v>24</v>
      </c>
    </row>
    <row r="1283" spans="1:10" x14ac:dyDescent="0.35">
      <c r="A1283" t="s">
        <v>2725</v>
      </c>
      <c r="B1283" t="s">
        <v>2721</v>
      </c>
      <c r="C1283" t="str">
        <f>TEXT(Table1[[#This Row],[Order_Date]],"mmm")</f>
        <v>Aug</v>
      </c>
      <c r="D1283" t="s">
        <v>2726</v>
      </c>
      <c r="E1283" t="s">
        <v>56</v>
      </c>
      <c r="F1283">
        <v>1</v>
      </c>
      <c r="G1283">
        <v>9700.23</v>
      </c>
      <c r="H1283">
        <v>9700.23</v>
      </c>
      <c r="I1283" t="s">
        <v>23</v>
      </c>
      <c r="J1283" t="s">
        <v>14</v>
      </c>
    </row>
    <row r="1284" spans="1:10" x14ac:dyDescent="0.35">
      <c r="A1284" t="s">
        <v>2727</v>
      </c>
      <c r="B1284" t="s">
        <v>2721</v>
      </c>
      <c r="C1284" t="str">
        <f>TEXT(Table1[[#This Row],[Order_Date]],"mmm")</f>
        <v>Aug</v>
      </c>
      <c r="D1284" t="s">
        <v>2728</v>
      </c>
      <c r="E1284" t="s">
        <v>32</v>
      </c>
      <c r="F1284">
        <v>4</v>
      </c>
      <c r="G1284">
        <v>36612.17</v>
      </c>
      <c r="H1284">
        <v>146448.68</v>
      </c>
      <c r="I1284" t="s">
        <v>42</v>
      </c>
      <c r="J1284" t="s">
        <v>14</v>
      </c>
    </row>
    <row r="1285" spans="1:10" x14ac:dyDescent="0.35">
      <c r="A1285" t="s">
        <v>2729</v>
      </c>
      <c r="B1285" t="s">
        <v>2730</v>
      </c>
      <c r="C1285" t="str">
        <f>TEXT(Table1[[#This Row],[Order_Date]],"mmm")</f>
        <v>Aug</v>
      </c>
      <c r="D1285" t="s">
        <v>2731</v>
      </c>
      <c r="E1285" t="s">
        <v>72</v>
      </c>
      <c r="F1285">
        <v>1</v>
      </c>
      <c r="G1285">
        <v>21619.35</v>
      </c>
      <c r="H1285">
        <v>21619.35</v>
      </c>
      <c r="I1285" t="s">
        <v>23</v>
      </c>
      <c r="J1285" t="s">
        <v>35</v>
      </c>
    </row>
    <row r="1286" spans="1:10" x14ac:dyDescent="0.35">
      <c r="A1286" t="s">
        <v>2732</v>
      </c>
      <c r="B1286" t="s">
        <v>2730</v>
      </c>
      <c r="C1286" t="str">
        <f>TEXT(Table1[[#This Row],[Order_Date]],"mmm")</f>
        <v>Aug</v>
      </c>
      <c r="D1286" t="s">
        <v>2733</v>
      </c>
      <c r="E1286" t="s">
        <v>53</v>
      </c>
      <c r="F1286">
        <v>3</v>
      </c>
      <c r="G1286">
        <v>28561.84</v>
      </c>
      <c r="H1286">
        <v>85685.52</v>
      </c>
      <c r="I1286" t="s">
        <v>42</v>
      </c>
      <c r="J1286" t="s">
        <v>14</v>
      </c>
    </row>
    <row r="1287" spans="1:10" x14ac:dyDescent="0.35">
      <c r="A1287" t="s">
        <v>2734</v>
      </c>
      <c r="B1287" t="s">
        <v>2730</v>
      </c>
      <c r="C1287" t="str">
        <f>TEXT(Table1[[#This Row],[Order_Date]],"mmm")</f>
        <v>Aug</v>
      </c>
      <c r="D1287" t="s">
        <v>2735</v>
      </c>
      <c r="E1287" t="s">
        <v>53</v>
      </c>
      <c r="F1287">
        <v>2</v>
      </c>
      <c r="G1287">
        <v>12976.51</v>
      </c>
      <c r="H1287">
        <v>25953.02</v>
      </c>
      <c r="I1287" t="s">
        <v>23</v>
      </c>
      <c r="J1287" t="s">
        <v>19</v>
      </c>
    </row>
    <row r="1288" spans="1:10" x14ac:dyDescent="0.35">
      <c r="A1288" t="s">
        <v>2736</v>
      </c>
      <c r="B1288" t="s">
        <v>2730</v>
      </c>
      <c r="C1288" t="str">
        <f>TEXT(Table1[[#This Row],[Order_Date]],"mmm")</f>
        <v>Aug</v>
      </c>
      <c r="D1288" t="s">
        <v>2737</v>
      </c>
      <c r="E1288" t="s">
        <v>12</v>
      </c>
      <c r="F1288">
        <v>5</v>
      </c>
      <c r="G1288">
        <v>41378.44</v>
      </c>
      <c r="H1288">
        <v>206892.2</v>
      </c>
      <c r="I1288" t="s">
        <v>18</v>
      </c>
      <c r="J1288" t="s">
        <v>35</v>
      </c>
    </row>
    <row r="1289" spans="1:10" x14ac:dyDescent="0.35">
      <c r="A1289" t="s">
        <v>2738</v>
      </c>
      <c r="B1289" t="s">
        <v>2739</v>
      </c>
      <c r="C1289" t="str">
        <f>TEXT(Table1[[#This Row],[Order_Date]],"mmm")</f>
        <v>Aug</v>
      </c>
      <c r="D1289" t="s">
        <v>2740</v>
      </c>
      <c r="E1289" t="s">
        <v>75</v>
      </c>
      <c r="F1289">
        <v>4</v>
      </c>
      <c r="G1289">
        <v>13945.5</v>
      </c>
      <c r="H1289">
        <v>55782</v>
      </c>
      <c r="I1289" t="s">
        <v>18</v>
      </c>
      <c r="J1289" t="s">
        <v>19</v>
      </c>
    </row>
    <row r="1290" spans="1:10" x14ac:dyDescent="0.35">
      <c r="A1290" t="s">
        <v>2741</v>
      </c>
      <c r="B1290" t="s">
        <v>2739</v>
      </c>
      <c r="C1290" t="str">
        <f>TEXT(Table1[[#This Row],[Order_Date]],"mmm")</f>
        <v>Aug</v>
      </c>
      <c r="D1290" t="s">
        <v>2742</v>
      </c>
      <c r="E1290" t="s">
        <v>22</v>
      </c>
      <c r="F1290">
        <v>1</v>
      </c>
      <c r="G1290">
        <v>6360.9</v>
      </c>
      <c r="H1290">
        <v>6360.9</v>
      </c>
      <c r="I1290" t="s">
        <v>23</v>
      </c>
      <c r="J1290" t="s">
        <v>35</v>
      </c>
    </row>
    <row r="1291" spans="1:10" x14ac:dyDescent="0.35">
      <c r="A1291" t="s">
        <v>2743</v>
      </c>
      <c r="B1291" t="s">
        <v>2739</v>
      </c>
      <c r="C1291" t="str">
        <f>TEXT(Table1[[#This Row],[Order_Date]],"mmm")</f>
        <v>Aug</v>
      </c>
      <c r="D1291" t="s">
        <v>2744</v>
      </c>
      <c r="E1291" t="s">
        <v>22</v>
      </c>
      <c r="F1291">
        <v>4</v>
      </c>
      <c r="G1291">
        <v>8587.89</v>
      </c>
      <c r="H1291">
        <v>34351.56</v>
      </c>
      <c r="I1291" t="s">
        <v>18</v>
      </c>
      <c r="J1291" t="s">
        <v>35</v>
      </c>
    </row>
    <row r="1292" spans="1:10" x14ac:dyDescent="0.35">
      <c r="A1292" t="s">
        <v>2745</v>
      </c>
      <c r="B1292" t="s">
        <v>2739</v>
      </c>
      <c r="C1292" t="str">
        <f>TEXT(Table1[[#This Row],[Order_Date]],"mmm")</f>
        <v>Aug</v>
      </c>
      <c r="D1292" t="s">
        <v>1866</v>
      </c>
      <c r="E1292" t="s">
        <v>53</v>
      </c>
      <c r="F1292">
        <v>1</v>
      </c>
      <c r="G1292">
        <v>18775.080000000002</v>
      </c>
      <c r="H1292">
        <v>18775.080000000002</v>
      </c>
      <c r="I1292" t="s">
        <v>42</v>
      </c>
      <c r="J1292" t="s">
        <v>14</v>
      </c>
    </row>
    <row r="1293" spans="1:10" x14ac:dyDescent="0.35">
      <c r="A1293" t="s">
        <v>2746</v>
      </c>
      <c r="B1293" t="s">
        <v>2747</v>
      </c>
      <c r="C1293" t="str">
        <f>TEXT(Table1[[#This Row],[Order_Date]],"mmm")</f>
        <v>Aug</v>
      </c>
      <c r="D1293" t="s">
        <v>2179</v>
      </c>
      <c r="E1293" t="s">
        <v>12</v>
      </c>
      <c r="F1293">
        <v>3</v>
      </c>
      <c r="G1293">
        <v>48913.93</v>
      </c>
      <c r="H1293">
        <v>146741.79</v>
      </c>
      <c r="I1293" t="s">
        <v>18</v>
      </c>
      <c r="J1293" t="s">
        <v>35</v>
      </c>
    </row>
    <row r="1294" spans="1:10" x14ac:dyDescent="0.35">
      <c r="A1294" t="s">
        <v>2748</v>
      </c>
      <c r="B1294" t="s">
        <v>2747</v>
      </c>
      <c r="C1294" t="str">
        <f>TEXT(Table1[[#This Row],[Order_Date]],"mmm")</f>
        <v>Aug</v>
      </c>
      <c r="D1294" t="s">
        <v>2749</v>
      </c>
      <c r="E1294" t="s">
        <v>72</v>
      </c>
      <c r="F1294">
        <v>3</v>
      </c>
      <c r="G1294">
        <v>28255.25</v>
      </c>
      <c r="H1294">
        <v>84765.75</v>
      </c>
      <c r="I1294" t="s">
        <v>42</v>
      </c>
      <c r="J1294" t="s">
        <v>14</v>
      </c>
    </row>
    <row r="1295" spans="1:10" x14ac:dyDescent="0.35">
      <c r="A1295" t="s">
        <v>2750</v>
      </c>
      <c r="B1295" t="s">
        <v>2747</v>
      </c>
      <c r="C1295" t="str">
        <f>TEXT(Table1[[#This Row],[Order_Date]],"mmm")</f>
        <v>Aug</v>
      </c>
      <c r="D1295" t="s">
        <v>146</v>
      </c>
      <c r="E1295" t="s">
        <v>38</v>
      </c>
      <c r="F1295">
        <v>2</v>
      </c>
      <c r="G1295">
        <v>39541.269999999997</v>
      </c>
      <c r="H1295">
        <v>79082.539999999994</v>
      </c>
      <c r="I1295" t="s">
        <v>42</v>
      </c>
      <c r="J1295" t="s">
        <v>14</v>
      </c>
    </row>
    <row r="1296" spans="1:10" x14ac:dyDescent="0.35">
      <c r="A1296" t="s">
        <v>2751</v>
      </c>
      <c r="B1296" t="s">
        <v>2747</v>
      </c>
      <c r="C1296" t="str">
        <f>TEXT(Table1[[#This Row],[Order_Date]],"mmm")</f>
        <v>Aug</v>
      </c>
      <c r="D1296" t="s">
        <v>2752</v>
      </c>
      <c r="E1296" t="s">
        <v>32</v>
      </c>
      <c r="F1296">
        <v>2</v>
      </c>
      <c r="G1296">
        <v>8858.92</v>
      </c>
      <c r="H1296">
        <v>17717.84</v>
      </c>
      <c r="I1296" t="s">
        <v>42</v>
      </c>
      <c r="J1296" t="s">
        <v>35</v>
      </c>
    </row>
    <row r="1297" spans="1:10" x14ac:dyDescent="0.35">
      <c r="A1297" t="s">
        <v>2753</v>
      </c>
      <c r="B1297" t="s">
        <v>2747</v>
      </c>
      <c r="C1297" t="str">
        <f>TEXT(Table1[[#This Row],[Order_Date]],"mmm")</f>
        <v>Aug</v>
      </c>
      <c r="D1297" t="s">
        <v>2754</v>
      </c>
      <c r="E1297" t="s">
        <v>47</v>
      </c>
      <c r="F1297">
        <v>1</v>
      </c>
      <c r="G1297">
        <v>13350.05</v>
      </c>
      <c r="H1297">
        <v>13350.05</v>
      </c>
      <c r="I1297" t="s">
        <v>18</v>
      </c>
      <c r="J1297" t="s">
        <v>24</v>
      </c>
    </row>
    <row r="1298" spans="1:10" x14ac:dyDescent="0.35">
      <c r="A1298" t="s">
        <v>2755</v>
      </c>
      <c r="B1298" t="s">
        <v>2747</v>
      </c>
      <c r="C1298" t="str">
        <f>TEXT(Table1[[#This Row],[Order_Date]],"mmm")</f>
        <v>Aug</v>
      </c>
      <c r="D1298" t="s">
        <v>2756</v>
      </c>
      <c r="E1298" t="s">
        <v>38</v>
      </c>
      <c r="F1298">
        <v>3</v>
      </c>
      <c r="G1298">
        <v>30225.32</v>
      </c>
      <c r="H1298">
        <v>90675.96</v>
      </c>
      <c r="I1298" t="s">
        <v>18</v>
      </c>
      <c r="J1298" t="s">
        <v>24</v>
      </c>
    </row>
    <row r="1299" spans="1:10" x14ac:dyDescent="0.35">
      <c r="A1299" t="s">
        <v>2757</v>
      </c>
      <c r="B1299" t="s">
        <v>2747</v>
      </c>
      <c r="C1299" t="str">
        <f>TEXT(Table1[[#This Row],[Order_Date]],"mmm")</f>
        <v>Aug</v>
      </c>
      <c r="D1299" t="s">
        <v>2758</v>
      </c>
      <c r="E1299" t="s">
        <v>12</v>
      </c>
      <c r="F1299">
        <v>1</v>
      </c>
      <c r="G1299">
        <v>22736.240000000002</v>
      </c>
      <c r="H1299">
        <v>22736.240000000002</v>
      </c>
      <c r="I1299" t="s">
        <v>42</v>
      </c>
      <c r="J1299" t="s">
        <v>14</v>
      </c>
    </row>
    <row r="1300" spans="1:10" x14ac:dyDescent="0.35">
      <c r="A1300" t="s">
        <v>2759</v>
      </c>
      <c r="B1300" t="s">
        <v>2760</v>
      </c>
      <c r="C1300" t="str">
        <f>TEXT(Table1[[#This Row],[Order_Date]],"mmm")</f>
        <v>Aug</v>
      </c>
      <c r="D1300" t="s">
        <v>2761</v>
      </c>
      <c r="E1300" t="s">
        <v>53</v>
      </c>
      <c r="F1300">
        <v>2</v>
      </c>
      <c r="G1300">
        <v>37167.31</v>
      </c>
      <c r="H1300">
        <v>74334.62</v>
      </c>
      <c r="I1300" t="s">
        <v>13</v>
      </c>
      <c r="J1300" t="s">
        <v>35</v>
      </c>
    </row>
    <row r="1301" spans="1:10" x14ac:dyDescent="0.35">
      <c r="A1301" t="s">
        <v>2762</v>
      </c>
      <c r="B1301" t="s">
        <v>2760</v>
      </c>
      <c r="C1301" t="str">
        <f>TEXT(Table1[[#This Row],[Order_Date]],"mmm")</f>
        <v>Aug</v>
      </c>
      <c r="D1301" t="s">
        <v>2763</v>
      </c>
      <c r="E1301" t="s">
        <v>53</v>
      </c>
      <c r="F1301">
        <v>3</v>
      </c>
      <c r="G1301">
        <v>9180.06</v>
      </c>
      <c r="H1301">
        <v>27540.18</v>
      </c>
      <c r="I1301" t="s">
        <v>18</v>
      </c>
      <c r="J1301" t="s">
        <v>24</v>
      </c>
    </row>
    <row r="1302" spans="1:10" x14ac:dyDescent="0.35">
      <c r="A1302" t="s">
        <v>2764</v>
      </c>
      <c r="B1302" t="s">
        <v>2760</v>
      </c>
      <c r="C1302" t="str">
        <f>TEXT(Table1[[#This Row],[Order_Date]],"mmm")</f>
        <v>Aug</v>
      </c>
      <c r="D1302" t="s">
        <v>2765</v>
      </c>
      <c r="E1302" t="s">
        <v>72</v>
      </c>
      <c r="F1302">
        <v>4</v>
      </c>
      <c r="G1302">
        <v>20026.96</v>
      </c>
      <c r="H1302">
        <v>80107.839999999997</v>
      </c>
      <c r="I1302" t="s">
        <v>13</v>
      </c>
      <c r="J1302" t="s">
        <v>14</v>
      </c>
    </row>
    <row r="1303" spans="1:10" x14ac:dyDescent="0.35">
      <c r="A1303" t="s">
        <v>2766</v>
      </c>
      <c r="B1303" t="s">
        <v>2760</v>
      </c>
      <c r="C1303" t="str">
        <f>TEXT(Table1[[#This Row],[Order_Date]],"mmm")</f>
        <v>Aug</v>
      </c>
      <c r="D1303" t="s">
        <v>2767</v>
      </c>
      <c r="E1303" t="s">
        <v>75</v>
      </c>
      <c r="F1303">
        <v>1</v>
      </c>
      <c r="G1303">
        <v>42787.08</v>
      </c>
      <c r="H1303">
        <v>42787.08</v>
      </c>
      <c r="I1303" t="s">
        <v>23</v>
      </c>
      <c r="J1303" t="s">
        <v>35</v>
      </c>
    </row>
    <row r="1304" spans="1:10" x14ac:dyDescent="0.35">
      <c r="A1304" t="s">
        <v>2768</v>
      </c>
      <c r="B1304" t="s">
        <v>2769</v>
      </c>
      <c r="C1304" t="str">
        <f>TEXT(Table1[[#This Row],[Order_Date]],"mmm")</f>
        <v>Aug</v>
      </c>
      <c r="D1304" t="s">
        <v>1857</v>
      </c>
      <c r="E1304" t="s">
        <v>53</v>
      </c>
      <c r="F1304">
        <v>5</v>
      </c>
      <c r="G1304">
        <v>42548.15</v>
      </c>
      <c r="H1304">
        <v>212740.75</v>
      </c>
      <c r="I1304" t="s">
        <v>42</v>
      </c>
      <c r="J1304" t="s">
        <v>14</v>
      </c>
    </row>
    <row r="1305" spans="1:10" x14ac:dyDescent="0.35">
      <c r="A1305" t="s">
        <v>2770</v>
      </c>
      <c r="B1305" t="s">
        <v>2769</v>
      </c>
      <c r="C1305" t="str">
        <f>TEXT(Table1[[#This Row],[Order_Date]],"mmm")</f>
        <v>Aug</v>
      </c>
      <c r="D1305" t="s">
        <v>2771</v>
      </c>
      <c r="E1305" t="s">
        <v>32</v>
      </c>
      <c r="F1305">
        <v>4</v>
      </c>
      <c r="G1305">
        <v>47135.9</v>
      </c>
      <c r="H1305">
        <v>188543.6</v>
      </c>
      <c r="I1305" t="s">
        <v>23</v>
      </c>
      <c r="J1305" t="s">
        <v>14</v>
      </c>
    </row>
    <row r="1306" spans="1:10" x14ac:dyDescent="0.35">
      <c r="A1306" t="s">
        <v>2772</v>
      </c>
      <c r="B1306" t="s">
        <v>2769</v>
      </c>
      <c r="C1306" t="str">
        <f>TEXT(Table1[[#This Row],[Order_Date]],"mmm")</f>
        <v>Aug</v>
      </c>
      <c r="D1306" t="s">
        <v>2773</v>
      </c>
      <c r="E1306" t="s">
        <v>72</v>
      </c>
      <c r="F1306">
        <v>1</v>
      </c>
      <c r="G1306">
        <v>28030.959999999999</v>
      </c>
      <c r="H1306">
        <v>28030.959999999999</v>
      </c>
      <c r="I1306" t="s">
        <v>13</v>
      </c>
      <c r="J1306" t="s">
        <v>24</v>
      </c>
    </row>
    <row r="1307" spans="1:10" x14ac:dyDescent="0.35">
      <c r="A1307" t="s">
        <v>2774</v>
      </c>
      <c r="B1307" t="s">
        <v>2769</v>
      </c>
      <c r="C1307" t="str">
        <f>TEXT(Table1[[#This Row],[Order_Date]],"mmm")</f>
        <v>Aug</v>
      </c>
      <c r="D1307" t="s">
        <v>2775</v>
      </c>
      <c r="E1307" t="s">
        <v>17</v>
      </c>
      <c r="F1307">
        <v>1</v>
      </c>
      <c r="G1307">
        <v>35691.47</v>
      </c>
      <c r="H1307">
        <v>35691.47</v>
      </c>
      <c r="I1307" t="s">
        <v>42</v>
      </c>
      <c r="J1307" t="s">
        <v>24</v>
      </c>
    </row>
    <row r="1308" spans="1:10" x14ac:dyDescent="0.35">
      <c r="A1308" t="s">
        <v>2776</v>
      </c>
      <c r="B1308" t="s">
        <v>2769</v>
      </c>
      <c r="C1308" t="str">
        <f>TEXT(Table1[[#This Row],[Order_Date]],"mmm")</f>
        <v>Aug</v>
      </c>
      <c r="D1308" t="s">
        <v>2777</v>
      </c>
      <c r="E1308" t="s">
        <v>72</v>
      </c>
      <c r="F1308">
        <v>2</v>
      </c>
      <c r="G1308">
        <v>23376.16</v>
      </c>
      <c r="H1308">
        <v>46752.32</v>
      </c>
      <c r="I1308" t="s">
        <v>18</v>
      </c>
      <c r="J1308" t="s">
        <v>24</v>
      </c>
    </row>
    <row r="1309" spans="1:10" x14ac:dyDescent="0.35">
      <c r="A1309" t="s">
        <v>2778</v>
      </c>
      <c r="B1309" t="s">
        <v>2769</v>
      </c>
      <c r="C1309" t="str">
        <f>TEXT(Table1[[#This Row],[Order_Date]],"mmm")</f>
        <v>Aug</v>
      </c>
      <c r="D1309" t="s">
        <v>2779</v>
      </c>
      <c r="E1309" t="s">
        <v>53</v>
      </c>
      <c r="F1309">
        <v>4</v>
      </c>
      <c r="G1309">
        <v>33153.51</v>
      </c>
      <c r="H1309">
        <v>132614.04</v>
      </c>
      <c r="I1309" t="s">
        <v>23</v>
      </c>
      <c r="J1309" t="s">
        <v>35</v>
      </c>
    </row>
    <row r="1310" spans="1:10" x14ac:dyDescent="0.35">
      <c r="A1310" t="s">
        <v>2780</v>
      </c>
      <c r="B1310" t="s">
        <v>2781</v>
      </c>
      <c r="C1310" t="str">
        <f>TEXT(Table1[[#This Row],[Order_Date]],"mmm")</f>
        <v>Aug</v>
      </c>
      <c r="D1310" t="s">
        <v>2782</v>
      </c>
      <c r="E1310" t="s">
        <v>47</v>
      </c>
      <c r="F1310">
        <v>5</v>
      </c>
      <c r="G1310">
        <v>23405.54</v>
      </c>
      <c r="H1310">
        <v>117027.7</v>
      </c>
      <c r="I1310" t="s">
        <v>18</v>
      </c>
      <c r="J1310" t="s">
        <v>14</v>
      </c>
    </row>
    <row r="1311" spans="1:10" x14ac:dyDescent="0.35">
      <c r="A1311" t="s">
        <v>2783</v>
      </c>
      <c r="B1311" t="s">
        <v>2781</v>
      </c>
      <c r="C1311" t="str">
        <f>TEXT(Table1[[#This Row],[Order_Date]],"mmm")</f>
        <v>Aug</v>
      </c>
      <c r="D1311" t="s">
        <v>2784</v>
      </c>
      <c r="E1311" t="s">
        <v>47</v>
      </c>
      <c r="F1311">
        <v>4</v>
      </c>
      <c r="G1311">
        <v>36426.28</v>
      </c>
      <c r="H1311">
        <v>145705.12</v>
      </c>
      <c r="I1311" t="s">
        <v>42</v>
      </c>
      <c r="J1311" t="s">
        <v>24</v>
      </c>
    </row>
    <row r="1312" spans="1:10" x14ac:dyDescent="0.35">
      <c r="A1312" t="s">
        <v>2785</v>
      </c>
      <c r="B1312" t="s">
        <v>2781</v>
      </c>
      <c r="C1312" t="str">
        <f>TEXT(Table1[[#This Row],[Order_Date]],"mmm")</f>
        <v>Aug</v>
      </c>
      <c r="D1312" t="s">
        <v>2786</v>
      </c>
      <c r="E1312" t="s">
        <v>22</v>
      </c>
      <c r="F1312">
        <v>3</v>
      </c>
      <c r="G1312">
        <v>3922.24</v>
      </c>
      <c r="H1312">
        <v>11766.72</v>
      </c>
      <c r="I1312" t="s">
        <v>42</v>
      </c>
      <c r="J1312" t="s">
        <v>14</v>
      </c>
    </row>
    <row r="1313" spans="1:10" x14ac:dyDescent="0.35">
      <c r="A1313" t="s">
        <v>2787</v>
      </c>
      <c r="B1313" t="s">
        <v>2781</v>
      </c>
      <c r="C1313" t="str">
        <f>TEXT(Table1[[#This Row],[Order_Date]],"mmm")</f>
        <v>Aug</v>
      </c>
      <c r="D1313" t="s">
        <v>2788</v>
      </c>
      <c r="E1313" t="s">
        <v>47</v>
      </c>
      <c r="F1313">
        <v>1</v>
      </c>
      <c r="G1313">
        <v>8670.52</v>
      </c>
      <c r="H1313">
        <v>8670.52</v>
      </c>
      <c r="I1313" t="s">
        <v>18</v>
      </c>
      <c r="J1313" t="s">
        <v>35</v>
      </c>
    </row>
    <row r="1314" spans="1:10" x14ac:dyDescent="0.35">
      <c r="A1314" t="s">
        <v>2789</v>
      </c>
      <c r="B1314" t="s">
        <v>2781</v>
      </c>
      <c r="C1314" t="str">
        <f>TEXT(Table1[[#This Row],[Order_Date]],"mmm")</f>
        <v>Aug</v>
      </c>
      <c r="D1314" t="s">
        <v>2790</v>
      </c>
      <c r="E1314" t="s">
        <v>53</v>
      </c>
      <c r="F1314">
        <v>2</v>
      </c>
      <c r="G1314">
        <v>27186.45</v>
      </c>
      <c r="H1314">
        <v>54372.9</v>
      </c>
      <c r="I1314" t="s">
        <v>23</v>
      </c>
      <c r="J1314" t="s">
        <v>14</v>
      </c>
    </row>
    <row r="1315" spans="1:10" x14ac:dyDescent="0.35">
      <c r="A1315" t="s">
        <v>2791</v>
      </c>
      <c r="B1315" t="s">
        <v>2781</v>
      </c>
      <c r="C1315" t="str">
        <f>TEXT(Table1[[#This Row],[Order_Date]],"mmm")</f>
        <v>Aug</v>
      </c>
      <c r="D1315" t="s">
        <v>2792</v>
      </c>
      <c r="E1315" t="s">
        <v>72</v>
      </c>
      <c r="F1315">
        <v>1</v>
      </c>
      <c r="G1315">
        <v>41035.24</v>
      </c>
      <c r="H1315">
        <v>41035.24</v>
      </c>
      <c r="I1315" t="s">
        <v>13</v>
      </c>
      <c r="J1315" t="s">
        <v>19</v>
      </c>
    </row>
    <row r="1316" spans="1:10" x14ac:dyDescent="0.35">
      <c r="A1316" t="s">
        <v>2793</v>
      </c>
      <c r="B1316" t="s">
        <v>2781</v>
      </c>
      <c r="C1316" t="str">
        <f>TEXT(Table1[[#This Row],[Order_Date]],"mmm")</f>
        <v>Aug</v>
      </c>
      <c r="D1316" t="s">
        <v>2794</v>
      </c>
      <c r="E1316" t="s">
        <v>38</v>
      </c>
      <c r="F1316">
        <v>2</v>
      </c>
      <c r="G1316">
        <v>8408.59</v>
      </c>
      <c r="H1316">
        <v>16817.18</v>
      </c>
      <c r="I1316" t="s">
        <v>18</v>
      </c>
      <c r="J1316" t="s">
        <v>14</v>
      </c>
    </row>
    <row r="1317" spans="1:10" x14ac:dyDescent="0.35">
      <c r="A1317" t="s">
        <v>2795</v>
      </c>
      <c r="B1317" t="s">
        <v>2781</v>
      </c>
      <c r="C1317" t="str">
        <f>TEXT(Table1[[#This Row],[Order_Date]],"mmm")</f>
        <v>Aug</v>
      </c>
      <c r="D1317" t="s">
        <v>2796</v>
      </c>
      <c r="E1317" t="s">
        <v>56</v>
      </c>
      <c r="F1317">
        <v>2</v>
      </c>
      <c r="G1317">
        <v>21514.63</v>
      </c>
      <c r="H1317">
        <v>43029.26</v>
      </c>
      <c r="I1317" t="s">
        <v>13</v>
      </c>
      <c r="J1317" t="s">
        <v>24</v>
      </c>
    </row>
    <row r="1318" spans="1:10" x14ac:dyDescent="0.35">
      <c r="A1318" t="s">
        <v>2797</v>
      </c>
      <c r="B1318" t="s">
        <v>2798</v>
      </c>
      <c r="C1318" t="str">
        <f>TEXT(Table1[[#This Row],[Order_Date]],"mmm")</f>
        <v>Aug</v>
      </c>
      <c r="D1318" t="s">
        <v>2799</v>
      </c>
      <c r="E1318" t="s">
        <v>17</v>
      </c>
      <c r="F1318">
        <v>4</v>
      </c>
      <c r="G1318">
        <v>31585.37</v>
      </c>
      <c r="H1318">
        <v>126341.48</v>
      </c>
      <c r="I1318" t="s">
        <v>18</v>
      </c>
      <c r="J1318" t="s">
        <v>14</v>
      </c>
    </row>
    <row r="1319" spans="1:10" x14ac:dyDescent="0.35">
      <c r="A1319" t="s">
        <v>2800</v>
      </c>
      <c r="B1319" t="s">
        <v>2798</v>
      </c>
      <c r="C1319" t="str">
        <f>TEXT(Table1[[#This Row],[Order_Date]],"mmm")</f>
        <v>Aug</v>
      </c>
      <c r="D1319" t="s">
        <v>2598</v>
      </c>
      <c r="E1319" t="s">
        <v>17</v>
      </c>
      <c r="F1319">
        <v>4</v>
      </c>
      <c r="G1319">
        <v>37220.71</v>
      </c>
      <c r="H1319">
        <v>148882.84</v>
      </c>
      <c r="I1319" t="s">
        <v>13</v>
      </c>
      <c r="J1319" t="s">
        <v>35</v>
      </c>
    </row>
    <row r="1320" spans="1:10" x14ac:dyDescent="0.35">
      <c r="A1320" t="s">
        <v>2801</v>
      </c>
      <c r="B1320" t="s">
        <v>2798</v>
      </c>
      <c r="C1320" t="str">
        <f>TEXT(Table1[[#This Row],[Order_Date]],"mmm")</f>
        <v>Aug</v>
      </c>
      <c r="D1320" t="s">
        <v>2598</v>
      </c>
      <c r="E1320" t="s">
        <v>47</v>
      </c>
      <c r="F1320">
        <v>2</v>
      </c>
      <c r="G1320">
        <v>32177.71</v>
      </c>
      <c r="H1320">
        <v>64355.42</v>
      </c>
      <c r="I1320" t="s">
        <v>13</v>
      </c>
      <c r="J1320" t="s">
        <v>14</v>
      </c>
    </row>
    <row r="1321" spans="1:10" x14ac:dyDescent="0.35">
      <c r="A1321" t="s">
        <v>2802</v>
      </c>
      <c r="B1321" t="s">
        <v>2798</v>
      </c>
      <c r="C1321" t="str">
        <f>TEXT(Table1[[#This Row],[Order_Date]],"mmm")</f>
        <v>Aug</v>
      </c>
      <c r="D1321" t="s">
        <v>2803</v>
      </c>
      <c r="E1321" t="s">
        <v>75</v>
      </c>
      <c r="F1321">
        <v>5</v>
      </c>
      <c r="G1321">
        <v>27185.95</v>
      </c>
      <c r="H1321">
        <v>135929.75</v>
      </c>
      <c r="I1321" t="s">
        <v>42</v>
      </c>
      <c r="J1321" t="s">
        <v>35</v>
      </c>
    </row>
    <row r="1322" spans="1:10" x14ac:dyDescent="0.35">
      <c r="A1322" t="s">
        <v>2804</v>
      </c>
      <c r="B1322" t="s">
        <v>2798</v>
      </c>
      <c r="C1322" t="str">
        <f>TEXT(Table1[[#This Row],[Order_Date]],"mmm")</f>
        <v>Aug</v>
      </c>
      <c r="D1322" t="s">
        <v>2805</v>
      </c>
      <c r="E1322" t="s">
        <v>75</v>
      </c>
      <c r="F1322">
        <v>5</v>
      </c>
      <c r="G1322">
        <v>12622.7</v>
      </c>
      <c r="H1322">
        <v>63113.5</v>
      </c>
      <c r="I1322" t="s">
        <v>18</v>
      </c>
      <c r="J1322" t="s">
        <v>19</v>
      </c>
    </row>
    <row r="1323" spans="1:10" x14ac:dyDescent="0.35">
      <c r="A1323" t="s">
        <v>2806</v>
      </c>
      <c r="B1323" t="s">
        <v>2798</v>
      </c>
      <c r="C1323" t="str">
        <f>TEXT(Table1[[#This Row],[Order_Date]],"mmm")</f>
        <v>Aug</v>
      </c>
      <c r="D1323" t="s">
        <v>2807</v>
      </c>
      <c r="E1323" t="s">
        <v>47</v>
      </c>
      <c r="F1323">
        <v>5</v>
      </c>
      <c r="G1323">
        <v>16337.07</v>
      </c>
      <c r="H1323">
        <v>81685.350000000006</v>
      </c>
      <c r="I1323" t="s">
        <v>42</v>
      </c>
      <c r="J1323" t="s">
        <v>14</v>
      </c>
    </row>
    <row r="1324" spans="1:10" x14ac:dyDescent="0.35">
      <c r="A1324" t="s">
        <v>2808</v>
      </c>
      <c r="B1324" t="s">
        <v>2798</v>
      </c>
      <c r="C1324" t="str">
        <f>TEXT(Table1[[#This Row],[Order_Date]],"mmm")</f>
        <v>Aug</v>
      </c>
      <c r="D1324" t="s">
        <v>2809</v>
      </c>
      <c r="E1324" t="s">
        <v>53</v>
      </c>
      <c r="F1324">
        <v>2</v>
      </c>
      <c r="G1324">
        <v>4329.91</v>
      </c>
      <c r="H1324">
        <v>8659.82</v>
      </c>
      <c r="I1324" t="s">
        <v>18</v>
      </c>
      <c r="J1324" t="s">
        <v>35</v>
      </c>
    </row>
    <row r="1325" spans="1:10" x14ac:dyDescent="0.35">
      <c r="A1325" t="s">
        <v>2810</v>
      </c>
      <c r="B1325" t="s">
        <v>2798</v>
      </c>
      <c r="C1325" t="str">
        <f>TEXT(Table1[[#This Row],[Order_Date]],"mmm")</f>
        <v>Aug</v>
      </c>
      <c r="D1325" t="s">
        <v>2811</v>
      </c>
      <c r="E1325" t="s">
        <v>47</v>
      </c>
      <c r="F1325">
        <v>1</v>
      </c>
      <c r="G1325">
        <v>34015.589999999997</v>
      </c>
      <c r="H1325">
        <v>34015.589999999997</v>
      </c>
      <c r="I1325" t="s">
        <v>42</v>
      </c>
      <c r="J1325" t="s">
        <v>14</v>
      </c>
    </row>
    <row r="1326" spans="1:10" x14ac:dyDescent="0.35">
      <c r="A1326" t="s">
        <v>2812</v>
      </c>
      <c r="B1326" t="s">
        <v>2813</v>
      </c>
      <c r="C1326" t="str">
        <f>TEXT(Table1[[#This Row],[Order_Date]],"mmm")</f>
        <v>Aug</v>
      </c>
      <c r="D1326" t="s">
        <v>2814</v>
      </c>
      <c r="E1326" t="s">
        <v>22</v>
      </c>
      <c r="F1326">
        <v>5</v>
      </c>
      <c r="G1326">
        <v>32075.8</v>
      </c>
      <c r="H1326">
        <v>160379</v>
      </c>
      <c r="I1326" t="s">
        <v>18</v>
      </c>
      <c r="J1326" t="s">
        <v>14</v>
      </c>
    </row>
    <row r="1327" spans="1:10" x14ac:dyDescent="0.35">
      <c r="A1327" t="s">
        <v>2815</v>
      </c>
      <c r="B1327" t="s">
        <v>2813</v>
      </c>
      <c r="C1327" t="str">
        <f>TEXT(Table1[[#This Row],[Order_Date]],"mmm")</f>
        <v>Aug</v>
      </c>
      <c r="D1327" t="s">
        <v>2816</v>
      </c>
      <c r="E1327" t="s">
        <v>47</v>
      </c>
      <c r="F1327">
        <v>1</v>
      </c>
      <c r="G1327">
        <v>28257.53</v>
      </c>
      <c r="H1327">
        <v>28257.53</v>
      </c>
      <c r="I1327" t="s">
        <v>13</v>
      </c>
      <c r="J1327" t="s">
        <v>35</v>
      </c>
    </row>
    <row r="1328" spans="1:10" x14ac:dyDescent="0.35">
      <c r="A1328" t="s">
        <v>2817</v>
      </c>
      <c r="B1328" t="s">
        <v>2813</v>
      </c>
      <c r="C1328" t="str">
        <f>TEXT(Table1[[#This Row],[Order_Date]],"mmm")</f>
        <v>Aug</v>
      </c>
      <c r="D1328" t="s">
        <v>2818</v>
      </c>
      <c r="E1328" t="s">
        <v>12</v>
      </c>
      <c r="F1328">
        <v>3</v>
      </c>
      <c r="G1328">
        <v>3613.39</v>
      </c>
      <c r="H1328">
        <v>10840.17</v>
      </c>
      <c r="I1328" t="s">
        <v>13</v>
      </c>
      <c r="J1328" t="s">
        <v>35</v>
      </c>
    </row>
    <row r="1329" spans="1:10" x14ac:dyDescent="0.35">
      <c r="A1329" t="s">
        <v>2819</v>
      </c>
      <c r="B1329" t="s">
        <v>2813</v>
      </c>
      <c r="C1329" t="str">
        <f>TEXT(Table1[[#This Row],[Order_Date]],"mmm")</f>
        <v>Aug</v>
      </c>
      <c r="D1329" t="s">
        <v>2820</v>
      </c>
      <c r="E1329" t="s">
        <v>47</v>
      </c>
      <c r="F1329">
        <v>2</v>
      </c>
      <c r="G1329">
        <v>24531.5</v>
      </c>
      <c r="H1329">
        <v>49063</v>
      </c>
      <c r="I1329" t="s">
        <v>13</v>
      </c>
      <c r="J1329" t="s">
        <v>19</v>
      </c>
    </row>
    <row r="1330" spans="1:10" x14ac:dyDescent="0.35">
      <c r="A1330" t="s">
        <v>2821</v>
      </c>
      <c r="B1330" t="s">
        <v>2813</v>
      </c>
      <c r="C1330" t="str">
        <f>TEXT(Table1[[#This Row],[Order_Date]],"mmm")</f>
        <v>Aug</v>
      </c>
      <c r="D1330" t="s">
        <v>2822</v>
      </c>
      <c r="E1330" t="s">
        <v>72</v>
      </c>
      <c r="F1330">
        <v>4</v>
      </c>
      <c r="G1330">
        <v>10917.67</v>
      </c>
      <c r="H1330">
        <v>43670.68</v>
      </c>
      <c r="I1330" t="s">
        <v>13</v>
      </c>
      <c r="J1330" t="s">
        <v>14</v>
      </c>
    </row>
    <row r="1331" spans="1:10" x14ac:dyDescent="0.35">
      <c r="A1331" t="s">
        <v>2823</v>
      </c>
      <c r="B1331" t="s">
        <v>2824</v>
      </c>
      <c r="C1331" t="str">
        <f>TEXT(Table1[[#This Row],[Order_Date]],"mmm")</f>
        <v>Aug</v>
      </c>
      <c r="D1331" t="s">
        <v>2825</v>
      </c>
      <c r="E1331" t="s">
        <v>75</v>
      </c>
      <c r="F1331">
        <v>2</v>
      </c>
      <c r="G1331">
        <v>21471.99</v>
      </c>
      <c r="H1331">
        <v>42943.98</v>
      </c>
      <c r="I1331" t="s">
        <v>23</v>
      </c>
      <c r="J1331" t="s">
        <v>19</v>
      </c>
    </row>
    <row r="1332" spans="1:10" x14ac:dyDescent="0.35">
      <c r="A1332" t="s">
        <v>2826</v>
      </c>
      <c r="B1332" t="s">
        <v>2824</v>
      </c>
      <c r="C1332" t="str">
        <f>TEXT(Table1[[#This Row],[Order_Date]],"mmm")</f>
        <v>Aug</v>
      </c>
      <c r="D1332" t="s">
        <v>2827</v>
      </c>
      <c r="E1332" t="s">
        <v>22</v>
      </c>
      <c r="F1332">
        <v>4</v>
      </c>
      <c r="G1332">
        <v>26579.69</v>
      </c>
      <c r="H1332">
        <v>106318.76</v>
      </c>
      <c r="I1332" t="s">
        <v>13</v>
      </c>
      <c r="J1332" t="s">
        <v>35</v>
      </c>
    </row>
    <row r="1333" spans="1:10" x14ac:dyDescent="0.35">
      <c r="A1333" t="s">
        <v>2828</v>
      </c>
      <c r="B1333" t="s">
        <v>2824</v>
      </c>
      <c r="C1333" t="str">
        <f>TEXT(Table1[[#This Row],[Order_Date]],"mmm")</f>
        <v>Aug</v>
      </c>
      <c r="D1333" t="s">
        <v>662</v>
      </c>
      <c r="E1333" t="s">
        <v>22</v>
      </c>
      <c r="F1333">
        <v>3</v>
      </c>
      <c r="G1333">
        <v>39748.19</v>
      </c>
      <c r="H1333">
        <v>119244.57</v>
      </c>
      <c r="I1333" t="s">
        <v>13</v>
      </c>
      <c r="J1333" t="s">
        <v>14</v>
      </c>
    </row>
    <row r="1334" spans="1:10" x14ac:dyDescent="0.35">
      <c r="A1334" t="s">
        <v>2829</v>
      </c>
      <c r="B1334" t="s">
        <v>2824</v>
      </c>
      <c r="C1334" t="str">
        <f>TEXT(Table1[[#This Row],[Order_Date]],"mmm")</f>
        <v>Aug</v>
      </c>
      <c r="D1334" t="s">
        <v>2830</v>
      </c>
      <c r="E1334" t="s">
        <v>75</v>
      </c>
      <c r="F1334">
        <v>2</v>
      </c>
      <c r="G1334">
        <v>48936.15</v>
      </c>
      <c r="H1334">
        <v>97872.3</v>
      </c>
      <c r="I1334" t="s">
        <v>18</v>
      </c>
      <c r="J1334" t="s">
        <v>35</v>
      </c>
    </row>
    <row r="1335" spans="1:10" x14ac:dyDescent="0.35">
      <c r="A1335" t="s">
        <v>2831</v>
      </c>
      <c r="B1335" t="s">
        <v>2832</v>
      </c>
      <c r="C1335" t="str">
        <f>TEXT(Table1[[#This Row],[Order_Date]],"mmm")</f>
        <v>Aug</v>
      </c>
      <c r="D1335" t="s">
        <v>2673</v>
      </c>
      <c r="E1335" t="s">
        <v>47</v>
      </c>
      <c r="F1335">
        <v>5</v>
      </c>
      <c r="G1335">
        <v>14781.41</v>
      </c>
      <c r="H1335">
        <v>73907.05</v>
      </c>
      <c r="I1335" t="s">
        <v>42</v>
      </c>
      <c r="J1335" t="s">
        <v>14</v>
      </c>
    </row>
    <row r="1336" spans="1:10" x14ac:dyDescent="0.35">
      <c r="A1336" t="s">
        <v>2833</v>
      </c>
      <c r="B1336" t="s">
        <v>2832</v>
      </c>
      <c r="C1336" t="str">
        <f>TEXT(Table1[[#This Row],[Order_Date]],"mmm")</f>
        <v>Aug</v>
      </c>
      <c r="D1336" t="s">
        <v>2834</v>
      </c>
      <c r="E1336" t="s">
        <v>38</v>
      </c>
      <c r="F1336">
        <v>5</v>
      </c>
      <c r="G1336">
        <v>43500.24</v>
      </c>
      <c r="H1336">
        <v>217501.2</v>
      </c>
      <c r="I1336" t="s">
        <v>42</v>
      </c>
      <c r="J1336" t="s">
        <v>24</v>
      </c>
    </row>
    <row r="1337" spans="1:10" x14ac:dyDescent="0.35">
      <c r="A1337" t="s">
        <v>2835</v>
      </c>
      <c r="B1337" t="s">
        <v>2832</v>
      </c>
      <c r="C1337" t="str">
        <f>TEXT(Table1[[#This Row],[Order_Date]],"mmm")</f>
        <v>Aug</v>
      </c>
      <c r="D1337" t="s">
        <v>2836</v>
      </c>
      <c r="E1337" t="s">
        <v>53</v>
      </c>
      <c r="F1337">
        <v>3</v>
      </c>
      <c r="G1337">
        <v>9882.56</v>
      </c>
      <c r="H1337">
        <v>29647.68</v>
      </c>
      <c r="I1337" t="s">
        <v>13</v>
      </c>
      <c r="J1337" t="s">
        <v>24</v>
      </c>
    </row>
    <row r="1338" spans="1:10" x14ac:dyDescent="0.35">
      <c r="A1338" t="s">
        <v>2837</v>
      </c>
      <c r="B1338" t="s">
        <v>2832</v>
      </c>
      <c r="C1338" t="str">
        <f>TEXT(Table1[[#This Row],[Order_Date]],"mmm")</f>
        <v>Aug</v>
      </c>
      <c r="D1338" t="s">
        <v>2296</v>
      </c>
      <c r="E1338" t="s">
        <v>32</v>
      </c>
      <c r="F1338">
        <v>5</v>
      </c>
      <c r="G1338">
        <v>41233.71</v>
      </c>
      <c r="H1338">
        <v>206168.55</v>
      </c>
      <c r="I1338" t="s">
        <v>18</v>
      </c>
      <c r="J1338" t="s">
        <v>19</v>
      </c>
    </row>
    <row r="1339" spans="1:10" x14ac:dyDescent="0.35">
      <c r="A1339" t="s">
        <v>2838</v>
      </c>
      <c r="B1339" t="s">
        <v>2839</v>
      </c>
      <c r="C1339" t="str">
        <f>TEXT(Table1[[#This Row],[Order_Date]],"mmm")</f>
        <v>Aug</v>
      </c>
      <c r="D1339" t="s">
        <v>2840</v>
      </c>
      <c r="E1339" t="s">
        <v>56</v>
      </c>
      <c r="F1339">
        <v>1</v>
      </c>
      <c r="G1339">
        <v>27383.89</v>
      </c>
      <c r="H1339">
        <v>27383.89</v>
      </c>
      <c r="I1339" t="s">
        <v>18</v>
      </c>
      <c r="J1339" t="s">
        <v>24</v>
      </c>
    </row>
    <row r="1340" spans="1:10" x14ac:dyDescent="0.35">
      <c r="A1340" t="s">
        <v>2841</v>
      </c>
      <c r="B1340" t="s">
        <v>2839</v>
      </c>
      <c r="C1340" t="str">
        <f>TEXT(Table1[[#This Row],[Order_Date]],"mmm")</f>
        <v>Aug</v>
      </c>
      <c r="D1340" t="s">
        <v>454</v>
      </c>
      <c r="E1340" t="s">
        <v>56</v>
      </c>
      <c r="F1340">
        <v>5</v>
      </c>
      <c r="G1340">
        <v>2685</v>
      </c>
      <c r="H1340">
        <v>13425</v>
      </c>
      <c r="I1340" t="s">
        <v>23</v>
      </c>
      <c r="J1340" t="s">
        <v>35</v>
      </c>
    </row>
    <row r="1341" spans="1:10" x14ac:dyDescent="0.35">
      <c r="A1341" t="s">
        <v>2842</v>
      </c>
      <c r="B1341" t="s">
        <v>2839</v>
      </c>
      <c r="C1341" t="str">
        <f>TEXT(Table1[[#This Row],[Order_Date]],"mmm")</f>
        <v>Aug</v>
      </c>
      <c r="D1341" t="s">
        <v>2843</v>
      </c>
      <c r="E1341" t="s">
        <v>32</v>
      </c>
      <c r="F1341">
        <v>5</v>
      </c>
      <c r="G1341">
        <v>24703.99</v>
      </c>
      <c r="H1341">
        <v>123519.95</v>
      </c>
      <c r="I1341" t="s">
        <v>13</v>
      </c>
      <c r="J1341" t="s">
        <v>19</v>
      </c>
    </row>
    <row r="1342" spans="1:10" x14ac:dyDescent="0.35">
      <c r="A1342" t="s">
        <v>2844</v>
      </c>
      <c r="B1342" t="s">
        <v>2839</v>
      </c>
      <c r="C1342" t="str">
        <f>TEXT(Table1[[#This Row],[Order_Date]],"mmm")</f>
        <v>Aug</v>
      </c>
      <c r="D1342" t="s">
        <v>2845</v>
      </c>
      <c r="E1342" t="s">
        <v>12</v>
      </c>
      <c r="F1342">
        <v>3</v>
      </c>
      <c r="G1342">
        <v>49092.89</v>
      </c>
      <c r="H1342">
        <v>147278.67000000001</v>
      </c>
      <c r="I1342" t="s">
        <v>23</v>
      </c>
      <c r="J1342" t="s">
        <v>35</v>
      </c>
    </row>
    <row r="1343" spans="1:10" x14ac:dyDescent="0.35">
      <c r="A1343" t="s">
        <v>2846</v>
      </c>
      <c r="B1343" t="s">
        <v>2839</v>
      </c>
      <c r="C1343" t="str">
        <f>TEXT(Table1[[#This Row],[Order_Date]],"mmm")</f>
        <v>Aug</v>
      </c>
      <c r="D1343" t="s">
        <v>2847</v>
      </c>
      <c r="E1343" t="s">
        <v>22</v>
      </c>
      <c r="F1343">
        <v>4</v>
      </c>
      <c r="G1343">
        <v>5718.66</v>
      </c>
      <c r="H1343">
        <v>22874.639999999999</v>
      </c>
      <c r="I1343" t="s">
        <v>13</v>
      </c>
      <c r="J1343" t="s">
        <v>35</v>
      </c>
    </row>
    <row r="1344" spans="1:10" x14ac:dyDescent="0.35">
      <c r="A1344" t="s">
        <v>2848</v>
      </c>
      <c r="B1344" t="s">
        <v>2839</v>
      </c>
      <c r="C1344" t="str">
        <f>TEXT(Table1[[#This Row],[Order_Date]],"mmm")</f>
        <v>Aug</v>
      </c>
      <c r="D1344" t="s">
        <v>1775</v>
      </c>
      <c r="E1344" t="s">
        <v>72</v>
      </c>
      <c r="F1344">
        <v>4</v>
      </c>
      <c r="G1344">
        <v>3335.33</v>
      </c>
      <c r="H1344">
        <v>13341.32</v>
      </c>
      <c r="I1344" t="s">
        <v>23</v>
      </c>
      <c r="J1344" t="s">
        <v>14</v>
      </c>
    </row>
    <row r="1345" spans="1:10" x14ac:dyDescent="0.35">
      <c r="A1345" t="s">
        <v>2849</v>
      </c>
      <c r="B1345" t="s">
        <v>2839</v>
      </c>
      <c r="C1345" t="str">
        <f>TEXT(Table1[[#This Row],[Order_Date]],"mmm")</f>
        <v>Aug</v>
      </c>
      <c r="D1345" t="s">
        <v>2850</v>
      </c>
      <c r="E1345" t="s">
        <v>32</v>
      </c>
      <c r="F1345">
        <v>5</v>
      </c>
      <c r="G1345">
        <v>8428.39</v>
      </c>
      <c r="H1345">
        <v>42141.95</v>
      </c>
      <c r="I1345" t="s">
        <v>42</v>
      </c>
      <c r="J1345" t="s">
        <v>35</v>
      </c>
    </row>
    <row r="1346" spans="1:10" x14ac:dyDescent="0.35">
      <c r="A1346" t="s">
        <v>2851</v>
      </c>
      <c r="B1346" t="s">
        <v>2852</v>
      </c>
      <c r="C1346" t="str">
        <f>TEXT(Table1[[#This Row],[Order_Date]],"mmm")</f>
        <v>Aug</v>
      </c>
      <c r="D1346" t="s">
        <v>2853</v>
      </c>
      <c r="E1346" t="s">
        <v>56</v>
      </c>
      <c r="F1346">
        <v>2</v>
      </c>
      <c r="G1346">
        <v>29136.7</v>
      </c>
      <c r="H1346">
        <v>58273.4</v>
      </c>
      <c r="I1346" t="s">
        <v>18</v>
      </c>
      <c r="J1346" t="s">
        <v>24</v>
      </c>
    </row>
    <row r="1347" spans="1:10" x14ac:dyDescent="0.35">
      <c r="A1347" t="s">
        <v>2854</v>
      </c>
      <c r="B1347" t="s">
        <v>2852</v>
      </c>
      <c r="C1347" t="str">
        <f>TEXT(Table1[[#This Row],[Order_Date]],"mmm")</f>
        <v>Aug</v>
      </c>
      <c r="D1347" t="s">
        <v>2855</v>
      </c>
      <c r="E1347" t="s">
        <v>75</v>
      </c>
      <c r="F1347">
        <v>5</v>
      </c>
      <c r="G1347">
        <v>18363.310000000001</v>
      </c>
      <c r="H1347">
        <v>91816.55</v>
      </c>
      <c r="I1347" t="s">
        <v>23</v>
      </c>
      <c r="J1347" t="s">
        <v>19</v>
      </c>
    </row>
    <row r="1348" spans="1:10" x14ac:dyDescent="0.35">
      <c r="A1348" t="s">
        <v>2856</v>
      </c>
      <c r="B1348" t="s">
        <v>2852</v>
      </c>
      <c r="C1348" t="str">
        <f>TEXT(Table1[[#This Row],[Order_Date]],"mmm")</f>
        <v>Aug</v>
      </c>
      <c r="D1348" t="s">
        <v>2857</v>
      </c>
      <c r="E1348" t="s">
        <v>75</v>
      </c>
      <c r="F1348">
        <v>5</v>
      </c>
      <c r="G1348">
        <v>26441.200000000001</v>
      </c>
      <c r="H1348">
        <v>132206</v>
      </c>
      <c r="I1348" t="s">
        <v>18</v>
      </c>
      <c r="J1348" t="s">
        <v>35</v>
      </c>
    </row>
    <row r="1349" spans="1:10" x14ac:dyDescent="0.35">
      <c r="A1349" t="s">
        <v>2858</v>
      </c>
      <c r="B1349" t="s">
        <v>2852</v>
      </c>
      <c r="C1349" t="str">
        <f>TEXT(Table1[[#This Row],[Order_Date]],"mmm")</f>
        <v>Aug</v>
      </c>
      <c r="D1349" t="s">
        <v>2859</v>
      </c>
      <c r="E1349" t="s">
        <v>72</v>
      </c>
      <c r="F1349">
        <v>2</v>
      </c>
      <c r="G1349">
        <v>5401.47</v>
      </c>
      <c r="H1349">
        <v>10802.94</v>
      </c>
      <c r="I1349" t="s">
        <v>13</v>
      </c>
      <c r="J1349" t="s">
        <v>24</v>
      </c>
    </row>
    <row r="1350" spans="1:10" x14ac:dyDescent="0.35">
      <c r="A1350" t="s">
        <v>2860</v>
      </c>
      <c r="B1350" t="s">
        <v>2852</v>
      </c>
      <c r="C1350" t="str">
        <f>TEXT(Table1[[#This Row],[Order_Date]],"mmm")</f>
        <v>Aug</v>
      </c>
      <c r="D1350" t="s">
        <v>2861</v>
      </c>
      <c r="E1350" t="s">
        <v>32</v>
      </c>
      <c r="F1350">
        <v>3</v>
      </c>
      <c r="G1350">
        <v>46281.41</v>
      </c>
      <c r="H1350">
        <v>138844.23000000001</v>
      </c>
      <c r="I1350" t="s">
        <v>42</v>
      </c>
      <c r="J1350" t="s">
        <v>35</v>
      </c>
    </row>
    <row r="1351" spans="1:10" x14ac:dyDescent="0.35">
      <c r="A1351" t="s">
        <v>2862</v>
      </c>
      <c r="B1351" t="s">
        <v>2852</v>
      </c>
      <c r="C1351" t="str">
        <f>TEXT(Table1[[#This Row],[Order_Date]],"mmm")</f>
        <v>Aug</v>
      </c>
      <c r="D1351" t="s">
        <v>2863</v>
      </c>
      <c r="E1351" t="s">
        <v>75</v>
      </c>
      <c r="F1351">
        <v>4</v>
      </c>
      <c r="G1351">
        <v>16908.169999999998</v>
      </c>
      <c r="H1351">
        <v>67632.679999999993</v>
      </c>
      <c r="I1351" t="s">
        <v>13</v>
      </c>
      <c r="J1351" t="s">
        <v>35</v>
      </c>
    </row>
    <row r="1352" spans="1:10" x14ac:dyDescent="0.35">
      <c r="A1352" t="s">
        <v>2864</v>
      </c>
      <c r="B1352" t="s">
        <v>2852</v>
      </c>
      <c r="C1352" t="str">
        <f>TEXT(Table1[[#This Row],[Order_Date]],"mmm")</f>
        <v>Aug</v>
      </c>
      <c r="D1352" t="s">
        <v>2865</v>
      </c>
      <c r="E1352" t="s">
        <v>17</v>
      </c>
      <c r="F1352">
        <v>4</v>
      </c>
      <c r="G1352">
        <v>45457.78</v>
      </c>
      <c r="H1352">
        <v>181831.12</v>
      </c>
      <c r="I1352" t="s">
        <v>42</v>
      </c>
      <c r="J1352" t="s">
        <v>35</v>
      </c>
    </row>
    <row r="1353" spans="1:10" x14ac:dyDescent="0.35">
      <c r="A1353" t="s">
        <v>2866</v>
      </c>
      <c r="B1353" t="s">
        <v>2867</v>
      </c>
      <c r="C1353" t="str">
        <f>TEXT(Table1[[#This Row],[Order_Date]],"mmm")</f>
        <v>Sep</v>
      </c>
      <c r="D1353" t="s">
        <v>2868</v>
      </c>
      <c r="E1353" t="s">
        <v>53</v>
      </c>
      <c r="F1353">
        <v>2</v>
      </c>
      <c r="G1353">
        <v>19484.38</v>
      </c>
      <c r="H1353">
        <v>38968.76</v>
      </c>
      <c r="I1353" t="s">
        <v>18</v>
      </c>
      <c r="J1353" t="s">
        <v>14</v>
      </c>
    </row>
    <row r="1354" spans="1:10" x14ac:dyDescent="0.35">
      <c r="A1354" t="s">
        <v>2869</v>
      </c>
      <c r="B1354" t="s">
        <v>2867</v>
      </c>
      <c r="C1354" t="str">
        <f>TEXT(Table1[[#This Row],[Order_Date]],"mmm")</f>
        <v>Sep</v>
      </c>
      <c r="D1354" t="s">
        <v>749</v>
      </c>
      <c r="E1354" t="s">
        <v>75</v>
      </c>
      <c r="F1354">
        <v>2</v>
      </c>
      <c r="G1354">
        <v>35750.69</v>
      </c>
      <c r="H1354">
        <v>71501.38</v>
      </c>
      <c r="I1354" t="s">
        <v>42</v>
      </c>
      <c r="J1354" t="s">
        <v>19</v>
      </c>
    </row>
    <row r="1355" spans="1:10" x14ac:dyDescent="0.35">
      <c r="A1355" t="s">
        <v>2870</v>
      </c>
      <c r="B1355" t="s">
        <v>2867</v>
      </c>
      <c r="C1355" t="str">
        <f>TEXT(Table1[[#This Row],[Order_Date]],"mmm")</f>
        <v>Sep</v>
      </c>
      <c r="D1355" t="s">
        <v>2871</v>
      </c>
      <c r="E1355" t="s">
        <v>38</v>
      </c>
      <c r="F1355">
        <v>5</v>
      </c>
      <c r="G1355">
        <v>47816.7</v>
      </c>
      <c r="H1355">
        <v>239083.5</v>
      </c>
      <c r="I1355" t="s">
        <v>42</v>
      </c>
      <c r="J1355" t="s">
        <v>35</v>
      </c>
    </row>
    <row r="1356" spans="1:10" x14ac:dyDescent="0.35">
      <c r="A1356" t="s">
        <v>2872</v>
      </c>
      <c r="B1356" t="s">
        <v>2873</v>
      </c>
      <c r="C1356" t="str">
        <f>TEXT(Table1[[#This Row],[Order_Date]],"mmm")</f>
        <v>Sep</v>
      </c>
      <c r="D1356" t="s">
        <v>2874</v>
      </c>
      <c r="E1356" t="s">
        <v>47</v>
      </c>
      <c r="F1356">
        <v>5</v>
      </c>
      <c r="G1356">
        <v>44053.64</v>
      </c>
      <c r="H1356">
        <v>220268.2</v>
      </c>
      <c r="I1356" t="s">
        <v>13</v>
      </c>
      <c r="J1356" t="s">
        <v>14</v>
      </c>
    </row>
    <row r="1357" spans="1:10" x14ac:dyDescent="0.35">
      <c r="A1357" t="s">
        <v>2875</v>
      </c>
      <c r="B1357" t="s">
        <v>2873</v>
      </c>
      <c r="C1357" t="str">
        <f>TEXT(Table1[[#This Row],[Order_Date]],"mmm")</f>
        <v>Sep</v>
      </c>
      <c r="D1357" t="s">
        <v>2876</v>
      </c>
      <c r="E1357" t="s">
        <v>75</v>
      </c>
      <c r="F1357">
        <v>4</v>
      </c>
      <c r="G1357">
        <v>10184.709999999999</v>
      </c>
      <c r="H1357">
        <v>40738.839999999997</v>
      </c>
      <c r="I1357" t="s">
        <v>23</v>
      </c>
      <c r="J1357" t="s">
        <v>35</v>
      </c>
    </row>
    <row r="1358" spans="1:10" x14ac:dyDescent="0.35">
      <c r="A1358" t="s">
        <v>2877</v>
      </c>
      <c r="B1358" t="s">
        <v>2873</v>
      </c>
      <c r="C1358" t="str">
        <f>TEXT(Table1[[#This Row],[Order_Date]],"mmm")</f>
        <v>Sep</v>
      </c>
      <c r="D1358" t="s">
        <v>2878</v>
      </c>
      <c r="E1358" t="s">
        <v>22</v>
      </c>
      <c r="F1358">
        <v>4</v>
      </c>
      <c r="G1358">
        <v>19388.400000000001</v>
      </c>
      <c r="H1358">
        <v>77553.600000000006</v>
      </c>
      <c r="I1358" t="s">
        <v>23</v>
      </c>
      <c r="J1358" t="s">
        <v>24</v>
      </c>
    </row>
    <row r="1359" spans="1:10" x14ac:dyDescent="0.35">
      <c r="A1359" t="s">
        <v>2879</v>
      </c>
      <c r="B1359" t="s">
        <v>2873</v>
      </c>
      <c r="C1359" t="str">
        <f>TEXT(Table1[[#This Row],[Order_Date]],"mmm")</f>
        <v>Sep</v>
      </c>
      <c r="D1359" t="s">
        <v>2108</v>
      </c>
      <c r="E1359" t="s">
        <v>75</v>
      </c>
      <c r="F1359">
        <v>3</v>
      </c>
      <c r="G1359">
        <v>38920.959999999999</v>
      </c>
      <c r="H1359">
        <v>116762.88</v>
      </c>
      <c r="I1359" t="s">
        <v>42</v>
      </c>
      <c r="J1359" t="s">
        <v>14</v>
      </c>
    </row>
    <row r="1360" spans="1:10" x14ac:dyDescent="0.35">
      <c r="A1360" t="s">
        <v>2880</v>
      </c>
      <c r="B1360" t="s">
        <v>2873</v>
      </c>
      <c r="C1360" t="str">
        <f>TEXT(Table1[[#This Row],[Order_Date]],"mmm")</f>
        <v>Sep</v>
      </c>
      <c r="D1360" t="s">
        <v>2881</v>
      </c>
      <c r="E1360" t="s">
        <v>56</v>
      </c>
      <c r="F1360">
        <v>2</v>
      </c>
      <c r="G1360">
        <v>46853.760000000002</v>
      </c>
      <c r="H1360">
        <v>93707.520000000004</v>
      </c>
      <c r="I1360" t="s">
        <v>42</v>
      </c>
      <c r="J1360" t="s">
        <v>14</v>
      </c>
    </row>
    <row r="1361" spans="1:10" x14ac:dyDescent="0.35">
      <c r="A1361" t="s">
        <v>2882</v>
      </c>
      <c r="B1361" t="s">
        <v>2873</v>
      </c>
      <c r="C1361" t="str">
        <f>TEXT(Table1[[#This Row],[Order_Date]],"mmm")</f>
        <v>Sep</v>
      </c>
      <c r="D1361" t="s">
        <v>2883</v>
      </c>
      <c r="E1361" t="s">
        <v>38</v>
      </c>
      <c r="F1361">
        <v>1</v>
      </c>
      <c r="G1361">
        <v>36795.339999999997</v>
      </c>
      <c r="H1361">
        <v>36795.339999999997</v>
      </c>
      <c r="I1361" t="s">
        <v>18</v>
      </c>
      <c r="J1361" t="s">
        <v>14</v>
      </c>
    </row>
    <row r="1362" spans="1:10" x14ac:dyDescent="0.35">
      <c r="A1362" t="s">
        <v>2884</v>
      </c>
      <c r="B1362" t="s">
        <v>2873</v>
      </c>
      <c r="C1362" t="str">
        <f>TEXT(Table1[[#This Row],[Order_Date]],"mmm")</f>
        <v>Sep</v>
      </c>
      <c r="D1362" t="s">
        <v>2885</v>
      </c>
      <c r="E1362" t="s">
        <v>47</v>
      </c>
      <c r="F1362">
        <v>1</v>
      </c>
      <c r="G1362">
        <v>46340.160000000003</v>
      </c>
      <c r="H1362">
        <v>46340.160000000003</v>
      </c>
      <c r="I1362" t="s">
        <v>23</v>
      </c>
      <c r="J1362" t="s">
        <v>14</v>
      </c>
    </row>
    <row r="1363" spans="1:10" x14ac:dyDescent="0.35">
      <c r="A1363" t="s">
        <v>2886</v>
      </c>
      <c r="B1363" t="s">
        <v>2873</v>
      </c>
      <c r="C1363" t="str">
        <f>TEXT(Table1[[#This Row],[Order_Date]],"mmm")</f>
        <v>Sep</v>
      </c>
      <c r="D1363" t="s">
        <v>2022</v>
      </c>
      <c r="E1363" t="s">
        <v>75</v>
      </c>
      <c r="F1363">
        <v>4</v>
      </c>
      <c r="G1363">
        <v>3917.4</v>
      </c>
      <c r="H1363">
        <v>15669.6</v>
      </c>
      <c r="I1363" t="s">
        <v>42</v>
      </c>
      <c r="J1363" t="s">
        <v>19</v>
      </c>
    </row>
    <row r="1364" spans="1:10" x14ac:dyDescent="0.35">
      <c r="A1364" t="s">
        <v>2887</v>
      </c>
      <c r="B1364" t="s">
        <v>2888</v>
      </c>
      <c r="C1364" t="str">
        <f>TEXT(Table1[[#This Row],[Order_Date]],"mmm")</f>
        <v>Sep</v>
      </c>
      <c r="D1364" t="s">
        <v>2889</v>
      </c>
      <c r="E1364" t="s">
        <v>56</v>
      </c>
      <c r="F1364">
        <v>1</v>
      </c>
      <c r="G1364">
        <v>1673.73</v>
      </c>
      <c r="H1364">
        <v>1673.73</v>
      </c>
      <c r="I1364" t="s">
        <v>23</v>
      </c>
      <c r="J1364" t="s">
        <v>24</v>
      </c>
    </row>
    <row r="1365" spans="1:10" x14ac:dyDescent="0.35">
      <c r="A1365" t="s">
        <v>2890</v>
      </c>
      <c r="B1365" t="s">
        <v>2888</v>
      </c>
      <c r="C1365" t="str">
        <f>TEXT(Table1[[#This Row],[Order_Date]],"mmm")</f>
        <v>Sep</v>
      </c>
      <c r="D1365" t="s">
        <v>2891</v>
      </c>
      <c r="E1365" t="s">
        <v>12</v>
      </c>
      <c r="F1365">
        <v>3</v>
      </c>
      <c r="G1365">
        <v>27470.52</v>
      </c>
      <c r="H1365">
        <v>82411.56</v>
      </c>
      <c r="I1365" t="s">
        <v>23</v>
      </c>
      <c r="J1365" t="s">
        <v>19</v>
      </c>
    </row>
    <row r="1366" spans="1:10" x14ac:dyDescent="0.35">
      <c r="A1366" t="s">
        <v>2892</v>
      </c>
      <c r="B1366" t="s">
        <v>2888</v>
      </c>
      <c r="C1366" t="str">
        <f>TEXT(Table1[[#This Row],[Order_Date]],"mmm")</f>
        <v>Sep</v>
      </c>
      <c r="D1366" t="s">
        <v>2893</v>
      </c>
      <c r="E1366" t="s">
        <v>22</v>
      </c>
      <c r="F1366">
        <v>5</v>
      </c>
      <c r="G1366">
        <v>40366.120000000003</v>
      </c>
      <c r="H1366">
        <v>201830.6</v>
      </c>
      <c r="I1366" t="s">
        <v>18</v>
      </c>
      <c r="J1366" t="s">
        <v>35</v>
      </c>
    </row>
    <row r="1367" spans="1:10" x14ac:dyDescent="0.35">
      <c r="A1367" t="s">
        <v>2894</v>
      </c>
      <c r="B1367" t="s">
        <v>2888</v>
      </c>
      <c r="C1367" t="str">
        <f>TEXT(Table1[[#This Row],[Order_Date]],"mmm")</f>
        <v>Sep</v>
      </c>
      <c r="D1367" t="s">
        <v>1162</v>
      </c>
      <c r="E1367" t="s">
        <v>22</v>
      </c>
      <c r="F1367">
        <v>5</v>
      </c>
      <c r="G1367">
        <v>40052.980000000003</v>
      </c>
      <c r="H1367">
        <v>200264.9</v>
      </c>
      <c r="I1367" t="s">
        <v>13</v>
      </c>
      <c r="J1367" t="s">
        <v>14</v>
      </c>
    </row>
    <row r="1368" spans="1:10" x14ac:dyDescent="0.35">
      <c r="A1368" t="s">
        <v>2895</v>
      </c>
      <c r="B1368" t="s">
        <v>2896</v>
      </c>
      <c r="C1368" t="str">
        <f>TEXT(Table1[[#This Row],[Order_Date]],"mmm")</f>
        <v>Sep</v>
      </c>
      <c r="D1368" t="s">
        <v>2897</v>
      </c>
      <c r="E1368" t="s">
        <v>22</v>
      </c>
      <c r="F1368">
        <v>1</v>
      </c>
      <c r="G1368">
        <v>35921.89</v>
      </c>
      <c r="H1368">
        <v>35921.89</v>
      </c>
      <c r="I1368" t="s">
        <v>42</v>
      </c>
      <c r="J1368" t="s">
        <v>24</v>
      </c>
    </row>
    <row r="1369" spans="1:10" x14ac:dyDescent="0.35">
      <c r="A1369" t="s">
        <v>2898</v>
      </c>
      <c r="B1369" t="s">
        <v>2896</v>
      </c>
      <c r="C1369" t="str">
        <f>TEXT(Table1[[#This Row],[Order_Date]],"mmm")</f>
        <v>Sep</v>
      </c>
      <c r="D1369" t="s">
        <v>2005</v>
      </c>
      <c r="E1369" t="s">
        <v>56</v>
      </c>
      <c r="F1369">
        <v>1</v>
      </c>
      <c r="G1369">
        <v>9580.2999999999993</v>
      </c>
      <c r="H1369">
        <v>9580.2999999999993</v>
      </c>
      <c r="I1369" t="s">
        <v>18</v>
      </c>
      <c r="J1369" t="s">
        <v>19</v>
      </c>
    </row>
    <row r="1370" spans="1:10" x14ac:dyDescent="0.35">
      <c r="A1370" t="s">
        <v>2899</v>
      </c>
      <c r="B1370" t="s">
        <v>2896</v>
      </c>
      <c r="C1370" t="str">
        <f>TEXT(Table1[[#This Row],[Order_Date]],"mmm")</f>
        <v>Sep</v>
      </c>
      <c r="D1370" t="s">
        <v>2900</v>
      </c>
      <c r="E1370" t="s">
        <v>56</v>
      </c>
      <c r="F1370">
        <v>3</v>
      </c>
      <c r="G1370">
        <v>36928.01</v>
      </c>
      <c r="H1370">
        <v>110784.03</v>
      </c>
      <c r="I1370" t="s">
        <v>42</v>
      </c>
      <c r="J1370" t="s">
        <v>14</v>
      </c>
    </row>
    <row r="1371" spans="1:10" x14ac:dyDescent="0.35">
      <c r="A1371" t="s">
        <v>2901</v>
      </c>
      <c r="B1371" t="s">
        <v>2896</v>
      </c>
      <c r="C1371" t="str">
        <f>TEXT(Table1[[#This Row],[Order_Date]],"mmm")</f>
        <v>Sep</v>
      </c>
      <c r="D1371" t="s">
        <v>2902</v>
      </c>
      <c r="E1371" t="s">
        <v>22</v>
      </c>
      <c r="F1371">
        <v>3</v>
      </c>
      <c r="G1371">
        <v>33520.230000000003</v>
      </c>
      <c r="H1371">
        <v>100560.69</v>
      </c>
      <c r="I1371" t="s">
        <v>42</v>
      </c>
      <c r="J1371" t="s">
        <v>35</v>
      </c>
    </row>
    <row r="1372" spans="1:10" x14ac:dyDescent="0.35">
      <c r="A1372" t="s">
        <v>2903</v>
      </c>
      <c r="B1372" t="s">
        <v>2904</v>
      </c>
      <c r="C1372" t="str">
        <f>TEXT(Table1[[#This Row],[Order_Date]],"mmm")</f>
        <v>Sep</v>
      </c>
      <c r="D1372" t="s">
        <v>2905</v>
      </c>
      <c r="E1372" t="s">
        <v>75</v>
      </c>
      <c r="F1372">
        <v>3</v>
      </c>
      <c r="G1372">
        <v>17398.580000000002</v>
      </c>
      <c r="H1372">
        <v>52195.74</v>
      </c>
      <c r="I1372" t="s">
        <v>42</v>
      </c>
      <c r="J1372" t="s">
        <v>14</v>
      </c>
    </row>
    <row r="1373" spans="1:10" x14ac:dyDescent="0.35">
      <c r="A1373" t="s">
        <v>2906</v>
      </c>
      <c r="B1373" t="s">
        <v>2904</v>
      </c>
      <c r="C1373" t="str">
        <f>TEXT(Table1[[#This Row],[Order_Date]],"mmm")</f>
        <v>Sep</v>
      </c>
      <c r="D1373" t="s">
        <v>2907</v>
      </c>
      <c r="E1373" t="s">
        <v>47</v>
      </c>
      <c r="F1373">
        <v>4</v>
      </c>
      <c r="G1373">
        <v>3948.09</v>
      </c>
      <c r="H1373">
        <v>15792.36</v>
      </c>
      <c r="I1373" t="s">
        <v>13</v>
      </c>
      <c r="J1373" t="s">
        <v>24</v>
      </c>
    </row>
    <row r="1374" spans="1:10" x14ac:dyDescent="0.35">
      <c r="A1374" t="s">
        <v>2908</v>
      </c>
      <c r="B1374" t="s">
        <v>2904</v>
      </c>
      <c r="C1374" t="str">
        <f>TEXT(Table1[[#This Row],[Order_Date]],"mmm")</f>
        <v>Sep</v>
      </c>
      <c r="D1374" t="s">
        <v>2909</v>
      </c>
      <c r="E1374" t="s">
        <v>12</v>
      </c>
      <c r="F1374">
        <v>4</v>
      </c>
      <c r="G1374">
        <v>26967.24</v>
      </c>
      <c r="H1374">
        <v>107868.96</v>
      </c>
      <c r="I1374" t="s">
        <v>13</v>
      </c>
      <c r="J1374" t="s">
        <v>19</v>
      </c>
    </row>
    <row r="1375" spans="1:10" x14ac:dyDescent="0.35">
      <c r="A1375" t="s">
        <v>2910</v>
      </c>
      <c r="B1375" t="s">
        <v>2904</v>
      </c>
      <c r="C1375" t="str">
        <f>TEXT(Table1[[#This Row],[Order_Date]],"mmm")</f>
        <v>Sep</v>
      </c>
      <c r="D1375" t="s">
        <v>2911</v>
      </c>
      <c r="E1375" t="s">
        <v>72</v>
      </c>
      <c r="F1375">
        <v>2</v>
      </c>
      <c r="G1375">
        <v>45545.279999999999</v>
      </c>
      <c r="H1375">
        <v>91090.559999999998</v>
      </c>
      <c r="I1375" t="s">
        <v>18</v>
      </c>
      <c r="J1375" t="s">
        <v>35</v>
      </c>
    </row>
    <row r="1376" spans="1:10" x14ac:dyDescent="0.35">
      <c r="A1376" t="s">
        <v>2912</v>
      </c>
      <c r="B1376" t="s">
        <v>2904</v>
      </c>
      <c r="C1376" t="str">
        <f>TEXT(Table1[[#This Row],[Order_Date]],"mmm")</f>
        <v>Sep</v>
      </c>
      <c r="D1376" t="s">
        <v>2913</v>
      </c>
      <c r="E1376" t="s">
        <v>75</v>
      </c>
      <c r="F1376">
        <v>4</v>
      </c>
      <c r="G1376">
        <v>3080.12</v>
      </c>
      <c r="H1376">
        <v>12320.48</v>
      </c>
      <c r="I1376" t="s">
        <v>18</v>
      </c>
      <c r="J1376" t="s">
        <v>24</v>
      </c>
    </row>
    <row r="1377" spans="1:10" x14ac:dyDescent="0.35">
      <c r="A1377" t="s">
        <v>2914</v>
      </c>
      <c r="B1377" t="s">
        <v>2904</v>
      </c>
      <c r="C1377" t="str">
        <f>TEXT(Table1[[#This Row],[Order_Date]],"mmm")</f>
        <v>Sep</v>
      </c>
      <c r="D1377" t="s">
        <v>2915</v>
      </c>
      <c r="E1377" t="s">
        <v>17</v>
      </c>
      <c r="F1377">
        <v>2</v>
      </c>
      <c r="G1377">
        <v>42536.3</v>
      </c>
      <c r="H1377">
        <v>85072.6</v>
      </c>
      <c r="I1377" t="s">
        <v>18</v>
      </c>
      <c r="J1377" t="s">
        <v>14</v>
      </c>
    </row>
    <row r="1378" spans="1:10" x14ac:dyDescent="0.35">
      <c r="A1378" t="s">
        <v>2916</v>
      </c>
      <c r="B1378" t="s">
        <v>2917</v>
      </c>
      <c r="C1378" t="str">
        <f>TEXT(Table1[[#This Row],[Order_Date]],"mmm")</f>
        <v>Sep</v>
      </c>
      <c r="D1378" t="s">
        <v>2918</v>
      </c>
      <c r="E1378" t="s">
        <v>38</v>
      </c>
      <c r="F1378">
        <v>1</v>
      </c>
      <c r="G1378">
        <v>14485.41</v>
      </c>
      <c r="H1378">
        <v>14485.41</v>
      </c>
      <c r="I1378" t="s">
        <v>13</v>
      </c>
      <c r="J1378" t="s">
        <v>24</v>
      </c>
    </row>
    <row r="1379" spans="1:10" x14ac:dyDescent="0.35">
      <c r="A1379" t="s">
        <v>2919</v>
      </c>
      <c r="B1379" t="s">
        <v>2917</v>
      </c>
      <c r="C1379" t="str">
        <f>TEXT(Table1[[#This Row],[Order_Date]],"mmm")</f>
        <v>Sep</v>
      </c>
      <c r="D1379" t="s">
        <v>2920</v>
      </c>
      <c r="E1379" t="s">
        <v>22</v>
      </c>
      <c r="F1379">
        <v>2</v>
      </c>
      <c r="G1379">
        <v>3377.38</v>
      </c>
      <c r="H1379">
        <v>6754.76</v>
      </c>
      <c r="I1379" t="s">
        <v>13</v>
      </c>
      <c r="J1379" t="s">
        <v>19</v>
      </c>
    </row>
    <row r="1380" spans="1:10" x14ac:dyDescent="0.35">
      <c r="A1380" t="s">
        <v>2921</v>
      </c>
      <c r="B1380" t="s">
        <v>2917</v>
      </c>
      <c r="C1380" t="str">
        <f>TEXT(Table1[[#This Row],[Order_Date]],"mmm")</f>
        <v>Sep</v>
      </c>
      <c r="D1380" t="s">
        <v>92</v>
      </c>
      <c r="E1380" t="s">
        <v>38</v>
      </c>
      <c r="F1380">
        <v>5</v>
      </c>
      <c r="G1380">
        <v>8705.4699999999993</v>
      </c>
      <c r="H1380">
        <v>43527.35</v>
      </c>
      <c r="I1380" t="s">
        <v>18</v>
      </c>
      <c r="J1380" t="s">
        <v>19</v>
      </c>
    </row>
    <row r="1381" spans="1:10" x14ac:dyDescent="0.35">
      <c r="A1381" t="s">
        <v>2922</v>
      </c>
      <c r="B1381" t="s">
        <v>2917</v>
      </c>
      <c r="C1381" t="str">
        <f>TEXT(Table1[[#This Row],[Order_Date]],"mmm")</f>
        <v>Sep</v>
      </c>
      <c r="D1381" t="s">
        <v>2923</v>
      </c>
      <c r="E1381" t="s">
        <v>17</v>
      </c>
      <c r="F1381">
        <v>2</v>
      </c>
      <c r="G1381">
        <v>30835.75</v>
      </c>
      <c r="H1381">
        <v>61671.5</v>
      </c>
      <c r="I1381" t="s">
        <v>13</v>
      </c>
      <c r="J1381" t="s">
        <v>19</v>
      </c>
    </row>
    <row r="1382" spans="1:10" x14ac:dyDescent="0.35">
      <c r="A1382" t="s">
        <v>2924</v>
      </c>
      <c r="B1382" t="s">
        <v>2917</v>
      </c>
      <c r="C1382" t="str">
        <f>TEXT(Table1[[#This Row],[Order_Date]],"mmm")</f>
        <v>Sep</v>
      </c>
      <c r="D1382" t="s">
        <v>2925</v>
      </c>
      <c r="E1382" t="s">
        <v>32</v>
      </c>
      <c r="F1382">
        <v>5</v>
      </c>
      <c r="G1382">
        <v>4698.49</v>
      </c>
      <c r="H1382">
        <v>23492.45</v>
      </c>
      <c r="I1382" t="s">
        <v>42</v>
      </c>
      <c r="J1382" t="s">
        <v>19</v>
      </c>
    </row>
    <row r="1383" spans="1:10" x14ac:dyDescent="0.35">
      <c r="A1383" t="s">
        <v>2926</v>
      </c>
      <c r="B1383" t="s">
        <v>2927</v>
      </c>
      <c r="C1383" t="str">
        <f>TEXT(Table1[[#This Row],[Order_Date]],"mmm")</f>
        <v>Sep</v>
      </c>
      <c r="D1383" t="s">
        <v>2928</v>
      </c>
      <c r="E1383" t="s">
        <v>22</v>
      </c>
      <c r="F1383">
        <v>1</v>
      </c>
      <c r="G1383">
        <v>17653.310000000001</v>
      </c>
      <c r="H1383">
        <v>17653.310000000001</v>
      </c>
      <c r="I1383" t="s">
        <v>42</v>
      </c>
      <c r="J1383" t="s">
        <v>14</v>
      </c>
    </row>
    <row r="1384" spans="1:10" x14ac:dyDescent="0.35">
      <c r="A1384" t="s">
        <v>2929</v>
      </c>
      <c r="B1384" t="s">
        <v>2927</v>
      </c>
      <c r="C1384" t="str">
        <f>TEXT(Table1[[#This Row],[Order_Date]],"mmm")</f>
        <v>Sep</v>
      </c>
      <c r="D1384" t="s">
        <v>2930</v>
      </c>
      <c r="E1384" t="s">
        <v>75</v>
      </c>
      <c r="F1384">
        <v>1</v>
      </c>
      <c r="G1384">
        <v>4984.8999999999996</v>
      </c>
      <c r="H1384">
        <v>4984.8999999999996</v>
      </c>
      <c r="I1384" t="s">
        <v>18</v>
      </c>
      <c r="J1384" t="s">
        <v>14</v>
      </c>
    </row>
    <row r="1385" spans="1:10" x14ac:dyDescent="0.35">
      <c r="A1385" t="s">
        <v>2931</v>
      </c>
      <c r="B1385" t="s">
        <v>2927</v>
      </c>
      <c r="C1385" t="str">
        <f>TEXT(Table1[[#This Row],[Order_Date]],"mmm")</f>
        <v>Sep</v>
      </c>
      <c r="D1385" t="s">
        <v>2932</v>
      </c>
      <c r="E1385" t="s">
        <v>12</v>
      </c>
      <c r="F1385">
        <v>4</v>
      </c>
      <c r="G1385">
        <v>11428.11</v>
      </c>
      <c r="H1385">
        <v>45712.44</v>
      </c>
      <c r="I1385" t="s">
        <v>18</v>
      </c>
      <c r="J1385" t="s">
        <v>14</v>
      </c>
    </row>
    <row r="1386" spans="1:10" x14ac:dyDescent="0.35">
      <c r="A1386" t="s">
        <v>2933</v>
      </c>
      <c r="B1386" t="s">
        <v>2927</v>
      </c>
      <c r="C1386" t="str">
        <f>TEXT(Table1[[#This Row],[Order_Date]],"mmm")</f>
        <v>Sep</v>
      </c>
      <c r="D1386" t="s">
        <v>2934</v>
      </c>
      <c r="E1386" t="s">
        <v>38</v>
      </c>
      <c r="F1386">
        <v>4</v>
      </c>
      <c r="G1386">
        <v>38443.46</v>
      </c>
      <c r="H1386">
        <v>153773.84</v>
      </c>
      <c r="I1386" t="s">
        <v>13</v>
      </c>
      <c r="J1386" t="s">
        <v>19</v>
      </c>
    </row>
    <row r="1387" spans="1:10" x14ac:dyDescent="0.35">
      <c r="A1387" t="s">
        <v>2935</v>
      </c>
      <c r="B1387" t="s">
        <v>2927</v>
      </c>
      <c r="C1387" t="str">
        <f>TEXT(Table1[[#This Row],[Order_Date]],"mmm")</f>
        <v>Sep</v>
      </c>
      <c r="D1387" t="s">
        <v>2936</v>
      </c>
      <c r="E1387" t="s">
        <v>75</v>
      </c>
      <c r="F1387">
        <v>4</v>
      </c>
      <c r="G1387">
        <v>6198.63</v>
      </c>
      <c r="H1387">
        <v>24794.52</v>
      </c>
      <c r="I1387" t="s">
        <v>23</v>
      </c>
      <c r="J1387" t="s">
        <v>24</v>
      </c>
    </row>
    <row r="1388" spans="1:10" x14ac:dyDescent="0.35">
      <c r="A1388" t="s">
        <v>2937</v>
      </c>
      <c r="B1388" t="s">
        <v>2938</v>
      </c>
      <c r="C1388" t="str">
        <f>TEXT(Table1[[#This Row],[Order_Date]],"mmm")</f>
        <v>Sep</v>
      </c>
      <c r="D1388" t="s">
        <v>2939</v>
      </c>
      <c r="E1388" t="s">
        <v>75</v>
      </c>
      <c r="F1388">
        <v>4</v>
      </c>
      <c r="G1388">
        <v>35626.050000000003</v>
      </c>
      <c r="H1388">
        <v>142504.20000000001</v>
      </c>
      <c r="I1388" t="s">
        <v>23</v>
      </c>
      <c r="J1388" t="s">
        <v>14</v>
      </c>
    </row>
    <row r="1389" spans="1:10" x14ac:dyDescent="0.35">
      <c r="A1389" t="s">
        <v>2940</v>
      </c>
      <c r="B1389" t="s">
        <v>2938</v>
      </c>
      <c r="C1389" t="str">
        <f>TEXT(Table1[[#This Row],[Order_Date]],"mmm")</f>
        <v>Sep</v>
      </c>
      <c r="D1389" t="s">
        <v>2941</v>
      </c>
      <c r="E1389" t="s">
        <v>56</v>
      </c>
      <c r="F1389">
        <v>5</v>
      </c>
      <c r="G1389">
        <v>49707.98</v>
      </c>
      <c r="H1389">
        <v>248539.9</v>
      </c>
      <c r="I1389" t="s">
        <v>18</v>
      </c>
      <c r="J1389" t="s">
        <v>14</v>
      </c>
    </row>
    <row r="1390" spans="1:10" x14ac:dyDescent="0.35">
      <c r="A1390" t="s">
        <v>2942</v>
      </c>
      <c r="B1390" t="s">
        <v>2938</v>
      </c>
      <c r="C1390" t="str">
        <f>TEXT(Table1[[#This Row],[Order_Date]],"mmm")</f>
        <v>Sep</v>
      </c>
      <c r="D1390" t="s">
        <v>2943</v>
      </c>
      <c r="E1390" t="s">
        <v>47</v>
      </c>
      <c r="F1390">
        <v>3</v>
      </c>
      <c r="G1390">
        <v>20812.900000000001</v>
      </c>
      <c r="H1390">
        <v>62438.7</v>
      </c>
      <c r="I1390" t="s">
        <v>18</v>
      </c>
      <c r="J1390" t="s">
        <v>19</v>
      </c>
    </row>
    <row r="1391" spans="1:10" x14ac:dyDescent="0.35">
      <c r="A1391" t="s">
        <v>2944</v>
      </c>
      <c r="B1391" t="s">
        <v>2945</v>
      </c>
      <c r="C1391" t="str">
        <f>TEXT(Table1[[#This Row],[Order_Date]],"mmm")</f>
        <v>Sep</v>
      </c>
      <c r="D1391" t="s">
        <v>2946</v>
      </c>
      <c r="E1391" t="s">
        <v>38</v>
      </c>
      <c r="F1391">
        <v>3</v>
      </c>
      <c r="G1391">
        <v>47543.3</v>
      </c>
      <c r="H1391">
        <v>142629.9</v>
      </c>
      <c r="I1391" t="s">
        <v>18</v>
      </c>
      <c r="J1391" t="s">
        <v>14</v>
      </c>
    </row>
    <row r="1392" spans="1:10" x14ac:dyDescent="0.35">
      <c r="A1392" t="s">
        <v>2947</v>
      </c>
      <c r="B1392" t="s">
        <v>2945</v>
      </c>
      <c r="C1392" t="str">
        <f>TEXT(Table1[[#This Row],[Order_Date]],"mmm")</f>
        <v>Sep</v>
      </c>
      <c r="D1392" t="s">
        <v>2948</v>
      </c>
      <c r="E1392" t="s">
        <v>38</v>
      </c>
      <c r="F1392">
        <v>4</v>
      </c>
      <c r="G1392">
        <v>16857.98</v>
      </c>
      <c r="H1392">
        <v>67431.92</v>
      </c>
      <c r="I1392" t="s">
        <v>18</v>
      </c>
      <c r="J1392" t="s">
        <v>35</v>
      </c>
    </row>
    <row r="1393" spans="1:10" x14ac:dyDescent="0.35">
      <c r="A1393" t="s">
        <v>2949</v>
      </c>
      <c r="B1393" t="s">
        <v>2945</v>
      </c>
      <c r="C1393" t="str">
        <f>TEXT(Table1[[#This Row],[Order_Date]],"mmm")</f>
        <v>Sep</v>
      </c>
      <c r="D1393" t="s">
        <v>2950</v>
      </c>
      <c r="E1393" t="s">
        <v>56</v>
      </c>
      <c r="F1393">
        <v>1</v>
      </c>
      <c r="G1393">
        <v>43278.35</v>
      </c>
      <c r="H1393">
        <v>43278.35</v>
      </c>
      <c r="I1393" t="s">
        <v>42</v>
      </c>
      <c r="J1393" t="s">
        <v>19</v>
      </c>
    </row>
    <row r="1394" spans="1:10" x14ac:dyDescent="0.35">
      <c r="A1394" t="s">
        <v>2951</v>
      </c>
      <c r="B1394" t="s">
        <v>2945</v>
      </c>
      <c r="C1394" t="str">
        <f>TEXT(Table1[[#This Row],[Order_Date]],"mmm")</f>
        <v>Sep</v>
      </c>
      <c r="D1394" t="s">
        <v>151</v>
      </c>
      <c r="E1394" t="s">
        <v>75</v>
      </c>
      <c r="F1394">
        <v>3</v>
      </c>
      <c r="G1394">
        <v>16380.32</v>
      </c>
      <c r="H1394">
        <v>49140.959999999999</v>
      </c>
      <c r="I1394" t="s">
        <v>18</v>
      </c>
      <c r="J1394" t="s">
        <v>35</v>
      </c>
    </row>
    <row r="1395" spans="1:10" x14ac:dyDescent="0.35">
      <c r="A1395" t="s">
        <v>2952</v>
      </c>
      <c r="B1395" t="s">
        <v>2945</v>
      </c>
      <c r="C1395" t="str">
        <f>TEXT(Table1[[#This Row],[Order_Date]],"mmm")</f>
        <v>Sep</v>
      </c>
      <c r="D1395" t="s">
        <v>2953</v>
      </c>
      <c r="E1395" t="s">
        <v>56</v>
      </c>
      <c r="F1395">
        <v>1</v>
      </c>
      <c r="G1395">
        <v>32957.629999999997</v>
      </c>
      <c r="H1395">
        <v>32957.629999999997</v>
      </c>
      <c r="I1395" t="s">
        <v>18</v>
      </c>
      <c r="J1395" t="s">
        <v>24</v>
      </c>
    </row>
    <row r="1396" spans="1:10" x14ac:dyDescent="0.35">
      <c r="A1396" t="s">
        <v>2954</v>
      </c>
      <c r="B1396" t="s">
        <v>2945</v>
      </c>
      <c r="C1396" t="str">
        <f>TEXT(Table1[[#This Row],[Order_Date]],"mmm")</f>
        <v>Sep</v>
      </c>
      <c r="D1396" t="s">
        <v>2955</v>
      </c>
      <c r="E1396" t="s">
        <v>17</v>
      </c>
      <c r="F1396">
        <v>3</v>
      </c>
      <c r="G1396">
        <v>23215.91</v>
      </c>
      <c r="H1396">
        <v>69647.73</v>
      </c>
      <c r="I1396" t="s">
        <v>18</v>
      </c>
      <c r="J1396" t="s">
        <v>19</v>
      </c>
    </row>
    <row r="1397" spans="1:10" x14ac:dyDescent="0.35">
      <c r="A1397" t="s">
        <v>2956</v>
      </c>
      <c r="B1397" t="s">
        <v>2957</v>
      </c>
      <c r="C1397" t="str">
        <f>TEXT(Table1[[#This Row],[Order_Date]],"mmm")</f>
        <v>Sep</v>
      </c>
      <c r="D1397" t="s">
        <v>486</v>
      </c>
      <c r="E1397" t="s">
        <v>53</v>
      </c>
      <c r="F1397">
        <v>2</v>
      </c>
      <c r="G1397">
        <v>9233.9699999999993</v>
      </c>
      <c r="H1397">
        <v>18467.939999999999</v>
      </c>
      <c r="I1397" t="s">
        <v>23</v>
      </c>
      <c r="J1397" t="s">
        <v>14</v>
      </c>
    </row>
    <row r="1398" spans="1:10" x14ac:dyDescent="0.35">
      <c r="A1398" t="s">
        <v>2958</v>
      </c>
      <c r="B1398" t="s">
        <v>2957</v>
      </c>
      <c r="C1398" t="str">
        <f>TEXT(Table1[[#This Row],[Order_Date]],"mmm")</f>
        <v>Sep</v>
      </c>
      <c r="D1398" t="s">
        <v>2959</v>
      </c>
      <c r="E1398" t="s">
        <v>12</v>
      </c>
      <c r="F1398">
        <v>1</v>
      </c>
      <c r="G1398">
        <v>41964.29</v>
      </c>
      <c r="H1398">
        <v>41964.29</v>
      </c>
      <c r="I1398" t="s">
        <v>13</v>
      </c>
      <c r="J1398" t="s">
        <v>19</v>
      </c>
    </row>
    <row r="1399" spans="1:10" x14ac:dyDescent="0.35">
      <c r="A1399" t="s">
        <v>2960</v>
      </c>
      <c r="B1399" t="s">
        <v>2957</v>
      </c>
      <c r="C1399" t="str">
        <f>TEXT(Table1[[#This Row],[Order_Date]],"mmm")</f>
        <v>Sep</v>
      </c>
      <c r="D1399" t="s">
        <v>2961</v>
      </c>
      <c r="E1399" t="s">
        <v>12</v>
      </c>
      <c r="F1399">
        <v>3</v>
      </c>
      <c r="G1399">
        <v>43335.48</v>
      </c>
      <c r="H1399">
        <v>130006.44</v>
      </c>
      <c r="I1399" t="s">
        <v>18</v>
      </c>
      <c r="J1399" t="s">
        <v>24</v>
      </c>
    </row>
    <row r="1400" spans="1:10" x14ac:dyDescent="0.35">
      <c r="A1400" t="s">
        <v>2962</v>
      </c>
      <c r="B1400" t="s">
        <v>2957</v>
      </c>
      <c r="C1400" t="str">
        <f>TEXT(Table1[[#This Row],[Order_Date]],"mmm")</f>
        <v>Sep</v>
      </c>
      <c r="D1400" t="s">
        <v>2963</v>
      </c>
      <c r="E1400" t="s">
        <v>47</v>
      </c>
      <c r="F1400">
        <v>2</v>
      </c>
      <c r="G1400">
        <v>5746.48</v>
      </c>
      <c r="H1400">
        <v>11492.96</v>
      </c>
      <c r="I1400" t="s">
        <v>23</v>
      </c>
      <c r="J1400" t="s">
        <v>14</v>
      </c>
    </row>
    <row r="1401" spans="1:10" x14ac:dyDescent="0.35">
      <c r="A1401" t="s">
        <v>2964</v>
      </c>
      <c r="B1401" t="s">
        <v>2965</v>
      </c>
      <c r="C1401" t="str">
        <f>TEXT(Table1[[#This Row],[Order_Date]],"mmm")</f>
        <v>Sep</v>
      </c>
      <c r="D1401" t="s">
        <v>2966</v>
      </c>
      <c r="E1401" t="s">
        <v>32</v>
      </c>
      <c r="F1401">
        <v>5</v>
      </c>
      <c r="G1401">
        <v>23615</v>
      </c>
      <c r="H1401">
        <v>118075</v>
      </c>
      <c r="I1401" t="s">
        <v>13</v>
      </c>
      <c r="J1401" t="s">
        <v>19</v>
      </c>
    </row>
    <row r="1402" spans="1:10" x14ac:dyDescent="0.35">
      <c r="A1402" t="s">
        <v>2967</v>
      </c>
      <c r="B1402" t="s">
        <v>2965</v>
      </c>
      <c r="C1402" t="str">
        <f>TEXT(Table1[[#This Row],[Order_Date]],"mmm")</f>
        <v>Sep</v>
      </c>
      <c r="D1402" t="s">
        <v>2968</v>
      </c>
      <c r="E1402" t="s">
        <v>56</v>
      </c>
      <c r="F1402">
        <v>1</v>
      </c>
      <c r="G1402">
        <v>1185.94</v>
      </c>
      <c r="H1402">
        <v>1185.94</v>
      </c>
      <c r="I1402" t="s">
        <v>42</v>
      </c>
      <c r="J1402" t="s">
        <v>14</v>
      </c>
    </row>
    <row r="1403" spans="1:10" x14ac:dyDescent="0.35">
      <c r="A1403" t="s">
        <v>2969</v>
      </c>
      <c r="B1403" t="s">
        <v>2965</v>
      </c>
      <c r="C1403" t="str">
        <f>TEXT(Table1[[#This Row],[Order_Date]],"mmm")</f>
        <v>Sep</v>
      </c>
      <c r="D1403" t="s">
        <v>2970</v>
      </c>
      <c r="E1403" t="s">
        <v>72</v>
      </c>
      <c r="F1403">
        <v>4</v>
      </c>
      <c r="G1403">
        <v>46651.45</v>
      </c>
      <c r="H1403">
        <v>186605.8</v>
      </c>
      <c r="I1403" t="s">
        <v>13</v>
      </c>
      <c r="J1403" t="s">
        <v>24</v>
      </c>
    </row>
    <row r="1404" spans="1:10" x14ac:dyDescent="0.35">
      <c r="A1404" t="s">
        <v>2971</v>
      </c>
      <c r="B1404" t="s">
        <v>2965</v>
      </c>
      <c r="C1404" t="str">
        <f>TEXT(Table1[[#This Row],[Order_Date]],"mmm")</f>
        <v>Sep</v>
      </c>
      <c r="D1404" t="s">
        <v>1945</v>
      </c>
      <c r="E1404" t="s">
        <v>32</v>
      </c>
      <c r="F1404">
        <v>2</v>
      </c>
      <c r="G1404">
        <v>26032.13</v>
      </c>
      <c r="H1404">
        <v>52064.26</v>
      </c>
      <c r="I1404" t="s">
        <v>13</v>
      </c>
      <c r="J1404" t="s">
        <v>19</v>
      </c>
    </row>
    <row r="1405" spans="1:10" x14ac:dyDescent="0.35">
      <c r="A1405" t="s">
        <v>2972</v>
      </c>
      <c r="B1405" t="s">
        <v>2965</v>
      </c>
      <c r="C1405" t="str">
        <f>TEXT(Table1[[#This Row],[Order_Date]],"mmm")</f>
        <v>Sep</v>
      </c>
      <c r="D1405" t="s">
        <v>2973</v>
      </c>
      <c r="E1405" t="s">
        <v>32</v>
      </c>
      <c r="F1405">
        <v>3</v>
      </c>
      <c r="G1405">
        <v>23563.52</v>
      </c>
      <c r="H1405">
        <v>70690.559999999998</v>
      </c>
      <c r="I1405" t="s">
        <v>42</v>
      </c>
      <c r="J1405" t="s">
        <v>19</v>
      </c>
    </row>
    <row r="1406" spans="1:10" x14ac:dyDescent="0.35">
      <c r="A1406" t="s">
        <v>2974</v>
      </c>
      <c r="B1406" t="s">
        <v>2965</v>
      </c>
      <c r="C1406" t="str">
        <f>TEXT(Table1[[#This Row],[Order_Date]],"mmm")</f>
        <v>Sep</v>
      </c>
      <c r="D1406" t="s">
        <v>2975</v>
      </c>
      <c r="E1406" t="s">
        <v>17</v>
      </c>
      <c r="F1406">
        <v>3</v>
      </c>
      <c r="G1406">
        <v>7628.48</v>
      </c>
      <c r="H1406">
        <v>22885.439999999999</v>
      </c>
      <c r="I1406" t="s">
        <v>42</v>
      </c>
      <c r="J1406" t="s">
        <v>24</v>
      </c>
    </row>
    <row r="1407" spans="1:10" x14ac:dyDescent="0.35">
      <c r="A1407" t="s">
        <v>2976</v>
      </c>
      <c r="B1407" t="s">
        <v>2965</v>
      </c>
      <c r="C1407" t="str">
        <f>TEXT(Table1[[#This Row],[Order_Date]],"mmm")</f>
        <v>Sep</v>
      </c>
      <c r="D1407" t="s">
        <v>2977</v>
      </c>
      <c r="E1407" t="s">
        <v>72</v>
      </c>
      <c r="F1407">
        <v>5</v>
      </c>
      <c r="G1407">
        <v>23543.05</v>
      </c>
      <c r="H1407">
        <v>117715.25</v>
      </c>
      <c r="I1407" t="s">
        <v>23</v>
      </c>
      <c r="J1407" t="s">
        <v>35</v>
      </c>
    </row>
    <row r="1408" spans="1:10" x14ac:dyDescent="0.35">
      <c r="A1408" t="s">
        <v>2978</v>
      </c>
      <c r="B1408" t="s">
        <v>2979</v>
      </c>
      <c r="C1408" t="str">
        <f>TEXT(Table1[[#This Row],[Order_Date]],"mmm")</f>
        <v>Sep</v>
      </c>
      <c r="D1408" t="s">
        <v>2980</v>
      </c>
      <c r="E1408" t="s">
        <v>22</v>
      </c>
      <c r="F1408">
        <v>3</v>
      </c>
      <c r="G1408">
        <v>5083.41</v>
      </c>
      <c r="H1408">
        <v>15250.23</v>
      </c>
      <c r="I1408" t="s">
        <v>18</v>
      </c>
      <c r="J1408" t="s">
        <v>19</v>
      </c>
    </row>
    <row r="1409" spans="1:10" x14ac:dyDescent="0.35">
      <c r="A1409" t="s">
        <v>2981</v>
      </c>
      <c r="B1409" t="s">
        <v>2979</v>
      </c>
      <c r="C1409" t="str">
        <f>TEXT(Table1[[#This Row],[Order_Date]],"mmm")</f>
        <v>Sep</v>
      </c>
      <c r="D1409" t="s">
        <v>1468</v>
      </c>
      <c r="E1409" t="s">
        <v>75</v>
      </c>
      <c r="F1409">
        <v>5</v>
      </c>
      <c r="G1409">
        <v>29883.55</v>
      </c>
      <c r="H1409">
        <v>149417.75</v>
      </c>
      <c r="I1409" t="s">
        <v>18</v>
      </c>
      <c r="J1409" t="s">
        <v>19</v>
      </c>
    </row>
    <row r="1410" spans="1:10" x14ac:dyDescent="0.35">
      <c r="A1410" t="s">
        <v>2982</v>
      </c>
      <c r="B1410" t="s">
        <v>2979</v>
      </c>
      <c r="C1410" t="str">
        <f>TEXT(Table1[[#This Row],[Order_Date]],"mmm")</f>
        <v>Sep</v>
      </c>
      <c r="D1410" t="s">
        <v>2983</v>
      </c>
      <c r="E1410" t="s">
        <v>75</v>
      </c>
      <c r="F1410">
        <v>1</v>
      </c>
      <c r="G1410">
        <v>22493.46</v>
      </c>
      <c r="H1410">
        <v>22493.46</v>
      </c>
      <c r="I1410" t="s">
        <v>23</v>
      </c>
      <c r="J1410" t="s">
        <v>14</v>
      </c>
    </row>
    <row r="1411" spans="1:10" x14ac:dyDescent="0.35">
      <c r="A1411" t="s">
        <v>2984</v>
      </c>
      <c r="B1411" t="s">
        <v>2979</v>
      </c>
      <c r="C1411" t="str">
        <f>TEXT(Table1[[#This Row],[Order_Date]],"mmm")</f>
        <v>Sep</v>
      </c>
      <c r="D1411" t="s">
        <v>2985</v>
      </c>
      <c r="E1411" t="s">
        <v>75</v>
      </c>
      <c r="F1411">
        <v>1</v>
      </c>
      <c r="G1411">
        <v>36097.910000000003</v>
      </c>
      <c r="H1411">
        <v>36097.910000000003</v>
      </c>
      <c r="I1411" t="s">
        <v>18</v>
      </c>
      <c r="J1411" t="s">
        <v>35</v>
      </c>
    </row>
    <row r="1412" spans="1:10" x14ac:dyDescent="0.35">
      <c r="A1412" t="s">
        <v>2986</v>
      </c>
      <c r="B1412" t="s">
        <v>2979</v>
      </c>
      <c r="C1412" t="str">
        <f>TEXT(Table1[[#This Row],[Order_Date]],"mmm")</f>
        <v>Sep</v>
      </c>
      <c r="D1412" t="s">
        <v>2987</v>
      </c>
      <c r="E1412" t="s">
        <v>56</v>
      </c>
      <c r="F1412">
        <v>2</v>
      </c>
      <c r="G1412">
        <v>9339.92</v>
      </c>
      <c r="H1412">
        <v>18679.84</v>
      </c>
      <c r="I1412" t="s">
        <v>42</v>
      </c>
      <c r="J1412" t="s">
        <v>14</v>
      </c>
    </row>
    <row r="1413" spans="1:10" x14ac:dyDescent="0.35">
      <c r="A1413" t="s">
        <v>2988</v>
      </c>
      <c r="B1413" t="s">
        <v>2989</v>
      </c>
      <c r="C1413" t="str">
        <f>TEXT(Table1[[#This Row],[Order_Date]],"mmm")</f>
        <v>Sep</v>
      </c>
      <c r="D1413" t="s">
        <v>2990</v>
      </c>
      <c r="E1413" t="s">
        <v>12</v>
      </c>
      <c r="F1413">
        <v>5</v>
      </c>
      <c r="G1413">
        <v>13251.42</v>
      </c>
      <c r="H1413">
        <v>66257.100000000006</v>
      </c>
      <c r="I1413" t="s">
        <v>42</v>
      </c>
      <c r="J1413" t="s">
        <v>24</v>
      </c>
    </row>
    <row r="1414" spans="1:10" x14ac:dyDescent="0.35">
      <c r="A1414" t="s">
        <v>2991</v>
      </c>
      <c r="B1414" t="s">
        <v>2989</v>
      </c>
      <c r="C1414" t="str">
        <f>TEXT(Table1[[#This Row],[Order_Date]],"mmm")</f>
        <v>Sep</v>
      </c>
      <c r="D1414" t="s">
        <v>2992</v>
      </c>
      <c r="E1414" t="s">
        <v>56</v>
      </c>
      <c r="F1414">
        <v>2</v>
      </c>
      <c r="G1414">
        <v>38014.269999999997</v>
      </c>
      <c r="H1414">
        <v>76028.539999999994</v>
      </c>
      <c r="I1414" t="s">
        <v>13</v>
      </c>
      <c r="J1414" t="s">
        <v>24</v>
      </c>
    </row>
    <row r="1415" spans="1:10" x14ac:dyDescent="0.35">
      <c r="A1415" t="s">
        <v>2993</v>
      </c>
      <c r="B1415" t="s">
        <v>2989</v>
      </c>
      <c r="C1415" t="str">
        <f>TEXT(Table1[[#This Row],[Order_Date]],"mmm")</f>
        <v>Sep</v>
      </c>
      <c r="D1415" t="s">
        <v>2994</v>
      </c>
      <c r="E1415" t="s">
        <v>47</v>
      </c>
      <c r="F1415">
        <v>3</v>
      </c>
      <c r="G1415">
        <v>21368.5</v>
      </c>
      <c r="H1415">
        <v>64105.5</v>
      </c>
      <c r="I1415" t="s">
        <v>13</v>
      </c>
      <c r="J1415" t="s">
        <v>24</v>
      </c>
    </row>
    <row r="1416" spans="1:10" x14ac:dyDescent="0.35">
      <c r="A1416" t="s">
        <v>2995</v>
      </c>
      <c r="B1416" t="s">
        <v>2996</v>
      </c>
      <c r="C1416" t="str">
        <f>TEXT(Table1[[#This Row],[Order_Date]],"mmm")</f>
        <v>Sep</v>
      </c>
      <c r="D1416" t="s">
        <v>2997</v>
      </c>
      <c r="E1416" t="s">
        <v>17</v>
      </c>
      <c r="F1416">
        <v>3</v>
      </c>
      <c r="G1416">
        <v>4880.6499999999996</v>
      </c>
      <c r="H1416">
        <v>14641.95</v>
      </c>
      <c r="I1416" t="s">
        <v>18</v>
      </c>
      <c r="J1416" t="s">
        <v>35</v>
      </c>
    </row>
    <row r="1417" spans="1:10" x14ac:dyDescent="0.35">
      <c r="A1417" t="s">
        <v>2998</v>
      </c>
      <c r="B1417" t="s">
        <v>2996</v>
      </c>
      <c r="C1417" t="str">
        <f>TEXT(Table1[[#This Row],[Order_Date]],"mmm")</f>
        <v>Sep</v>
      </c>
      <c r="D1417" t="s">
        <v>2999</v>
      </c>
      <c r="E1417" t="s">
        <v>12</v>
      </c>
      <c r="F1417">
        <v>1</v>
      </c>
      <c r="G1417">
        <v>35398.879999999997</v>
      </c>
      <c r="H1417">
        <v>35398.879999999997</v>
      </c>
      <c r="I1417" t="s">
        <v>13</v>
      </c>
      <c r="J1417" t="s">
        <v>19</v>
      </c>
    </row>
    <row r="1418" spans="1:10" x14ac:dyDescent="0.35">
      <c r="A1418" t="s">
        <v>3000</v>
      </c>
      <c r="B1418" t="s">
        <v>2996</v>
      </c>
      <c r="C1418" t="str">
        <f>TEXT(Table1[[#This Row],[Order_Date]],"mmm")</f>
        <v>Sep</v>
      </c>
      <c r="D1418" t="s">
        <v>1954</v>
      </c>
      <c r="E1418" t="s">
        <v>32</v>
      </c>
      <c r="F1418">
        <v>1</v>
      </c>
      <c r="G1418">
        <v>34161.18</v>
      </c>
      <c r="H1418">
        <v>34161.18</v>
      </c>
      <c r="I1418" t="s">
        <v>18</v>
      </c>
      <c r="J1418" t="s">
        <v>24</v>
      </c>
    </row>
    <row r="1419" spans="1:10" x14ac:dyDescent="0.35">
      <c r="A1419" t="s">
        <v>3001</v>
      </c>
      <c r="B1419" t="s">
        <v>2996</v>
      </c>
      <c r="C1419" t="str">
        <f>TEXT(Table1[[#This Row],[Order_Date]],"mmm")</f>
        <v>Sep</v>
      </c>
      <c r="D1419" t="s">
        <v>3002</v>
      </c>
      <c r="E1419" t="s">
        <v>56</v>
      </c>
      <c r="F1419">
        <v>4</v>
      </c>
      <c r="G1419">
        <v>35003.99</v>
      </c>
      <c r="H1419">
        <v>140015.96</v>
      </c>
      <c r="I1419" t="s">
        <v>23</v>
      </c>
      <c r="J1419" t="s">
        <v>35</v>
      </c>
    </row>
    <row r="1420" spans="1:10" x14ac:dyDescent="0.35">
      <c r="A1420" t="s">
        <v>3003</v>
      </c>
      <c r="B1420" t="s">
        <v>3004</v>
      </c>
      <c r="C1420" t="str">
        <f>TEXT(Table1[[#This Row],[Order_Date]],"mmm")</f>
        <v>Sep</v>
      </c>
      <c r="D1420" t="s">
        <v>3005</v>
      </c>
      <c r="E1420" t="s">
        <v>75</v>
      </c>
      <c r="F1420">
        <v>3</v>
      </c>
      <c r="G1420">
        <v>9970.6</v>
      </c>
      <c r="H1420">
        <v>29911.8</v>
      </c>
      <c r="I1420" t="s">
        <v>23</v>
      </c>
      <c r="J1420" t="s">
        <v>24</v>
      </c>
    </row>
    <row r="1421" spans="1:10" x14ac:dyDescent="0.35">
      <c r="A1421" t="s">
        <v>3006</v>
      </c>
      <c r="B1421" t="s">
        <v>3004</v>
      </c>
      <c r="C1421" t="str">
        <f>TEXT(Table1[[#This Row],[Order_Date]],"mmm")</f>
        <v>Sep</v>
      </c>
      <c r="D1421" t="s">
        <v>3007</v>
      </c>
      <c r="E1421" t="s">
        <v>53</v>
      </c>
      <c r="F1421">
        <v>5</v>
      </c>
      <c r="G1421">
        <v>8741.31</v>
      </c>
      <c r="H1421">
        <v>43706.55</v>
      </c>
      <c r="I1421" t="s">
        <v>18</v>
      </c>
      <c r="J1421" t="s">
        <v>35</v>
      </c>
    </row>
    <row r="1422" spans="1:10" x14ac:dyDescent="0.35">
      <c r="A1422" t="s">
        <v>3008</v>
      </c>
      <c r="B1422" t="s">
        <v>3004</v>
      </c>
      <c r="C1422" t="str">
        <f>TEXT(Table1[[#This Row],[Order_Date]],"mmm")</f>
        <v>Sep</v>
      </c>
      <c r="D1422" t="s">
        <v>3009</v>
      </c>
      <c r="E1422" t="s">
        <v>56</v>
      </c>
      <c r="F1422">
        <v>2</v>
      </c>
      <c r="G1422">
        <v>6643.98</v>
      </c>
      <c r="H1422">
        <v>13287.96</v>
      </c>
      <c r="I1422" t="s">
        <v>13</v>
      </c>
      <c r="J1422" t="s">
        <v>24</v>
      </c>
    </row>
    <row r="1423" spans="1:10" x14ac:dyDescent="0.35">
      <c r="A1423" t="s">
        <v>3010</v>
      </c>
      <c r="B1423" t="s">
        <v>3004</v>
      </c>
      <c r="C1423" t="str">
        <f>TEXT(Table1[[#This Row],[Order_Date]],"mmm")</f>
        <v>Sep</v>
      </c>
      <c r="D1423" t="s">
        <v>3011</v>
      </c>
      <c r="E1423" t="s">
        <v>75</v>
      </c>
      <c r="F1423">
        <v>2</v>
      </c>
      <c r="G1423">
        <v>38768.18</v>
      </c>
      <c r="H1423">
        <v>77536.36</v>
      </c>
      <c r="I1423" t="s">
        <v>23</v>
      </c>
      <c r="J1423" t="s">
        <v>35</v>
      </c>
    </row>
    <row r="1424" spans="1:10" x14ac:dyDescent="0.35">
      <c r="A1424" t="s">
        <v>3012</v>
      </c>
      <c r="B1424" t="s">
        <v>3004</v>
      </c>
      <c r="C1424" t="str">
        <f>TEXT(Table1[[#This Row],[Order_Date]],"mmm")</f>
        <v>Sep</v>
      </c>
      <c r="D1424" t="s">
        <v>3013</v>
      </c>
      <c r="E1424" t="s">
        <v>32</v>
      </c>
      <c r="F1424">
        <v>4</v>
      </c>
      <c r="G1424">
        <v>22198.7</v>
      </c>
      <c r="H1424">
        <v>88794.8</v>
      </c>
      <c r="I1424" t="s">
        <v>13</v>
      </c>
      <c r="J1424" t="s">
        <v>24</v>
      </c>
    </row>
    <row r="1425" spans="1:10" x14ac:dyDescent="0.35">
      <c r="A1425" t="s">
        <v>3014</v>
      </c>
      <c r="B1425" t="s">
        <v>3004</v>
      </c>
      <c r="C1425" t="str">
        <f>TEXT(Table1[[#This Row],[Order_Date]],"mmm")</f>
        <v>Sep</v>
      </c>
      <c r="D1425" t="s">
        <v>202</v>
      </c>
      <c r="E1425" t="s">
        <v>53</v>
      </c>
      <c r="F1425">
        <v>2</v>
      </c>
      <c r="G1425">
        <v>45647.31</v>
      </c>
      <c r="H1425">
        <v>91294.62</v>
      </c>
      <c r="I1425" t="s">
        <v>23</v>
      </c>
      <c r="J1425" t="s">
        <v>19</v>
      </c>
    </row>
    <row r="1426" spans="1:10" x14ac:dyDescent="0.35">
      <c r="A1426" t="s">
        <v>3015</v>
      </c>
      <c r="B1426" t="s">
        <v>3004</v>
      </c>
      <c r="C1426" t="str">
        <f>TEXT(Table1[[#This Row],[Order_Date]],"mmm")</f>
        <v>Sep</v>
      </c>
      <c r="D1426" t="s">
        <v>3016</v>
      </c>
      <c r="E1426" t="s">
        <v>12</v>
      </c>
      <c r="F1426">
        <v>3</v>
      </c>
      <c r="G1426">
        <v>47834.93</v>
      </c>
      <c r="H1426">
        <v>143504.79</v>
      </c>
      <c r="I1426" t="s">
        <v>23</v>
      </c>
      <c r="J1426" t="s">
        <v>24</v>
      </c>
    </row>
    <row r="1427" spans="1:10" x14ac:dyDescent="0.35">
      <c r="A1427" t="s">
        <v>3017</v>
      </c>
      <c r="B1427" t="s">
        <v>3018</v>
      </c>
      <c r="C1427" t="str">
        <f>TEXT(Table1[[#This Row],[Order_Date]],"mmm")</f>
        <v>Sep</v>
      </c>
      <c r="D1427" t="s">
        <v>3019</v>
      </c>
      <c r="E1427" t="s">
        <v>17</v>
      </c>
      <c r="F1427">
        <v>3</v>
      </c>
      <c r="G1427">
        <v>48780.22</v>
      </c>
      <c r="H1427">
        <v>146340.66</v>
      </c>
      <c r="I1427" t="s">
        <v>18</v>
      </c>
      <c r="J1427" t="s">
        <v>14</v>
      </c>
    </row>
    <row r="1428" spans="1:10" x14ac:dyDescent="0.35">
      <c r="A1428" t="s">
        <v>3020</v>
      </c>
      <c r="B1428" t="s">
        <v>3018</v>
      </c>
      <c r="C1428" t="str">
        <f>TEXT(Table1[[#This Row],[Order_Date]],"mmm")</f>
        <v>Sep</v>
      </c>
      <c r="D1428" t="s">
        <v>3021</v>
      </c>
      <c r="E1428" t="s">
        <v>75</v>
      </c>
      <c r="F1428">
        <v>3</v>
      </c>
      <c r="G1428">
        <v>34217.24</v>
      </c>
      <c r="H1428">
        <v>102651.72</v>
      </c>
      <c r="I1428" t="s">
        <v>42</v>
      </c>
      <c r="J1428" t="s">
        <v>14</v>
      </c>
    </row>
    <row r="1429" spans="1:10" x14ac:dyDescent="0.35">
      <c r="A1429" t="s">
        <v>3022</v>
      </c>
      <c r="B1429" t="s">
        <v>3018</v>
      </c>
      <c r="C1429" t="str">
        <f>TEXT(Table1[[#This Row],[Order_Date]],"mmm")</f>
        <v>Sep</v>
      </c>
      <c r="D1429" t="s">
        <v>3023</v>
      </c>
      <c r="E1429" t="s">
        <v>56</v>
      </c>
      <c r="F1429">
        <v>3</v>
      </c>
      <c r="G1429">
        <v>13948.88</v>
      </c>
      <c r="H1429">
        <v>41846.639999999999</v>
      </c>
      <c r="I1429" t="s">
        <v>23</v>
      </c>
      <c r="J1429" t="s">
        <v>35</v>
      </c>
    </row>
    <row r="1430" spans="1:10" x14ac:dyDescent="0.35">
      <c r="A1430" t="s">
        <v>3024</v>
      </c>
      <c r="B1430" t="s">
        <v>3018</v>
      </c>
      <c r="C1430" t="str">
        <f>TEXT(Table1[[#This Row],[Order_Date]],"mmm")</f>
        <v>Sep</v>
      </c>
      <c r="D1430" t="s">
        <v>3025</v>
      </c>
      <c r="E1430" t="s">
        <v>38</v>
      </c>
      <c r="F1430">
        <v>5</v>
      </c>
      <c r="G1430">
        <v>47962.18</v>
      </c>
      <c r="H1430">
        <v>239810.9</v>
      </c>
      <c r="I1430" t="s">
        <v>13</v>
      </c>
      <c r="J1430" t="s">
        <v>24</v>
      </c>
    </row>
    <row r="1431" spans="1:10" x14ac:dyDescent="0.35">
      <c r="A1431" t="s">
        <v>3026</v>
      </c>
      <c r="B1431" t="s">
        <v>3027</v>
      </c>
      <c r="C1431" t="str">
        <f>TEXT(Table1[[#This Row],[Order_Date]],"mmm")</f>
        <v>Sep</v>
      </c>
      <c r="D1431" t="s">
        <v>3028</v>
      </c>
      <c r="E1431" t="s">
        <v>17</v>
      </c>
      <c r="F1431">
        <v>3</v>
      </c>
      <c r="G1431">
        <v>17401.419999999998</v>
      </c>
      <c r="H1431">
        <v>52204.26</v>
      </c>
      <c r="I1431" t="s">
        <v>23</v>
      </c>
      <c r="J1431" t="s">
        <v>14</v>
      </c>
    </row>
    <row r="1432" spans="1:10" x14ac:dyDescent="0.35">
      <c r="A1432" t="s">
        <v>3029</v>
      </c>
      <c r="B1432" t="s">
        <v>3027</v>
      </c>
      <c r="C1432" t="str">
        <f>TEXT(Table1[[#This Row],[Order_Date]],"mmm")</f>
        <v>Sep</v>
      </c>
      <c r="D1432" t="s">
        <v>1237</v>
      </c>
      <c r="E1432" t="s">
        <v>12</v>
      </c>
      <c r="F1432">
        <v>1</v>
      </c>
      <c r="G1432">
        <v>19686.29</v>
      </c>
      <c r="H1432">
        <v>19686.29</v>
      </c>
      <c r="I1432" t="s">
        <v>23</v>
      </c>
      <c r="J1432" t="s">
        <v>19</v>
      </c>
    </row>
    <row r="1433" spans="1:10" x14ac:dyDescent="0.35">
      <c r="A1433" t="s">
        <v>3030</v>
      </c>
      <c r="B1433" t="s">
        <v>3027</v>
      </c>
      <c r="C1433" t="str">
        <f>TEXT(Table1[[#This Row],[Order_Date]],"mmm")</f>
        <v>Sep</v>
      </c>
      <c r="D1433" t="s">
        <v>3031</v>
      </c>
      <c r="E1433" t="s">
        <v>56</v>
      </c>
      <c r="F1433">
        <v>4</v>
      </c>
      <c r="G1433">
        <v>3327.75</v>
      </c>
      <c r="H1433">
        <v>13311</v>
      </c>
      <c r="I1433" t="s">
        <v>18</v>
      </c>
      <c r="J1433" t="s">
        <v>35</v>
      </c>
    </row>
    <row r="1434" spans="1:10" x14ac:dyDescent="0.35">
      <c r="A1434" t="s">
        <v>3032</v>
      </c>
      <c r="B1434" t="s">
        <v>3027</v>
      </c>
      <c r="C1434" t="str">
        <f>TEXT(Table1[[#This Row],[Order_Date]],"mmm")</f>
        <v>Sep</v>
      </c>
      <c r="D1434" t="s">
        <v>3033</v>
      </c>
      <c r="E1434" t="s">
        <v>53</v>
      </c>
      <c r="F1434">
        <v>1</v>
      </c>
      <c r="G1434">
        <v>26847.14</v>
      </c>
      <c r="H1434">
        <v>26847.14</v>
      </c>
      <c r="I1434" t="s">
        <v>18</v>
      </c>
      <c r="J1434" t="s">
        <v>24</v>
      </c>
    </row>
    <row r="1435" spans="1:10" x14ac:dyDescent="0.35">
      <c r="A1435" t="s">
        <v>3034</v>
      </c>
      <c r="B1435" t="s">
        <v>3027</v>
      </c>
      <c r="C1435" t="str">
        <f>TEXT(Table1[[#This Row],[Order_Date]],"mmm")</f>
        <v>Sep</v>
      </c>
      <c r="D1435" t="s">
        <v>3035</v>
      </c>
      <c r="E1435" t="s">
        <v>32</v>
      </c>
      <c r="F1435">
        <v>5</v>
      </c>
      <c r="G1435">
        <v>23794.85</v>
      </c>
      <c r="H1435">
        <v>118974.25</v>
      </c>
      <c r="I1435" t="s">
        <v>13</v>
      </c>
      <c r="J1435" t="s">
        <v>35</v>
      </c>
    </row>
    <row r="1436" spans="1:10" x14ac:dyDescent="0.35">
      <c r="A1436" t="s">
        <v>3036</v>
      </c>
      <c r="B1436" t="s">
        <v>3037</v>
      </c>
      <c r="C1436" t="str">
        <f>TEXT(Table1[[#This Row],[Order_Date]],"mmm")</f>
        <v>Sep</v>
      </c>
      <c r="D1436" t="s">
        <v>3038</v>
      </c>
      <c r="E1436" t="s">
        <v>17</v>
      </c>
      <c r="F1436">
        <v>3</v>
      </c>
      <c r="G1436">
        <v>5155.08</v>
      </c>
      <c r="H1436">
        <v>15465.24</v>
      </c>
      <c r="I1436" t="s">
        <v>13</v>
      </c>
      <c r="J1436" t="s">
        <v>24</v>
      </c>
    </row>
    <row r="1437" spans="1:10" x14ac:dyDescent="0.35">
      <c r="A1437" t="s">
        <v>3039</v>
      </c>
      <c r="B1437" t="s">
        <v>3037</v>
      </c>
      <c r="C1437" t="str">
        <f>TEXT(Table1[[#This Row],[Order_Date]],"mmm")</f>
        <v>Sep</v>
      </c>
      <c r="D1437" t="s">
        <v>3040</v>
      </c>
      <c r="E1437" t="s">
        <v>56</v>
      </c>
      <c r="F1437">
        <v>2</v>
      </c>
      <c r="G1437">
        <v>21159.89</v>
      </c>
      <c r="H1437">
        <v>42319.78</v>
      </c>
      <c r="I1437" t="s">
        <v>23</v>
      </c>
      <c r="J1437" t="s">
        <v>24</v>
      </c>
    </row>
    <row r="1438" spans="1:10" x14ac:dyDescent="0.35">
      <c r="A1438" t="s">
        <v>3041</v>
      </c>
      <c r="B1438" t="s">
        <v>3037</v>
      </c>
      <c r="C1438" t="str">
        <f>TEXT(Table1[[#This Row],[Order_Date]],"mmm")</f>
        <v>Sep</v>
      </c>
      <c r="D1438" t="s">
        <v>3042</v>
      </c>
      <c r="E1438" t="s">
        <v>56</v>
      </c>
      <c r="F1438">
        <v>3</v>
      </c>
      <c r="G1438">
        <v>49439.3</v>
      </c>
      <c r="H1438">
        <v>148317.9</v>
      </c>
      <c r="I1438" t="s">
        <v>42</v>
      </c>
      <c r="J1438" t="s">
        <v>19</v>
      </c>
    </row>
    <row r="1439" spans="1:10" x14ac:dyDescent="0.35">
      <c r="A1439" t="s">
        <v>3043</v>
      </c>
      <c r="B1439" t="s">
        <v>3044</v>
      </c>
      <c r="C1439" t="str">
        <f>TEXT(Table1[[#This Row],[Order_Date]],"mmm")</f>
        <v>Sep</v>
      </c>
      <c r="D1439" t="s">
        <v>3045</v>
      </c>
      <c r="E1439" t="s">
        <v>72</v>
      </c>
      <c r="F1439">
        <v>5</v>
      </c>
      <c r="G1439">
        <v>5532.12</v>
      </c>
      <c r="H1439">
        <v>27660.6</v>
      </c>
      <c r="I1439" t="s">
        <v>42</v>
      </c>
      <c r="J1439" t="s">
        <v>35</v>
      </c>
    </row>
    <row r="1440" spans="1:10" x14ac:dyDescent="0.35">
      <c r="A1440" t="s">
        <v>3046</v>
      </c>
      <c r="B1440" t="s">
        <v>3044</v>
      </c>
      <c r="C1440" t="str">
        <f>TEXT(Table1[[#This Row],[Order_Date]],"mmm")</f>
        <v>Sep</v>
      </c>
      <c r="D1440" t="s">
        <v>3047</v>
      </c>
      <c r="E1440" t="s">
        <v>38</v>
      </c>
      <c r="F1440">
        <v>4</v>
      </c>
      <c r="G1440">
        <v>48448.02</v>
      </c>
      <c r="H1440">
        <v>193792.08</v>
      </c>
      <c r="I1440" t="s">
        <v>42</v>
      </c>
      <c r="J1440" t="s">
        <v>19</v>
      </c>
    </row>
    <row r="1441" spans="1:10" x14ac:dyDescent="0.35">
      <c r="A1441" t="s">
        <v>3048</v>
      </c>
      <c r="B1441" t="s">
        <v>3044</v>
      </c>
      <c r="C1441" t="str">
        <f>TEXT(Table1[[#This Row],[Order_Date]],"mmm")</f>
        <v>Sep</v>
      </c>
      <c r="D1441" t="s">
        <v>3049</v>
      </c>
      <c r="E1441" t="s">
        <v>12</v>
      </c>
      <c r="F1441">
        <v>4</v>
      </c>
      <c r="G1441">
        <v>35569.61</v>
      </c>
      <c r="H1441">
        <v>142278.44</v>
      </c>
      <c r="I1441" t="s">
        <v>13</v>
      </c>
      <c r="J1441" t="s">
        <v>19</v>
      </c>
    </row>
    <row r="1442" spans="1:10" x14ac:dyDescent="0.35">
      <c r="A1442" t="s">
        <v>3050</v>
      </c>
      <c r="B1442" t="s">
        <v>3051</v>
      </c>
      <c r="C1442" t="str">
        <f>TEXT(Table1[[#This Row],[Order_Date]],"mmm")</f>
        <v>Sep</v>
      </c>
      <c r="D1442" t="s">
        <v>3052</v>
      </c>
      <c r="E1442" t="s">
        <v>75</v>
      </c>
      <c r="F1442">
        <v>1</v>
      </c>
      <c r="G1442">
        <v>39027.83</v>
      </c>
      <c r="H1442">
        <v>39027.83</v>
      </c>
      <c r="I1442" t="s">
        <v>23</v>
      </c>
      <c r="J1442" t="s">
        <v>14</v>
      </c>
    </row>
    <row r="1443" spans="1:10" x14ac:dyDescent="0.35">
      <c r="A1443" t="s">
        <v>3053</v>
      </c>
      <c r="B1443" t="s">
        <v>3051</v>
      </c>
      <c r="C1443" t="str">
        <f>TEXT(Table1[[#This Row],[Order_Date]],"mmm")</f>
        <v>Sep</v>
      </c>
      <c r="D1443" t="s">
        <v>3054</v>
      </c>
      <c r="E1443" t="s">
        <v>38</v>
      </c>
      <c r="F1443">
        <v>3</v>
      </c>
      <c r="G1443">
        <v>21603.68</v>
      </c>
      <c r="H1443">
        <v>64811.040000000001</v>
      </c>
      <c r="I1443" t="s">
        <v>18</v>
      </c>
      <c r="J1443" t="s">
        <v>14</v>
      </c>
    </row>
    <row r="1444" spans="1:10" x14ac:dyDescent="0.35">
      <c r="A1444" t="s">
        <v>3055</v>
      </c>
      <c r="B1444" t="s">
        <v>3051</v>
      </c>
      <c r="C1444" t="str">
        <f>TEXT(Table1[[#This Row],[Order_Date]],"mmm")</f>
        <v>Sep</v>
      </c>
      <c r="D1444" t="s">
        <v>3056</v>
      </c>
      <c r="E1444" t="s">
        <v>38</v>
      </c>
      <c r="F1444">
        <v>2</v>
      </c>
      <c r="G1444">
        <v>37385.21</v>
      </c>
      <c r="H1444">
        <v>74770.42</v>
      </c>
      <c r="I1444" t="s">
        <v>18</v>
      </c>
      <c r="J1444" t="s">
        <v>35</v>
      </c>
    </row>
    <row r="1445" spans="1:10" x14ac:dyDescent="0.35">
      <c r="A1445" t="s">
        <v>3057</v>
      </c>
      <c r="B1445" t="s">
        <v>3051</v>
      </c>
      <c r="C1445" t="str">
        <f>TEXT(Table1[[#This Row],[Order_Date]],"mmm")</f>
        <v>Sep</v>
      </c>
      <c r="D1445" t="s">
        <v>922</v>
      </c>
      <c r="E1445" t="s">
        <v>12</v>
      </c>
      <c r="F1445">
        <v>5</v>
      </c>
      <c r="G1445">
        <v>32013.58</v>
      </c>
      <c r="H1445">
        <v>160067.9</v>
      </c>
      <c r="I1445" t="s">
        <v>23</v>
      </c>
      <c r="J1445" t="s">
        <v>14</v>
      </c>
    </row>
    <row r="1446" spans="1:10" x14ac:dyDescent="0.35">
      <c r="A1446" t="s">
        <v>3058</v>
      </c>
      <c r="B1446" t="s">
        <v>3051</v>
      </c>
      <c r="C1446" t="str">
        <f>TEXT(Table1[[#This Row],[Order_Date]],"mmm")</f>
        <v>Sep</v>
      </c>
      <c r="D1446" t="s">
        <v>3059</v>
      </c>
      <c r="E1446" t="s">
        <v>72</v>
      </c>
      <c r="F1446">
        <v>2</v>
      </c>
      <c r="G1446">
        <v>42014.95</v>
      </c>
      <c r="H1446">
        <v>84029.9</v>
      </c>
      <c r="I1446" t="s">
        <v>13</v>
      </c>
      <c r="J1446" t="s">
        <v>35</v>
      </c>
    </row>
    <row r="1447" spans="1:10" x14ac:dyDescent="0.35">
      <c r="A1447" t="s">
        <v>3060</v>
      </c>
      <c r="B1447" t="s">
        <v>3051</v>
      </c>
      <c r="C1447" t="str">
        <f>TEXT(Table1[[#This Row],[Order_Date]],"mmm")</f>
        <v>Sep</v>
      </c>
      <c r="D1447" t="s">
        <v>3061</v>
      </c>
      <c r="E1447" t="s">
        <v>47</v>
      </c>
      <c r="F1447">
        <v>2</v>
      </c>
      <c r="G1447">
        <v>36255.620000000003</v>
      </c>
      <c r="H1447">
        <v>72511.240000000005</v>
      </c>
      <c r="I1447" t="s">
        <v>18</v>
      </c>
      <c r="J1447" t="s">
        <v>24</v>
      </c>
    </row>
    <row r="1448" spans="1:10" x14ac:dyDescent="0.35">
      <c r="A1448" t="s">
        <v>3062</v>
      </c>
      <c r="B1448" t="s">
        <v>3063</v>
      </c>
      <c r="C1448" t="str">
        <f>TEXT(Table1[[#This Row],[Order_Date]],"mmm")</f>
        <v>Sep</v>
      </c>
      <c r="D1448" t="s">
        <v>1957</v>
      </c>
      <c r="E1448" t="s">
        <v>17</v>
      </c>
      <c r="F1448">
        <v>2</v>
      </c>
      <c r="G1448">
        <v>17766.64</v>
      </c>
      <c r="H1448">
        <v>35533.279999999999</v>
      </c>
      <c r="I1448" t="s">
        <v>13</v>
      </c>
      <c r="J1448" t="s">
        <v>19</v>
      </c>
    </row>
    <row r="1449" spans="1:10" x14ac:dyDescent="0.35">
      <c r="A1449" t="s">
        <v>3064</v>
      </c>
      <c r="B1449" t="s">
        <v>3063</v>
      </c>
      <c r="C1449" t="str">
        <f>TEXT(Table1[[#This Row],[Order_Date]],"mmm")</f>
        <v>Sep</v>
      </c>
      <c r="D1449" t="s">
        <v>3065</v>
      </c>
      <c r="E1449" t="s">
        <v>75</v>
      </c>
      <c r="F1449">
        <v>2</v>
      </c>
      <c r="G1449">
        <v>11390.79</v>
      </c>
      <c r="H1449">
        <v>22781.58</v>
      </c>
      <c r="I1449" t="s">
        <v>42</v>
      </c>
      <c r="J1449" t="s">
        <v>14</v>
      </c>
    </row>
    <row r="1450" spans="1:10" x14ac:dyDescent="0.35">
      <c r="A1450" t="s">
        <v>3066</v>
      </c>
      <c r="B1450" t="s">
        <v>3063</v>
      </c>
      <c r="C1450" t="str">
        <f>TEXT(Table1[[#This Row],[Order_Date]],"mmm")</f>
        <v>Sep</v>
      </c>
      <c r="D1450" t="s">
        <v>3067</v>
      </c>
      <c r="E1450" t="s">
        <v>75</v>
      </c>
      <c r="F1450">
        <v>1</v>
      </c>
      <c r="G1450">
        <v>13103.77</v>
      </c>
      <c r="H1450">
        <v>13103.77</v>
      </c>
      <c r="I1450" t="s">
        <v>23</v>
      </c>
      <c r="J1450" t="s">
        <v>19</v>
      </c>
    </row>
    <row r="1451" spans="1:10" x14ac:dyDescent="0.35">
      <c r="A1451" t="s">
        <v>3068</v>
      </c>
      <c r="B1451" t="s">
        <v>3063</v>
      </c>
      <c r="C1451" t="str">
        <f>TEXT(Table1[[#This Row],[Order_Date]],"mmm")</f>
        <v>Sep</v>
      </c>
      <c r="D1451" t="s">
        <v>3069</v>
      </c>
      <c r="E1451" t="s">
        <v>17</v>
      </c>
      <c r="F1451">
        <v>4</v>
      </c>
      <c r="G1451">
        <v>31709.99</v>
      </c>
      <c r="H1451">
        <v>126839.96</v>
      </c>
      <c r="I1451" t="s">
        <v>18</v>
      </c>
      <c r="J1451" t="s">
        <v>14</v>
      </c>
    </row>
    <row r="1452" spans="1:10" x14ac:dyDescent="0.35">
      <c r="A1452" t="s">
        <v>3070</v>
      </c>
      <c r="B1452" t="s">
        <v>3063</v>
      </c>
      <c r="C1452" t="str">
        <f>TEXT(Table1[[#This Row],[Order_Date]],"mmm")</f>
        <v>Sep</v>
      </c>
      <c r="D1452" t="s">
        <v>638</v>
      </c>
      <c r="E1452" t="s">
        <v>38</v>
      </c>
      <c r="F1452">
        <v>1</v>
      </c>
      <c r="G1452">
        <v>44810.34</v>
      </c>
      <c r="H1452">
        <v>44810.34</v>
      </c>
      <c r="I1452" t="s">
        <v>18</v>
      </c>
      <c r="J1452" t="s">
        <v>24</v>
      </c>
    </row>
    <row r="1453" spans="1:10" x14ac:dyDescent="0.35">
      <c r="A1453" t="s">
        <v>3071</v>
      </c>
      <c r="B1453" t="s">
        <v>3072</v>
      </c>
      <c r="C1453" t="str">
        <f>TEXT(Table1[[#This Row],[Order_Date]],"mmm")</f>
        <v>Sep</v>
      </c>
      <c r="D1453" t="s">
        <v>3073</v>
      </c>
      <c r="E1453" t="s">
        <v>38</v>
      </c>
      <c r="F1453">
        <v>3</v>
      </c>
      <c r="G1453">
        <v>23632.18</v>
      </c>
      <c r="H1453">
        <v>70896.539999999994</v>
      </c>
      <c r="I1453" t="s">
        <v>13</v>
      </c>
      <c r="J1453" t="s">
        <v>35</v>
      </c>
    </row>
    <row r="1454" spans="1:10" x14ac:dyDescent="0.35">
      <c r="A1454" t="s">
        <v>3074</v>
      </c>
      <c r="B1454" t="s">
        <v>3072</v>
      </c>
      <c r="C1454" t="str">
        <f>TEXT(Table1[[#This Row],[Order_Date]],"mmm")</f>
        <v>Sep</v>
      </c>
      <c r="D1454" t="s">
        <v>3075</v>
      </c>
      <c r="E1454" t="s">
        <v>17</v>
      </c>
      <c r="F1454">
        <v>2</v>
      </c>
      <c r="G1454">
        <v>38153.06</v>
      </c>
      <c r="H1454">
        <v>76306.12</v>
      </c>
      <c r="I1454" t="s">
        <v>23</v>
      </c>
      <c r="J1454" t="s">
        <v>19</v>
      </c>
    </row>
    <row r="1455" spans="1:10" x14ac:dyDescent="0.35">
      <c r="A1455" t="s">
        <v>3076</v>
      </c>
      <c r="B1455" t="s">
        <v>3072</v>
      </c>
      <c r="C1455" t="str">
        <f>TEXT(Table1[[#This Row],[Order_Date]],"mmm")</f>
        <v>Sep</v>
      </c>
      <c r="D1455" t="s">
        <v>3077</v>
      </c>
      <c r="E1455" t="s">
        <v>12</v>
      </c>
      <c r="F1455">
        <v>2</v>
      </c>
      <c r="G1455">
        <v>25233.23</v>
      </c>
      <c r="H1455">
        <v>50466.46</v>
      </c>
      <c r="I1455" t="s">
        <v>13</v>
      </c>
      <c r="J1455" t="s">
        <v>14</v>
      </c>
    </row>
    <row r="1456" spans="1:10" x14ac:dyDescent="0.35">
      <c r="A1456" t="s">
        <v>3078</v>
      </c>
      <c r="B1456" t="s">
        <v>3072</v>
      </c>
      <c r="C1456" t="str">
        <f>TEXT(Table1[[#This Row],[Order_Date]],"mmm")</f>
        <v>Sep</v>
      </c>
      <c r="D1456" t="s">
        <v>3079</v>
      </c>
      <c r="E1456" t="s">
        <v>75</v>
      </c>
      <c r="F1456">
        <v>1</v>
      </c>
      <c r="G1456">
        <v>43852.45</v>
      </c>
      <c r="H1456">
        <v>43852.45</v>
      </c>
      <c r="I1456" t="s">
        <v>42</v>
      </c>
      <c r="J1456" t="s">
        <v>24</v>
      </c>
    </row>
    <row r="1457" spans="1:10" x14ac:dyDescent="0.35">
      <c r="A1457" t="s">
        <v>3080</v>
      </c>
      <c r="B1457" t="s">
        <v>3072</v>
      </c>
      <c r="C1457" t="str">
        <f>TEXT(Table1[[#This Row],[Order_Date]],"mmm")</f>
        <v>Sep</v>
      </c>
      <c r="D1457" t="s">
        <v>3081</v>
      </c>
      <c r="E1457" t="s">
        <v>22</v>
      </c>
      <c r="F1457">
        <v>2</v>
      </c>
      <c r="G1457">
        <v>25302.03</v>
      </c>
      <c r="H1457">
        <v>50604.06</v>
      </c>
      <c r="I1457" t="s">
        <v>23</v>
      </c>
      <c r="J1457" t="s">
        <v>24</v>
      </c>
    </row>
    <row r="1458" spans="1:10" x14ac:dyDescent="0.35">
      <c r="A1458" t="s">
        <v>3082</v>
      </c>
      <c r="B1458" t="s">
        <v>3072</v>
      </c>
      <c r="C1458" t="str">
        <f>TEXT(Table1[[#This Row],[Order_Date]],"mmm")</f>
        <v>Sep</v>
      </c>
      <c r="D1458" t="s">
        <v>3083</v>
      </c>
      <c r="E1458" t="s">
        <v>38</v>
      </c>
      <c r="F1458">
        <v>2</v>
      </c>
      <c r="G1458">
        <v>12576.16</v>
      </c>
      <c r="H1458">
        <v>25152.32</v>
      </c>
      <c r="I1458" t="s">
        <v>18</v>
      </c>
      <c r="J1458" t="s">
        <v>35</v>
      </c>
    </row>
    <row r="1459" spans="1:10" x14ac:dyDescent="0.35">
      <c r="A1459" t="s">
        <v>3084</v>
      </c>
      <c r="B1459" t="s">
        <v>3085</v>
      </c>
      <c r="C1459" t="str">
        <f>TEXT(Table1[[#This Row],[Order_Date]],"mmm")</f>
        <v>Sep</v>
      </c>
      <c r="D1459" t="s">
        <v>3086</v>
      </c>
      <c r="E1459" t="s">
        <v>72</v>
      </c>
      <c r="F1459">
        <v>1</v>
      </c>
      <c r="G1459">
        <v>46138.36</v>
      </c>
      <c r="H1459">
        <v>46138.36</v>
      </c>
      <c r="I1459" t="s">
        <v>42</v>
      </c>
      <c r="J1459" t="s">
        <v>14</v>
      </c>
    </row>
    <row r="1460" spans="1:10" x14ac:dyDescent="0.35">
      <c r="A1460" t="s">
        <v>3087</v>
      </c>
      <c r="B1460" t="s">
        <v>3085</v>
      </c>
      <c r="C1460" t="str">
        <f>TEXT(Table1[[#This Row],[Order_Date]],"mmm")</f>
        <v>Sep</v>
      </c>
      <c r="D1460" t="s">
        <v>3088</v>
      </c>
      <c r="E1460" t="s">
        <v>22</v>
      </c>
      <c r="F1460">
        <v>5</v>
      </c>
      <c r="G1460">
        <v>32004.400000000001</v>
      </c>
      <c r="H1460">
        <v>160022</v>
      </c>
      <c r="I1460" t="s">
        <v>42</v>
      </c>
      <c r="J1460" t="s">
        <v>19</v>
      </c>
    </row>
    <row r="1461" spans="1:10" x14ac:dyDescent="0.35">
      <c r="A1461" t="s">
        <v>3089</v>
      </c>
      <c r="B1461" t="s">
        <v>3085</v>
      </c>
      <c r="C1461" t="str">
        <f>TEXT(Table1[[#This Row],[Order_Date]],"mmm")</f>
        <v>Sep</v>
      </c>
      <c r="D1461" t="s">
        <v>3090</v>
      </c>
      <c r="E1461" t="s">
        <v>53</v>
      </c>
      <c r="F1461">
        <v>3</v>
      </c>
      <c r="G1461">
        <v>12170.1</v>
      </c>
      <c r="H1461">
        <v>36510.300000000003</v>
      </c>
      <c r="I1461" t="s">
        <v>13</v>
      </c>
      <c r="J1461" t="s">
        <v>19</v>
      </c>
    </row>
    <row r="1462" spans="1:10" x14ac:dyDescent="0.35">
      <c r="A1462" t="s">
        <v>3091</v>
      </c>
      <c r="B1462" t="s">
        <v>3085</v>
      </c>
      <c r="C1462" t="str">
        <f>TEXT(Table1[[#This Row],[Order_Date]],"mmm")</f>
        <v>Sep</v>
      </c>
      <c r="D1462" t="s">
        <v>3092</v>
      </c>
      <c r="E1462" t="s">
        <v>53</v>
      </c>
      <c r="F1462">
        <v>1</v>
      </c>
      <c r="G1462">
        <v>32859.769999999997</v>
      </c>
      <c r="H1462">
        <v>32859.769999999997</v>
      </c>
      <c r="I1462" t="s">
        <v>13</v>
      </c>
      <c r="J1462" t="s">
        <v>35</v>
      </c>
    </row>
    <row r="1463" spans="1:10" x14ac:dyDescent="0.35">
      <c r="A1463" t="s">
        <v>3093</v>
      </c>
      <c r="B1463" t="s">
        <v>3085</v>
      </c>
      <c r="C1463" t="str">
        <f>TEXT(Table1[[#This Row],[Order_Date]],"mmm")</f>
        <v>Sep</v>
      </c>
      <c r="D1463" t="s">
        <v>3094</v>
      </c>
      <c r="E1463" t="s">
        <v>47</v>
      </c>
      <c r="F1463">
        <v>1</v>
      </c>
      <c r="G1463">
        <v>4364.79</v>
      </c>
      <c r="H1463">
        <v>4364.79</v>
      </c>
      <c r="I1463" t="s">
        <v>23</v>
      </c>
      <c r="J1463" t="s">
        <v>19</v>
      </c>
    </row>
    <row r="1464" spans="1:10" x14ac:dyDescent="0.35">
      <c r="A1464" t="s">
        <v>3095</v>
      </c>
      <c r="B1464" t="s">
        <v>3085</v>
      </c>
      <c r="C1464" t="str">
        <f>TEXT(Table1[[#This Row],[Order_Date]],"mmm")</f>
        <v>Sep</v>
      </c>
      <c r="D1464" t="s">
        <v>428</v>
      </c>
      <c r="E1464" t="s">
        <v>56</v>
      </c>
      <c r="F1464">
        <v>4</v>
      </c>
      <c r="G1464">
        <v>8653.16</v>
      </c>
      <c r="H1464">
        <v>34612.639999999999</v>
      </c>
      <c r="I1464" t="s">
        <v>13</v>
      </c>
      <c r="J1464" t="s">
        <v>35</v>
      </c>
    </row>
    <row r="1465" spans="1:10" x14ac:dyDescent="0.35">
      <c r="A1465" t="s">
        <v>3096</v>
      </c>
      <c r="B1465" t="s">
        <v>3085</v>
      </c>
      <c r="C1465" t="str">
        <f>TEXT(Table1[[#This Row],[Order_Date]],"mmm")</f>
        <v>Sep</v>
      </c>
      <c r="D1465" t="s">
        <v>3097</v>
      </c>
      <c r="E1465" t="s">
        <v>47</v>
      </c>
      <c r="F1465">
        <v>2</v>
      </c>
      <c r="G1465">
        <v>10617.64</v>
      </c>
      <c r="H1465">
        <v>21235.279999999999</v>
      </c>
      <c r="I1465" t="s">
        <v>18</v>
      </c>
      <c r="J1465" t="s">
        <v>19</v>
      </c>
    </row>
    <row r="1466" spans="1:10" x14ac:dyDescent="0.35">
      <c r="A1466" t="s">
        <v>3098</v>
      </c>
      <c r="B1466" t="s">
        <v>3099</v>
      </c>
      <c r="C1466" t="str">
        <f>TEXT(Table1[[#This Row],[Order_Date]],"mmm")</f>
        <v>Sep</v>
      </c>
      <c r="D1466" t="s">
        <v>3100</v>
      </c>
      <c r="E1466" t="s">
        <v>56</v>
      </c>
      <c r="F1466">
        <v>4</v>
      </c>
      <c r="G1466">
        <v>47295.62</v>
      </c>
      <c r="H1466">
        <v>189182.48</v>
      </c>
      <c r="I1466" t="s">
        <v>23</v>
      </c>
      <c r="J1466" t="s">
        <v>19</v>
      </c>
    </row>
    <row r="1467" spans="1:10" x14ac:dyDescent="0.35">
      <c r="A1467" t="s">
        <v>3101</v>
      </c>
      <c r="B1467" t="s">
        <v>3099</v>
      </c>
      <c r="C1467" t="str">
        <f>TEXT(Table1[[#This Row],[Order_Date]],"mmm")</f>
        <v>Sep</v>
      </c>
      <c r="D1467" t="s">
        <v>3102</v>
      </c>
      <c r="E1467" t="s">
        <v>22</v>
      </c>
      <c r="F1467">
        <v>5</v>
      </c>
      <c r="G1467">
        <v>3432.44</v>
      </c>
      <c r="H1467">
        <v>17162.2</v>
      </c>
      <c r="I1467" t="s">
        <v>13</v>
      </c>
      <c r="J1467" t="s">
        <v>24</v>
      </c>
    </row>
    <row r="1468" spans="1:10" x14ac:dyDescent="0.35">
      <c r="A1468" t="s">
        <v>3103</v>
      </c>
      <c r="B1468" t="s">
        <v>3099</v>
      </c>
      <c r="C1468" t="str">
        <f>TEXT(Table1[[#This Row],[Order_Date]],"mmm")</f>
        <v>Sep</v>
      </c>
      <c r="D1468" t="s">
        <v>3104</v>
      </c>
      <c r="E1468" t="s">
        <v>38</v>
      </c>
      <c r="F1468">
        <v>4</v>
      </c>
      <c r="G1468">
        <v>35013.269999999997</v>
      </c>
      <c r="H1468">
        <v>140053.07999999999</v>
      </c>
      <c r="I1468" t="s">
        <v>23</v>
      </c>
      <c r="J1468" t="s">
        <v>19</v>
      </c>
    </row>
    <row r="1469" spans="1:10" x14ac:dyDescent="0.35">
      <c r="A1469" t="s">
        <v>3105</v>
      </c>
      <c r="B1469" t="s">
        <v>3106</v>
      </c>
      <c r="C1469" t="str">
        <f>TEXT(Table1[[#This Row],[Order_Date]],"mmm")</f>
        <v>Sep</v>
      </c>
      <c r="D1469" t="s">
        <v>3107</v>
      </c>
      <c r="E1469" t="s">
        <v>47</v>
      </c>
      <c r="F1469">
        <v>3</v>
      </c>
      <c r="G1469">
        <v>25104.06</v>
      </c>
      <c r="H1469">
        <v>75312.179999999993</v>
      </c>
      <c r="I1469" t="s">
        <v>23</v>
      </c>
      <c r="J1469" t="s">
        <v>19</v>
      </c>
    </row>
    <row r="1470" spans="1:10" x14ac:dyDescent="0.35">
      <c r="A1470" t="s">
        <v>3108</v>
      </c>
      <c r="B1470" t="s">
        <v>3106</v>
      </c>
      <c r="C1470" t="str">
        <f>TEXT(Table1[[#This Row],[Order_Date]],"mmm")</f>
        <v>Sep</v>
      </c>
      <c r="D1470" t="s">
        <v>3109</v>
      </c>
      <c r="E1470" t="s">
        <v>17</v>
      </c>
      <c r="F1470">
        <v>2</v>
      </c>
      <c r="G1470">
        <v>5834.62</v>
      </c>
      <c r="H1470">
        <v>11669.24</v>
      </c>
      <c r="I1470" t="s">
        <v>23</v>
      </c>
      <c r="J1470" t="s">
        <v>24</v>
      </c>
    </row>
    <row r="1471" spans="1:10" x14ac:dyDescent="0.35">
      <c r="A1471" t="s">
        <v>3110</v>
      </c>
      <c r="B1471" t="s">
        <v>3106</v>
      </c>
      <c r="C1471" t="str">
        <f>TEXT(Table1[[#This Row],[Order_Date]],"mmm")</f>
        <v>Sep</v>
      </c>
      <c r="D1471" t="s">
        <v>3111</v>
      </c>
      <c r="E1471" t="s">
        <v>32</v>
      </c>
      <c r="F1471">
        <v>1</v>
      </c>
      <c r="G1471">
        <v>32396.61</v>
      </c>
      <c r="H1471">
        <v>32396.61</v>
      </c>
      <c r="I1471" t="s">
        <v>18</v>
      </c>
      <c r="J1471" t="s">
        <v>14</v>
      </c>
    </row>
    <row r="1472" spans="1:10" x14ac:dyDescent="0.35">
      <c r="A1472" t="s">
        <v>3112</v>
      </c>
      <c r="B1472" t="s">
        <v>3106</v>
      </c>
      <c r="C1472" t="str">
        <f>TEXT(Table1[[#This Row],[Order_Date]],"mmm")</f>
        <v>Sep</v>
      </c>
      <c r="D1472" t="s">
        <v>3113</v>
      </c>
      <c r="E1472" t="s">
        <v>17</v>
      </c>
      <c r="F1472">
        <v>5</v>
      </c>
      <c r="G1472">
        <v>6991.47</v>
      </c>
      <c r="H1472">
        <v>34957.35</v>
      </c>
      <c r="I1472" t="s">
        <v>18</v>
      </c>
      <c r="J1472" t="s">
        <v>14</v>
      </c>
    </row>
    <row r="1473" spans="1:10" x14ac:dyDescent="0.35">
      <c r="A1473" t="s">
        <v>3114</v>
      </c>
      <c r="B1473" t="s">
        <v>3106</v>
      </c>
      <c r="C1473" t="str">
        <f>TEXT(Table1[[#This Row],[Order_Date]],"mmm")</f>
        <v>Sep</v>
      </c>
      <c r="D1473" t="s">
        <v>3115</v>
      </c>
      <c r="E1473" t="s">
        <v>22</v>
      </c>
      <c r="F1473">
        <v>5</v>
      </c>
      <c r="G1473">
        <v>31984.54</v>
      </c>
      <c r="H1473">
        <v>159922.70000000001</v>
      </c>
      <c r="I1473" t="s">
        <v>13</v>
      </c>
      <c r="J1473" t="s">
        <v>19</v>
      </c>
    </row>
    <row r="1474" spans="1:10" x14ac:dyDescent="0.35">
      <c r="A1474" t="s">
        <v>3116</v>
      </c>
      <c r="B1474" t="s">
        <v>3106</v>
      </c>
      <c r="C1474" t="str">
        <f>TEXT(Table1[[#This Row],[Order_Date]],"mmm")</f>
        <v>Sep</v>
      </c>
      <c r="D1474" t="s">
        <v>3117</v>
      </c>
      <c r="E1474" t="s">
        <v>38</v>
      </c>
      <c r="F1474">
        <v>4</v>
      </c>
      <c r="G1474">
        <v>28325.64</v>
      </c>
      <c r="H1474">
        <v>113302.56</v>
      </c>
      <c r="I1474" t="s">
        <v>42</v>
      </c>
      <c r="J1474" t="s">
        <v>24</v>
      </c>
    </row>
    <row r="1475" spans="1:10" x14ac:dyDescent="0.35">
      <c r="A1475" t="s">
        <v>3118</v>
      </c>
      <c r="B1475" t="s">
        <v>3119</v>
      </c>
      <c r="C1475" t="str">
        <f>TEXT(Table1[[#This Row],[Order_Date]],"mmm")</f>
        <v>Sep</v>
      </c>
      <c r="D1475" t="s">
        <v>3120</v>
      </c>
      <c r="E1475" t="s">
        <v>56</v>
      </c>
      <c r="F1475">
        <v>4</v>
      </c>
      <c r="G1475">
        <v>14526.83</v>
      </c>
      <c r="H1475">
        <v>58107.32</v>
      </c>
      <c r="I1475" t="s">
        <v>42</v>
      </c>
      <c r="J1475" t="s">
        <v>19</v>
      </c>
    </row>
    <row r="1476" spans="1:10" x14ac:dyDescent="0.35">
      <c r="A1476" t="s">
        <v>3121</v>
      </c>
      <c r="B1476" t="s">
        <v>3119</v>
      </c>
      <c r="C1476" t="str">
        <f>TEXT(Table1[[#This Row],[Order_Date]],"mmm")</f>
        <v>Sep</v>
      </c>
      <c r="D1476" t="s">
        <v>3122</v>
      </c>
      <c r="E1476" t="s">
        <v>72</v>
      </c>
      <c r="F1476">
        <v>4</v>
      </c>
      <c r="G1476">
        <v>36402.019999999997</v>
      </c>
      <c r="H1476">
        <v>145608.07999999999</v>
      </c>
      <c r="I1476" t="s">
        <v>23</v>
      </c>
      <c r="J1476" t="s">
        <v>24</v>
      </c>
    </row>
    <row r="1477" spans="1:10" x14ac:dyDescent="0.35">
      <c r="A1477" t="s">
        <v>3123</v>
      </c>
      <c r="B1477" t="s">
        <v>3119</v>
      </c>
      <c r="C1477" t="str">
        <f>TEXT(Table1[[#This Row],[Order_Date]],"mmm")</f>
        <v>Sep</v>
      </c>
      <c r="D1477" t="s">
        <v>3124</v>
      </c>
      <c r="E1477" t="s">
        <v>47</v>
      </c>
      <c r="F1477">
        <v>5</v>
      </c>
      <c r="G1477">
        <v>5594.8</v>
      </c>
      <c r="H1477">
        <v>27974</v>
      </c>
      <c r="I1477" t="s">
        <v>42</v>
      </c>
      <c r="J1477" t="s">
        <v>14</v>
      </c>
    </row>
    <row r="1478" spans="1:10" x14ac:dyDescent="0.35">
      <c r="A1478" t="s">
        <v>3125</v>
      </c>
      <c r="B1478" t="s">
        <v>3119</v>
      </c>
      <c r="C1478" t="str">
        <f>TEXT(Table1[[#This Row],[Order_Date]],"mmm")</f>
        <v>Sep</v>
      </c>
      <c r="D1478" t="s">
        <v>3126</v>
      </c>
      <c r="E1478" t="s">
        <v>22</v>
      </c>
      <c r="F1478">
        <v>1</v>
      </c>
      <c r="G1478">
        <v>909.93</v>
      </c>
      <c r="H1478">
        <v>909.93</v>
      </c>
      <c r="I1478" t="s">
        <v>13</v>
      </c>
      <c r="J1478" t="s">
        <v>14</v>
      </c>
    </row>
    <row r="1479" spans="1:10" x14ac:dyDescent="0.35">
      <c r="A1479" t="s">
        <v>3127</v>
      </c>
      <c r="B1479" t="s">
        <v>3119</v>
      </c>
      <c r="C1479" t="str">
        <f>TEXT(Table1[[#This Row],[Order_Date]],"mmm")</f>
        <v>Sep</v>
      </c>
      <c r="D1479" t="s">
        <v>3128</v>
      </c>
      <c r="E1479" t="s">
        <v>56</v>
      </c>
      <c r="F1479">
        <v>3</v>
      </c>
      <c r="G1479">
        <v>15689.95</v>
      </c>
      <c r="H1479">
        <v>47069.85</v>
      </c>
      <c r="I1479" t="s">
        <v>23</v>
      </c>
      <c r="J1479" t="s">
        <v>14</v>
      </c>
    </row>
    <row r="1480" spans="1:10" x14ac:dyDescent="0.35">
      <c r="A1480" t="s">
        <v>3129</v>
      </c>
      <c r="B1480" t="s">
        <v>3119</v>
      </c>
      <c r="C1480" t="str">
        <f>TEXT(Table1[[#This Row],[Order_Date]],"mmm")</f>
        <v>Sep</v>
      </c>
      <c r="D1480" t="s">
        <v>3130</v>
      </c>
      <c r="E1480" t="s">
        <v>17</v>
      </c>
      <c r="F1480">
        <v>3</v>
      </c>
      <c r="G1480">
        <v>964.45</v>
      </c>
      <c r="H1480">
        <v>2893.35</v>
      </c>
      <c r="I1480" t="s">
        <v>18</v>
      </c>
      <c r="J1480" t="s">
        <v>35</v>
      </c>
    </row>
    <row r="1481" spans="1:10" x14ac:dyDescent="0.35">
      <c r="A1481" t="s">
        <v>3131</v>
      </c>
      <c r="B1481" t="s">
        <v>3119</v>
      </c>
      <c r="C1481" t="str">
        <f>TEXT(Table1[[#This Row],[Order_Date]],"mmm")</f>
        <v>Sep</v>
      </c>
      <c r="D1481" t="s">
        <v>1060</v>
      </c>
      <c r="E1481" t="s">
        <v>72</v>
      </c>
      <c r="F1481">
        <v>1</v>
      </c>
      <c r="G1481">
        <v>2091.9</v>
      </c>
      <c r="H1481">
        <v>2091.9</v>
      </c>
      <c r="I1481" t="s">
        <v>13</v>
      </c>
      <c r="J1481" t="s">
        <v>14</v>
      </c>
    </row>
    <row r="1482" spans="1:10" x14ac:dyDescent="0.35">
      <c r="A1482" t="s">
        <v>3132</v>
      </c>
      <c r="B1482" t="s">
        <v>3133</v>
      </c>
      <c r="C1482" t="str">
        <f>TEXT(Table1[[#This Row],[Order_Date]],"mmm")</f>
        <v>Sep</v>
      </c>
      <c r="D1482" t="s">
        <v>3134</v>
      </c>
      <c r="E1482" t="s">
        <v>53</v>
      </c>
      <c r="F1482">
        <v>2</v>
      </c>
      <c r="G1482">
        <v>5101.7700000000004</v>
      </c>
      <c r="H1482">
        <v>10203.540000000001</v>
      </c>
      <c r="I1482" t="s">
        <v>42</v>
      </c>
      <c r="J1482" t="s">
        <v>35</v>
      </c>
    </row>
    <row r="1483" spans="1:10" x14ac:dyDescent="0.35">
      <c r="A1483" t="s">
        <v>3135</v>
      </c>
      <c r="B1483" t="s">
        <v>3133</v>
      </c>
      <c r="C1483" t="str">
        <f>TEXT(Table1[[#This Row],[Order_Date]],"mmm")</f>
        <v>Sep</v>
      </c>
      <c r="D1483" t="s">
        <v>3136</v>
      </c>
      <c r="E1483" t="s">
        <v>38</v>
      </c>
      <c r="F1483">
        <v>1</v>
      </c>
      <c r="G1483">
        <v>19204.419999999998</v>
      </c>
      <c r="H1483">
        <v>19204.419999999998</v>
      </c>
      <c r="I1483" t="s">
        <v>13</v>
      </c>
      <c r="J1483" t="s">
        <v>24</v>
      </c>
    </row>
    <row r="1484" spans="1:10" x14ac:dyDescent="0.35">
      <c r="A1484" t="s">
        <v>3137</v>
      </c>
      <c r="B1484" t="s">
        <v>3133</v>
      </c>
      <c r="C1484" t="str">
        <f>TEXT(Table1[[#This Row],[Order_Date]],"mmm")</f>
        <v>Sep</v>
      </c>
      <c r="D1484" t="s">
        <v>3138</v>
      </c>
      <c r="E1484" t="s">
        <v>17</v>
      </c>
      <c r="F1484">
        <v>1</v>
      </c>
      <c r="G1484">
        <v>37450.28</v>
      </c>
      <c r="H1484">
        <v>37450.28</v>
      </c>
      <c r="I1484" t="s">
        <v>13</v>
      </c>
      <c r="J1484" t="s">
        <v>24</v>
      </c>
    </row>
    <row r="1485" spans="1:10" x14ac:dyDescent="0.35">
      <c r="A1485" t="s">
        <v>3139</v>
      </c>
      <c r="B1485" t="s">
        <v>3133</v>
      </c>
      <c r="C1485" t="str">
        <f>TEXT(Table1[[#This Row],[Order_Date]],"mmm")</f>
        <v>Sep</v>
      </c>
      <c r="D1485" t="s">
        <v>3140</v>
      </c>
      <c r="E1485" t="s">
        <v>32</v>
      </c>
      <c r="F1485">
        <v>1</v>
      </c>
      <c r="G1485">
        <v>41885.33</v>
      </c>
      <c r="H1485">
        <v>41885.33</v>
      </c>
      <c r="I1485" t="s">
        <v>42</v>
      </c>
      <c r="J1485" t="s">
        <v>24</v>
      </c>
    </row>
    <row r="1486" spans="1:10" x14ac:dyDescent="0.35">
      <c r="A1486" t="s">
        <v>3141</v>
      </c>
      <c r="B1486" t="s">
        <v>3133</v>
      </c>
      <c r="C1486" t="str">
        <f>TEXT(Table1[[#This Row],[Order_Date]],"mmm")</f>
        <v>Sep</v>
      </c>
      <c r="D1486" t="s">
        <v>3142</v>
      </c>
      <c r="E1486" t="s">
        <v>56</v>
      </c>
      <c r="F1486">
        <v>1</v>
      </c>
      <c r="G1486">
        <v>43130.38</v>
      </c>
      <c r="H1486">
        <v>43130.38</v>
      </c>
      <c r="I1486" t="s">
        <v>18</v>
      </c>
      <c r="J1486" t="s">
        <v>14</v>
      </c>
    </row>
    <row r="1487" spans="1:10" x14ac:dyDescent="0.35">
      <c r="A1487" t="s">
        <v>3143</v>
      </c>
      <c r="B1487" t="s">
        <v>3133</v>
      </c>
      <c r="C1487" t="str">
        <f>TEXT(Table1[[#This Row],[Order_Date]],"mmm")</f>
        <v>Sep</v>
      </c>
      <c r="D1487" t="s">
        <v>3144</v>
      </c>
      <c r="E1487" t="s">
        <v>22</v>
      </c>
      <c r="F1487">
        <v>5</v>
      </c>
      <c r="G1487">
        <v>17468.43</v>
      </c>
      <c r="H1487">
        <v>87342.15</v>
      </c>
      <c r="I1487" t="s">
        <v>18</v>
      </c>
      <c r="J1487" t="s">
        <v>19</v>
      </c>
    </row>
    <row r="1488" spans="1:10" x14ac:dyDescent="0.35">
      <c r="A1488" t="s">
        <v>3145</v>
      </c>
      <c r="B1488" t="s">
        <v>3133</v>
      </c>
      <c r="C1488" t="str">
        <f>TEXT(Table1[[#This Row],[Order_Date]],"mmm")</f>
        <v>Sep</v>
      </c>
      <c r="D1488" t="s">
        <v>3146</v>
      </c>
      <c r="E1488" t="s">
        <v>38</v>
      </c>
      <c r="F1488">
        <v>3</v>
      </c>
      <c r="G1488">
        <v>29263.39</v>
      </c>
      <c r="H1488">
        <v>87790.17</v>
      </c>
      <c r="I1488" t="s">
        <v>18</v>
      </c>
      <c r="J1488" t="s">
        <v>19</v>
      </c>
    </row>
    <row r="1489" spans="1:10" x14ac:dyDescent="0.35">
      <c r="A1489" t="s">
        <v>3147</v>
      </c>
      <c r="B1489" t="s">
        <v>3148</v>
      </c>
      <c r="C1489" t="str">
        <f>TEXT(Table1[[#This Row],[Order_Date]],"mmm")</f>
        <v>Sep</v>
      </c>
      <c r="D1489" t="s">
        <v>3149</v>
      </c>
      <c r="E1489" t="s">
        <v>32</v>
      </c>
      <c r="F1489">
        <v>5</v>
      </c>
      <c r="G1489">
        <v>7836.14</v>
      </c>
      <c r="H1489">
        <v>39180.699999999997</v>
      </c>
      <c r="I1489" t="s">
        <v>13</v>
      </c>
      <c r="J1489" t="s">
        <v>24</v>
      </c>
    </row>
    <row r="1490" spans="1:10" x14ac:dyDescent="0.35">
      <c r="A1490" t="s">
        <v>3150</v>
      </c>
      <c r="B1490" t="s">
        <v>3148</v>
      </c>
      <c r="C1490" t="str">
        <f>TEXT(Table1[[#This Row],[Order_Date]],"mmm")</f>
        <v>Sep</v>
      </c>
      <c r="D1490" t="s">
        <v>3151</v>
      </c>
      <c r="E1490" t="s">
        <v>53</v>
      </c>
      <c r="F1490">
        <v>5</v>
      </c>
      <c r="G1490">
        <v>22470.26</v>
      </c>
      <c r="H1490">
        <v>112351.3</v>
      </c>
      <c r="I1490" t="s">
        <v>13</v>
      </c>
      <c r="J1490" t="s">
        <v>35</v>
      </c>
    </row>
    <row r="1491" spans="1:10" x14ac:dyDescent="0.35">
      <c r="A1491" t="s">
        <v>3152</v>
      </c>
      <c r="B1491" t="s">
        <v>3148</v>
      </c>
      <c r="C1491" t="str">
        <f>TEXT(Table1[[#This Row],[Order_Date]],"mmm")</f>
        <v>Sep</v>
      </c>
      <c r="D1491" t="s">
        <v>3153</v>
      </c>
      <c r="E1491" t="s">
        <v>38</v>
      </c>
      <c r="F1491">
        <v>3</v>
      </c>
      <c r="G1491">
        <v>12400.29</v>
      </c>
      <c r="H1491">
        <v>37200.870000000003</v>
      </c>
      <c r="I1491" t="s">
        <v>42</v>
      </c>
      <c r="J1491" t="s">
        <v>19</v>
      </c>
    </row>
    <row r="1492" spans="1:10" x14ac:dyDescent="0.35">
      <c r="A1492" t="s">
        <v>3154</v>
      </c>
      <c r="B1492" t="s">
        <v>3148</v>
      </c>
      <c r="C1492" t="str">
        <f>TEXT(Table1[[#This Row],[Order_Date]],"mmm")</f>
        <v>Sep</v>
      </c>
      <c r="D1492" t="s">
        <v>3155</v>
      </c>
      <c r="E1492" t="s">
        <v>32</v>
      </c>
      <c r="F1492">
        <v>2</v>
      </c>
      <c r="G1492">
        <v>27733.05</v>
      </c>
      <c r="H1492">
        <v>55466.1</v>
      </c>
      <c r="I1492" t="s">
        <v>13</v>
      </c>
      <c r="J1492" t="s">
        <v>19</v>
      </c>
    </row>
    <row r="1493" spans="1:10" x14ac:dyDescent="0.35">
      <c r="A1493" t="s">
        <v>3156</v>
      </c>
      <c r="B1493" t="s">
        <v>3157</v>
      </c>
      <c r="C1493" t="str">
        <f>TEXT(Table1[[#This Row],[Order_Date]],"mmm")</f>
        <v>Sep</v>
      </c>
      <c r="D1493" t="s">
        <v>1206</v>
      </c>
      <c r="E1493" t="s">
        <v>12</v>
      </c>
      <c r="F1493">
        <v>3</v>
      </c>
      <c r="G1493">
        <v>14790.93</v>
      </c>
      <c r="H1493">
        <v>44372.79</v>
      </c>
      <c r="I1493" t="s">
        <v>23</v>
      </c>
      <c r="J1493" t="s">
        <v>35</v>
      </c>
    </row>
    <row r="1494" spans="1:10" x14ac:dyDescent="0.35">
      <c r="A1494" t="s">
        <v>3158</v>
      </c>
      <c r="B1494" t="s">
        <v>3157</v>
      </c>
      <c r="C1494" t="str">
        <f>TEXT(Table1[[#This Row],[Order_Date]],"mmm")</f>
        <v>Sep</v>
      </c>
      <c r="D1494" t="s">
        <v>3159</v>
      </c>
      <c r="E1494" t="s">
        <v>12</v>
      </c>
      <c r="F1494">
        <v>4</v>
      </c>
      <c r="G1494">
        <v>7851.04</v>
      </c>
      <c r="H1494">
        <v>31404.16</v>
      </c>
      <c r="I1494" t="s">
        <v>13</v>
      </c>
      <c r="J1494" t="s">
        <v>35</v>
      </c>
    </row>
    <row r="1495" spans="1:10" x14ac:dyDescent="0.35">
      <c r="A1495" t="s">
        <v>3160</v>
      </c>
      <c r="B1495" t="s">
        <v>3157</v>
      </c>
      <c r="C1495" t="str">
        <f>TEXT(Table1[[#This Row],[Order_Date]],"mmm")</f>
        <v>Sep</v>
      </c>
      <c r="D1495" t="s">
        <v>3161</v>
      </c>
      <c r="E1495" t="s">
        <v>12</v>
      </c>
      <c r="F1495">
        <v>2</v>
      </c>
      <c r="G1495">
        <v>33963.03</v>
      </c>
      <c r="H1495">
        <v>67926.06</v>
      </c>
      <c r="I1495" t="s">
        <v>13</v>
      </c>
      <c r="J1495" t="s">
        <v>24</v>
      </c>
    </row>
    <row r="1496" spans="1:10" x14ac:dyDescent="0.35">
      <c r="A1496" t="s">
        <v>3162</v>
      </c>
      <c r="B1496" t="s">
        <v>3157</v>
      </c>
      <c r="C1496" t="str">
        <f>TEXT(Table1[[#This Row],[Order_Date]],"mmm")</f>
        <v>Sep</v>
      </c>
      <c r="D1496" t="s">
        <v>3163</v>
      </c>
      <c r="E1496" t="s">
        <v>47</v>
      </c>
      <c r="F1496">
        <v>2</v>
      </c>
      <c r="G1496">
        <v>22928.38</v>
      </c>
      <c r="H1496">
        <v>45856.76</v>
      </c>
      <c r="I1496" t="s">
        <v>42</v>
      </c>
      <c r="J1496" t="s">
        <v>24</v>
      </c>
    </row>
    <row r="1497" spans="1:10" x14ac:dyDescent="0.35">
      <c r="A1497" t="s">
        <v>3164</v>
      </c>
      <c r="B1497" t="s">
        <v>3157</v>
      </c>
      <c r="C1497" t="str">
        <f>TEXT(Table1[[#This Row],[Order_Date]],"mmm")</f>
        <v>Sep</v>
      </c>
      <c r="D1497" t="s">
        <v>984</v>
      </c>
      <c r="E1497" t="s">
        <v>72</v>
      </c>
      <c r="F1497">
        <v>5</v>
      </c>
      <c r="G1497">
        <v>17604.560000000001</v>
      </c>
      <c r="H1497">
        <v>88022.8</v>
      </c>
      <c r="I1497" t="s">
        <v>23</v>
      </c>
      <c r="J1497" t="s">
        <v>24</v>
      </c>
    </row>
    <row r="1498" spans="1:10" x14ac:dyDescent="0.35">
      <c r="A1498" t="s">
        <v>3165</v>
      </c>
      <c r="B1498" t="s">
        <v>3166</v>
      </c>
      <c r="C1498" t="str">
        <f>TEXT(Table1[[#This Row],[Order_Date]],"mmm")</f>
        <v>Sep</v>
      </c>
      <c r="D1498" t="s">
        <v>3167</v>
      </c>
      <c r="E1498" t="s">
        <v>38</v>
      </c>
      <c r="F1498">
        <v>4</v>
      </c>
      <c r="G1498">
        <v>28287.58</v>
      </c>
      <c r="H1498">
        <v>113150.32</v>
      </c>
      <c r="I1498" t="s">
        <v>13</v>
      </c>
      <c r="J1498" t="s">
        <v>35</v>
      </c>
    </row>
    <row r="1499" spans="1:10" x14ac:dyDescent="0.35">
      <c r="A1499" t="s">
        <v>3168</v>
      </c>
      <c r="B1499" t="s">
        <v>3166</v>
      </c>
      <c r="C1499" t="str">
        <f>TEXT(Table1[[#This Row],[Order_Date]],"mmm")</f>
        <v>Sep</v>
      </c>
      <c r="D1499" t="s">
        <v>3169</v>
      </c>
      <c r="E1499" t="s">
        <v>17</v>
      </c>
      <c r="F1499">
        <v>3</v>
      </c>
      <c r="G1499">
        <v>1401.61</v>
      </c>
      <c r="H1499">
        <v>4204.83</v>
      </c>
      <c r="I1499" t="s">
        <v>13</v>
      </c>
      <c r="J1499" t="s">
        <v>19</v>
      </c>
    </row>
    <row r="1500" spans="1:10" x14ac:dyDescent="0.35">
      <c r="A1500" t="s">
        <v>3170</v>
      </c>
      <c r="B1500" t="s">
        <v>3166</v>
      </c>
      <c r="C1500" t="str">
        <f>TEXT(Table1[[#This Row],[Order_Date]],"mmm")</f>
        <v>Sep</v>
      </c>
      <c r="D1500" t="s">
        <v>3171</v>
      </c>
      <c r="E1500" t="s">
        <v>47</v>
      </c>
      <c r="F1500">
        <v>4</v>
      </c>
      <c r="G1500">
        <v>25970.16</v>
      </c>
      <c r="H1500">
        <v>103880.64</v>
      </c>
      <c r="I1500" t="s">
        <v>18</v>
      </c>
      <c r="J1500" t="s">
        <v>24</v>
      </c>
    </row>
    <row r="1501" spans="1:10" x14ac:dyDescent="0.35">
      <c r="A1501" t="s">
        <v>3172</v>
      </c>
      <c r="B1501" t="s">
        <v>3173</v>
      </c>
      <c r="C1501" t="str">
        <f>TEXT(Table1[[#This Row],[Order_Date]],"mmm")</f>
        <v>Oct</v>
      </c>
      <c r="D1501" t="s">
        <v>3174</v>
      </c>
      <c r="E1501" t="s">
        <v>75</v>
      </c>
      <c r="F1501">
        <v>3</v>
      </c>
      <c r="G1501">
        <v>6894.12</v>
      </c>
      <c r="H1501">
        <v>20682.36</v>
      </c>
      <c r="I1501" t="s">
        <v>42</v>
      </c>
      <c r="J1501" t="s">
        <v>35</v>
      </c>
    </row>
    <row r="1502" spans="1:10" x14ac:dyDescent="0.35">
      <c r="A1502" t="s">
        <v>3175</v>
      </c>
      <c r="B1502" t="s">
        <v>3173</v>
      </c>
      <c r="C1502" t="str">
        <f>TEXT(Table1[[#This Row],[Order_Date]],"mmm")</f>
        <v>Oct</v>
      </c>
      <c r="D1502" t="s">
        <v>3176</v>
      </c>
      <c r="E1502" t="s">
        <v>12</v>
      </c>
      <c r="F1502">
        <v>2</v>
      </c>
      <c r="G1502">
        <v>39293.410000000003</v>
      </c>
      <c r="H1502">
        <v>78586.820000000007</v>
      </c>
      <c r="I1502" t="s">
        <v>18</v>
      </c>
      <c r="J1502" t="s">
        <v>14</v>
      </c>
    </row>
    <row r="1503" spans="1:10" x14ac:dyDescent="0.35">
      <c r="A1503" t="s">
        <v>3177</v>
      </c>
      <c r="B1503" t="s">
        <v>3173</v>
      </c>
      <c r="C1503" t="str">
        <f>TEXT(Table1[[#This Row],[Order_Date]],"mmm")</f>
        <v>Oct</v>
      </c>
      <c r="D1503" t="s">
        <v>3178</v>
      </c>
      <c r="E1503" t="s">
        <v>47</v>
      </c>
      <c r="F1503">
        <v>4</v>
      </c>
      <c r="G1503">
        <v>25158.53</v>
      </c>
      <c r="H1503">
        <v>100634.12</v>
      </c>
      <c r="I1503" t="s">
        <v>18</v>
      </c>
      <c r="J1503" t="s">
        <v>24</v>
      </c>
    </row>
    <row r="1504" spans="1:10" x14ac:dyDescent="0.35">
      <c r="A1504" t="s">
        <v>3179</v>
      </c>
      <c r="B1504" t="s">
        <v>3173</v>
      </c>
      <c r="C1504" t="str">
        <f>TEXT(Table1[[#This Row],[Order_Date]],"mmm")</f>
        <v>Oct</v>
      </c>
      <c r="D1504" t="s">
        <v>3180</v>
      </c>
      <c r="E1504" t="s">
        <v>38</v>
      </c>
      <c r="F1504">
        <v>3</v>
      </c>
      <c r="G1504">
        <v>11429.72</v>
      </c>
      <c r="H1504">
        <v>34289.160000000003</v>
      </c>
      <c r="I1504" t="s">
        <v>13</v>
      </c>
      <c r="J1504" t="s">
        <v>19</v>
      </c>
    </row>
    <row r="1505" spans="1:10" x14ac:dyDescent="0.35">
      <c r="A1505" t="s">
        <v>3181</v>
      </c>
      <c r="B1505" t="s">
        <v>3173</v>
      </c>
      <c r="C1505" t="str">
        <f>TEXT(Table1[[#This Row],[Order_Date]],"mmm")</f>
        <v>Oct</v>
      </c>
      <c r="D1505" t="s">
        <v>3182</v>
      </c>
      <c r="E1505" t="s">
        <v>17</v>
      </c>
      <c r="F1505">
        <v>5</v>
      </c>
      <c r="G1505">
        <v>10060.870000000001</v>
      </c>
      <c r="H1505">
        <v>50304.35</v>
      </c>
      <c r="I1505" t="s">
        <v>18</v>
      </c>
      <c r="J1505" t="s">
        <v>19</v>
      </c>
    </row>
    <row r="1506" spans="1:10" x14ac:dyDescent="0.35">
      <c r="A1506" t="s">
        <v>3183</v>
      </c>
      <c r="B1506" t="s">
        <v>3173</v>
      </c>
      <c r="C1506" t="str">
        <f>TEXT(Table1[[#This Row],[Order_Date]],"mmm")</f>
        <v>Oct</v>
      </c>
      <c r="D1506" t="s">
        <v>3184</v>
      </c>
      <c r="E1506" t="s">
        <v>47</v>
      </c>
      <c r="F1506">
        <v>2</v>
      </c>
      <c r="G1506">
        <v>19478.3</v>
      </c>
      <c r="H1506">
        <v>38956.6</v>
      </c>
      <c r="I1506" t="s">
        <v>18</v>
      </c>
      <c r="J1506" t="s">
        <v>24</v>
      </c>
    </row>
    <row r="1507" spans="1:10" x14ac:dyDescent="0.35">
      <c r="A1507" t="s">
        <v>3185</v>
      </c>
      <c r="B1507" t="s">
        <v>3173</v>
      </c>
      <c r="C1507" t="str">
        <f>TEXT(Table1[[#This Row],[Order_Date]],"mmm")</f>
        <v>Oct</v>
      </c>
      <c r="D1507" t="s">
        <v>3186</v>
      </c>
      <c r="E1507" t="s">
        <v>32</v>
      </c>
      <c r="F1507">
        <v>3</v>
      </c>
      <c r="G1507">
        <v>31792.74</v>
      </c>
      <c r="H1507">
        <v>95378.22</v>
      </c>
      <c r="I1507" t="s">
        <v>42</v>
      </c>
      <c r="J1507" t="s">
        <v>19</v>
      </c>
    </row>
    <row r="1508" spans="1:10" x14ac:dyDescent="0.35">
      <c r="A1508" t="s">
        <v>3187</v>
      </c>
      <c r="B1508" t="s">
        <v>3188</v>
      </c>
      <c r="C1508" t="str">
        <f>TEXT(Table1[[#This Row],[Order_Date]],"mmm")</f>
        <v>Oct</v>
      </c>
      <c r="D1508" t="s">
        <v>3189</v>
      </c>
      <c r="E1508" t="s">
        <v>47</v>
      </c>
      <c r="F1508">
        <v>1</v>
      </c>
      <c r="G1508">
        <v>40887.339999999997</v>
      </c>
      <c r="H1508">
        <v>40887.339999999997</v>
      </c>
      <c r="I1508" t="s">
        <v>13</v>
      </c>
      <c r="J1508" t="s">
        <v>35</v>
      </c>
    </row>
    <row r="1509" spans="1:10" x14ac:dyDescent="0.35">
      <c r="A1509" t="s">
        <v>3190</v>
      </c>
      <c r="B1509" t="s">
        <v>3188</v>
      </c>
      <c r="C1509" t="str">
        <f>TEXT(Table1[[#This Row],[Order_Date]],"mmm")</f>
        <v>Oct</v>
      </c>
      <c r="D1509" t="s">
        <v>2943</v>
      </c>
      <c r="E1509" t="s">
        <v>72</v>
      </c>
      <c r="F1509">
        <v>4</v>
      </c>
      <c r="G1509">
        <v>12222.94</v>
      </c>
      <c r="H1509">
        <v>48891.76</v>
      </c>
      <c r="I1509" t="s">
        <v>42</v>
      </c>
      <c r="J1509" t="s">
        <v>19</v>
      </c>
    </row>
    <row r="1510" spans="1:10" x14ac:dyDescent="0.35">
      <c r="A1510" t="s">
        <v>3191</v>
      </c>
      <c r="B1510" t="s">
        <v>3188</v>
      </c>
      <c r="C1510" t="str">
        <f>TEXT(Table1[[#This Row],[Order_Date]],"mmm")</f>
        <v>Oct</v>
      </c>
      <c r="D1510" t="s">
        <v>3192</v>
      </c>
      <c r="E1510" t="s">
        <v>75</v>
      </c>
      <c r="F1510">
        <v>5</v>
      </c>
      <c r="G1510">
        <v>34143</v>
      </c>
      <c r="H1510">
        <v>170715</v>
      </c>
      <c r="I1510" t="s">
        <v>13</v>
      </c>
      <c r="J1510" t="s">
        <v>24</v>
      </c>
    </row>
    <row r="1511" spans="1:10" x14ac:dyDescent="0.35">
      <c r="A1511" t="s">
        <v>3193</v>
      </c>
      <c r="B1511" t="s">
        <v>3188</v>
      </c>
      <c r="C1511" t="str">
        <f>TEXT(Table1[[#This Row],[Order_Date]],"mmm")</f>
        <v>Oct</v>
      </c>
      <c r="D1511" t="s">
        <v>2609</v>
      </c>
      <c r="E1511" t="s">
        <v>22</v>
      </c>
      <c r="F1511">
        <v>2</v>
      </c>
      <c r="G1511">
        <v>41053.24</v>
      </c>
      <c r="H1511">
        <v>82106.48</v>
      </c>
      <c r="I1511" t="s">
        <v>13</v>
      </c>
      <c r="J1511" t="s">
        <v>24</v>
      </c>
    </row>
    <row r="1512" spans="1:10" x14ac:dyDescent="0.35">
      <c r="A1512" t="s">
        <v>3194</v>
      </c>
      <c r="B1512" t="s">
        <v>3188</v>
      </c>
      <c r="C1512" t="str">
        <f>TEXT(Table1[[#This Row],[Order_Date]],"mmm")</f>
        <v>Oct</v>
      </c>
      <c r="D1512" t="s">
        <v>3195</v>
      </c>
      <c r="E1512" t="s">
        <v>12</v>
      </c>
      <c r="F1512">
        <v>3</v>
      </c>
      <c r="G1512">
        <v>47862.87</v>
      </c>
      <c r="H1512">
        <v>143588.60999999999</v>
      </c>
      <c r="I1512" t="s">
        <v>13</v>
      </c>
      <c r="J1512" t="s">
        <v>35</v>
      </c>
    </row>
    <row r="1513" spans="1:10" x14ac:dyDescent="0.35">
      <c r="A1513" t="s">
        <v>3196</v>
      </c>
      <c r="B1513" t="s">
        <v>3197</v>
      </c>
      <c r="C1513" t="str">
        <f>TEXT(Table1[[#This Row],[Order_Date]],"mmm")</f>
        <v>Oct</v>
      </c>
      <c r="D1513" t="s">
        <v>3198</v>
      </c>
      <c r="E1513" t="s">
        <v>56</v>
      </c>
      <c r="F1513">
        <v>1</v>
      </c>
      <c r="G1513">
        <v>47980.42</v>
      </c>
      <c r="H1513">
        <v>47980.42</v>
      </c>
      <c r="I1513" t="s">
        <v>23</v>
      </c>
      <c r="J1513" t="s">
        <v>14</v>
      </c>
    </row>
    <row r="1514" spans="1:10" x14ac:dyDescent="0.35">
      <c r="A1514" t="s">
        <v>3199</v>
      </c>
      <c r="B1514" t="s">
        <v>3197</v>
      </c>
      <c r="C1514" t="str">
        <f>TEXT(Table1[[#This Row],[Order_Date]],"mmm")</f>
        <v>Oct</v>
      </c>
      <c r="D1514" t="s">
        <v>3200</v>
      </c>
      <c r="E1514" t="s">
        <v>75</v>
      </c>
      <c r="F1514">
        <v>5</v>
      </c>
      <c r="G1514">
        <v>25100.15</v>
      </c>
      <c r="H1514">
        <v>125500.75</v>
      </c>
      <c r="I1514" t="s">
        <v>18</v>
      </c>
      <c r="J1514" t="s">
        <v>24</v>
      </c>
    </row>
    <row r="1515" spans="1:10" x14ac:dyDescent="0.35">
      <c r="A1515" t="s">
        <v>3201</v>
      </c>
      <c r="B1515" t="s">
        <v>3197</v>
      </c>
      <c r="C1515" t="str">
        <f>TEXT(Table1[[#This Row],[Order_Date]],"mmm")</f>
        <v>Oct</v>
      </c>
      <c r="D1515" t="s">
        <v>3202</v>
      </c>
      <c r="E1515" t="s">
        <v>32</v>
      </c>
      <c r="F1515">
        <v>1</v>
      </c>
      <c r="G1515">
        <v>5046.0200000000004</v>
      </c>
      <c r="H1515">
        <v>5046.0200000000004</v>
      </c>
      <c r="I1515" t="s">
        <v>23</v>
      </c>
      <c r="J1515" t="s">
        <v>19</v>
      </c>
    </row>
    <row r="1516" spans="1:10" x14ac:dyDescent="0.35">
      <c r="A1516" t="s">
        <v>3203</v>
      </c>
      <c r="B1516" t="s">
        <v>3197</v>
      </c>
      <c r="C1516" t="str">
        <f>TEXT(Table1[[#This Row],[Order_Date]],"mmm")</f>
        <v>Oct</v>
      </c>
      <c r="D1516" t="s">
        <v>3204</v>
      </c>
      <c r="E1516" t="s">
        <v>53</v>
      </c>
      <c r="F1516">
        <v>5</v>
      </c>
      <c r="G1516">
        <v>9785.36</v>
      </c>
      <c r="H1516">
        <v>48926.8</v>
      </c>
      <c r="I1516" t="s">
        <v>23</v>
      </c>
      <c r="J1516" t="s">
        <v>14</v>
      </c>
    </row>
    <row r="1517" spans="1:10" x14ac:dyDescent="0.35">
      <c r="A1517" t="s">
        <v>3205</v>
      </c>
      <c r="B1517" t="s">
        <v>3197</v>
      </c>
      <c r="C1517" t="str">
        <f>TEXT(Table1[[#This Row],[Order_Date]],"mmm")</f>
        <v>Oct</v>
      </c>
      <c r="D1517" t="s">
        <v>3206</v>
      </c>
      <c r="E1517" t="s">
        <v>75</v>
      </c>
      <c r="F1517">
        <v>3</v>
      </c>
      <c r="G1517">
        <v>18016.04</v>
      </c>
      <c r="H1517">
        <v>54048.12</v>
      </c>
      <c r="I1517" t="s">
        <v>13</v>
      </c>
      <c r="J1517" t="s">
        <v>14</v>
      </c>
    </row>
    <row r="1518" spans="1:10" x14ac:dyDescent="0.35">
      <c r="A1518" t="s">
        <v>3207</v>
      </c>
      <c r="B1518" t="s">
        <v>3197</v>
      </c>
      <c r="C1518" t="str">
        <f>TEXT(Table1[[#This Row],[Order_Date]],"mmm")</f>
        <v>Oct</v>
      </c>
      <c r="D1518" t="s">
        <v>3208</v>
      </c>
      <c r="E1518" t="s">
        <v>75</v>
      </c>
      <c r="F1518">
        <v>5</v>
      </c>
      <c r="G1518">
        <v>18123.189999999999</v>
      </c>
      <c r="H1518">
        <v>90615.95</v>
      </c>
      <c r="I1518" t="s">
        <v>18</v>
      </c>
      <c r="J1518" t="s">
        <v>24</v>
      </c>
    </row>
    <row r="1519" spans="1:10" x14ac:dyDescent="0.35">
      <c r="A1519" t="s">
        <v>3209</v>
      </c>
      <c r="B1519" t="s">
        <v>3197</v>
      </c>
      <c r="C1519" t="str">
        <f>TEXT(Table1[[#This Row],[Order_Date]],"mmm")</f>
        <v>Oct</v>
      </c>
      <c r="D1519" t="s">
        <v>3210</v>
      </c>
      <c r="E1519" t="s">
        <v>72</v>
      </c>
      <c r="F1519">
        <v>2</v>
      </c>
      <c r="G1519">
        <v>20625.27</v>
      </c>
      <c r="H1519">
        <v>41250.54</v>
      </c>
      <c r="I1519" t="s">
        <v>18</v>
      </c>
      <c r="J1519" t="s">
        <v>14</v>
      </c>
    </row>
    <row r="1520" spans="1:10" x14ac:dyDescent="0.35">
      <c r="A1520" t="s">
        <v>3211</v>
      </c>
      <c r="B1520" t="s">
        <v>3212</v>
      </c>
      <c r="C1520" t="str">
        <f>TEXT(Table1[[#This Row],[Order_Date]],"mmm")</f>
        <v>Oct</v>
      </c>
      <c r="D1520" t="s">
        <v>3213</v>
      </c>
      <c r="E1520" t="s">
        <v>12</v>
      </c>
      <c r="F1520">
        <v>4</v>
      </c>
      <c r="G1520">
        <v>16420</v>
      </c>
      <c r="H1520">
        <v>65680</v>
      </c>
      <c r="I1520" t="s">
        <v>18</v>
      </c>
      <c r="J1520" t="s">
        <v>14</v>
      </c>
    </row>
    <row r="1521" spans="1:10" x14ac:dyDescent="0.35">
      <c r="A1521" t="s">
        <v>3214</v>
      </c>
      <c r="B1521" t="s">
        <v>3212</v>
      </c>
      <c r="C1521" t="str">
        <f>TEXT(Table1[[#This Row],[Order_Date]],"mmm")</f>
        <v>Oct</v>
      </c>
      <c r="D1521" t="s">
        <v>3215</v>
      </c>
      <c r="E1521" t="s">
        <v>47</v>
      </c>
      <c r="F1521">
        <v>2</v>
      </c>
      <c r="G1521">
        <v>48963.28</v>
      </c>
      <c r="H1521">
        <v>97926.56</v>
      </c>
      <c r="I1521" t="s">
        <v>23</v>
      </c>
      <c r="J1521" t="s">
        <v>35</v>
      </c>
    </row>
    <row r="1522" spans="1:10" x14ac:dyDescent="0.35">
      <c r="A1522" t="s">
        <v>3216</v>
      </c>
      <c r="B1522" t="s">
        <v>3212</v>
      </c>
      <c r="C1522" t="str">
        <f>TEXT(Table1[[#This Row],[Order_Date]],"mmm")</f>
        <v>Oct</v>
      </c>
      <c r="D1522" t="s">
        <v>3217</v>
      </c>
      <c r="E1522" t="s">
        <v>72</v>
      </c>
      <c r="F1522">
        <v>4</v>
      </c>
      <c r="G1522">
        <v>19838.330000000002</v>
      </c>
      <c r="H1522">
        <v>79353.320000000007</v>
      </c>
      <c r="I1522" t="s">
        <v>13</v>
      </c>
      <c r="J1522" t="s">
        <v>19</v>
      </c>
    </row>
    <row r="1523" spans="1:10" x14ac:dyDescent="0.35">
      <c r="A1523" t="s">
        <v>3218</v>
      </c>
      <c r="B1523" t="s">
        <v>3212</v>
      </c>
      <c r="C1523" t="str">
        <f>TEXT(Table1[[#This Row],[Order_Date]],"mmm")</f>
        <v>Oct</v>
      </c>
      <c r="D1523" t="s">
        <v>3219</v>
      </c>
      <c r="E1523" t="s">
        <v>56</v>
      </c>
      <c r="F1523">
        <v>2</v>
      </c>
      <c r="G1523">
        <v>38721.730000000003</v>
      </c>
      <c r="H1523">
        <v>77443.460000000006</v>
      </c>
      <c r="I1523" t="s">
        <v>13</v>
      </c>
      <c r="J1523" t="s">
        <v>35</v>
      </c>
    </row>
    <row r="1524" spans="1:10" x14ac:dyDescent="0.35">
      <c r="A1524" t="s">
        <v>3220</v>
      </c>
      <c r="B1524" t="s">
        <v>3221</v>
      </c>
      <c r="C1524" t="str">
        <f>TEXT(Table1[[#This Row],[Order_Date]],"mmm")</f>
        <v>Oct</v>
      </c>
      <c r="D1524" t="s">
        <v>3222</v>
      </c>
      <c r="E1524" t="s">
        <v>12</v>
      </c>
      <c r="F1524">
        <v>2</v>
      </c>
      <c r="G1524">
        <v>6342.14</v>
      </c>
      <c r="H1524">
        <v>12684.28</v>
      </c>
      <c r="I1524" t="s">
        <v>18</v>
      </c>
      <c r="J1524" t="s">
        <v>19</v>
      </c>
    </row>
    <row r="1525" spans="1:10" x14ac:dyDescent="0.35">
      <c r="A1525" t="s">
        <v>3223</v>
      </c>
      <c r="B1525" t="s">
        <v>3221</v>
      </c>
      <c r="C1525" t="str">
        <f>TEXT(Table1[[#This Row],[Order_Date]],"mmm")</f>
        <v>Oct</v>
      </c>
      <c r="D1525" t="s">
        <v>3224</v>
      </c>
      <c r="E1525" t="s">
        <v>72</v>
      </c>
      <c r="F1525">
        <v>4</v>
      </c>
      <c r="G1525">
        <v>35364.36</v>
      </c>
      <c r="H1525">
        <v>141457.44</v>
      </c>
      <c r="I1525" t="s">
        <v>42</v>
      </c>
      <c r="J1525" t="s">
        <v>24</v>
      </c>
    </row>
    <row r="1526" spans="1:10" x14ac:dyDescent="0.35">
      <c r="A1526" t="s">
        <v>3225</v>
      </c>
      <c r="B1526" t="s">
        <v>3221</v>
      </c>
      <c r="C1526" t="str">
        <f>TEXT(Table1[[#This Row],[Order_Date]],"mmm")</f>
        <v>Oct</v>
      </c>
      <c r="D1526" t="s">
        <v>428</v>
      </c>
      <c r="E1526" t="s">
        <v>32</v>
      </c>
      <c r="F1526">
        <v>2</v>
      </c>
      <c r="G1526">
        <v>40452.99</v>
      </c>
      <c r="H1526">
        <v>80905.98</v>
      </c>
      <c r="I1526" t="s">
        <v>42</v>
      </c>
      <c r="J1526" t="s">
        <v>35</v>
      </c>
    </row>
    <row r="1527" spans="1:10" x14ac:dyDescent="0.35">
      <c r="A1527" t="s">
        <v>3226</v>
      </c>
      <c r="B1527" t="s">
        <v>3227</v>
      </c>
      <c r="C1527" t="str">
        <f>TEXT(Table1[[#This Row],[Order_Date]],"mmm")</f>
        <v>Oct</v>
      </c>
      <c r="D1527" t="s">
        <v>3228</v>
      </c>
      <c r="E1527" t="s">
        <v>38</v>
      </c>
      <c r="F1527">
        <v>1</v>
      </c>
      <c r="G1527">
        <v>26342.7</v>
      </c>
      <c r="H1527">
        <v>26342.7</v>
      </c>
      <c r="I1527" t="s">
        <v>18</v>
      </c>
      <c r="J1527" t="s">
        <v>19</v>
      </c>
    </row>
    <row r="1528" spans="1:10" x14ac:dyDescent="0.35">
      <c r="A1528" t="s">
        <v>3229</v>
      </c>
      <c r="B1528" t="s">
        <v>3227</v>
      </c>
      <c r="C1528" t="str">
        <f>TEXT(Table1[[#This Row],[Order_Date]],"mmm")</f>
        <v>Oct</v>
      </c>
      <c r="D1528" t="s">
        <v>3230</v>
      </c>
      <c r="E1528" t="s">
        <v>53</v>
      </c>
      <c r="F1528">
        <v>5</v>
      </c>
      <c r="G1528">
        <v>34118.78</v>
      </c>
      <c r="H1528">
        <v>170593.9</v>
      </c>
      <c r="I1528" t="s">
        <v>13</v>
      </c>
      <c r="J1528" t="s">
        <v>19</v>
      </c>
    </row>
    <row r="1529" spans="1:10" x14ac:dyDescent="0.35">
      <c r="A1529" t="s">
        <v>3231</v>
      </c>
      <c r="B1529" t="s">
        <v>3227</v>
      </c>
      <c r="C1529" t="str">
        <f>TEXT(Table1[[#This Row],[Order_Date]],"mmm")</f>
        <v>Oct</v>
      </c>
      <c r="D1529" t="s">
        <v>3232</v>
      </c>
      <c r="E1529" t="s">
        <v>53</v>
      </c>
      <c r="F1529">
        <v>5</v>
      </c>
      <c r="G1529">
        <v>48270.41</v>
      </c>
      <c r="H1529">
        <v>241352.05</v>
      </c>
      <c r="I1529" t="s">
        <v>13</v>
      </c>
      <c r="J1529" t="s">
        <v>19</v>
      </c>
    </row>
    <row r="1530" spans="1:10" x14ac:dyDescent="0.35">
      <c r="A1530" t="s">
        <v>3233</v>
      </c>
      <c r="B1530" t="s">
        <v>3227</v>
      </c>
      <c r="C1530" t="str">
        <f>TEXT(Table1[[#This Row],[Order_Date]],"mmm")</f>
        <v>Oct</v>
      </c>
      <c r="D1530" t="s">
        <v>3234</v>
      </c>
      <c r="E1530" t="s">
        <v>38</v>
      </c>
      <c r="F1530">
        <v>4</v>
      </c>
      <c r="G1530">
        <v>37342.14</v>
      </c>
      <c r="H1530">
        <v>149368.56</v>
      </c>
      <c r="I1530" t="s">
        <v>13</v>
      </c>
      <c r="J1530" t="s">
        <v>35</v>
      </c>
    </row>
    <row r="1531" spans="1:10" x14ac:dyDescent="0.35">
      <c r="A1531" t="s">
        <v>3235</v>
      </c>
      <c r="B1531" t="s">
        <v>3227</v>
      </c>
      <c r="C1531" t="str">
        <f>TEXT(Table1[[#This Row],[Order_Date]],"mmm")</f>
        <v>Oct</v>
      </c>
      <c r="D1531" t="s">
        <v>728</v>
      </c>
      <c r="E1531" t="s">
        <v>53</v>
      </c>
      <c r="F1531">
        <v>1</v>
      </c>
      <c r="G1531">
        <v>5185.49</v>
      </c>
      <c r="H1531">
        <v>5185.49</v>
      </c>
      <c r="I1531" t="s">
        <v>42</v>
      </c>
      <c r="J1531" t="s">
        <v>35</v>
      </c>
    </row>
    <row r="1532" spans="1:10" x14ac:dyDescent="0.35">
      <c r="A1532" t="s">
        <v>3236</v>
      </c>
      <c r="B1532" t="s">
        <v>3237</v>
      </c>
      <c r="C1532" t="str">
        <f>TEXT(Table1[[#This Row],[Order_Date]],"mmm")</f>
        <v>Oct</v>
      </c>
      <c r="D1532" t="s">
        <v>3238</v>
      </c>
      <c r="E1532" t="s">
        <v>22</v>
      </c>
      <c r="F1532">
        <v>4</v>
      </c>
      <c r="G1532">
        <v>16261.13</v>
      </c>
      <c r="H1532">
        <v>65044.52</v>
      </c>
      <c r="I1532" t="s">
        <v>13</v>
      </c>
      <c r="J1532" t="s">
        <v>24</v>
      </c>
    </row>
    <row r="1533" spans="1:10" x14ac:dyDescent="0.35">
      <c r="A1533" t="s">
        <v>3239</v>
      </c>
      <c r="B1533" t="s">
        <v>3237</v>
      </c>
      <c r="C1533" t="str">
        <f>TEXT(Table1[[#This Row],[Order_Date]],"mmm")</f>
        <v>Oct</v>
      </c>
      <c r="D1533" t="s">
        <v>3240</v>
      </c>
      <c r="E1533" t="s">
        <v>47</v>
      </c>
      <c r="F1533">
        <v>5</v>
      </c>
      <c r="G1533">
        <v>28511.4</v>
      </c>
      <c r="H1533">
        <v>142557</v>
      </c>
      <c r="I1533" t="s">
        <v>23</v>
      </c>
      <c r="J1533" t="s">
        <v>35</v>
      </c>
    </row>
    <row r="1534" spans="1:10" x14ac:dyDescent="0.35">
      <c r="A1534" t="s">
        <v>3241</v>
      </c>
      <c r="B1534" t="s">
        <v>3237</v>
      </c>
      <c r="C1534" t="str">
        <f>TEXT(Table1[[#This Row],[Order_Date]],"mmm")</f>
        <v>Oct</v>
      </c>
      <c r="D1534" t="s">
        <v>1727</v>
      </c>
      <c r="E1534" t="s">
        <v>12</v>
      </c>
      <c r="F1534">
        <v>2</v>
      </c>
      <c r="G1534">
        <v>17485.509999999998</v>
      </c>
      <c r="H1534">
        <v>34971.019999999997</v>
      </c>
      <c r="I1534" t="s">
        <v>23</v>
      </c>
      <c r="J1534" t="s">
        <v>14</v>
      </c>
    </row>
    <row r="1535" spans="1:10" x14ac:dyDescent="0.35">
      <c r="A1535" t="s">
        <v>3242</v>
      </c>
      <c r="B1535" t="s">
        <v>3237</v>
      </c>
      <c r="C1535" t="str">
        <f>TEXT(Table1[[#This Row],[Order_Date]],"mmm")</f>
        <v>Oct</v>
      </c>
      <c r="D1535" t="s">
        <v>3243</v>
      </c>
      <c r="E1535" t="s">
        <v>75</v>
      </c>
      <c r="F1535">
        <v>1</v>
      </c>
      <c r="G1535">
        <v>29671.63</v>
      </c>
      <c r="H1535">
        <v>29671.63</v>
      </c>
      <c r="I1535" t="s">
        <v>18</v>
      </c>
      <c r="J1535" t="s">
        <v>14</v>
      </c>
    </row>
    <row r="1536" spans="1:10" x14ac:dyDescent="0.35">
      <c r="A1536" t="s">
        <v>3244</v>
      </c>
      <c r="B1536" t="s">
        <v>3237</v>
      </c>
      <c r="C1536" t="str">
        <f>TEXT(Table1[[#This Row],[Order_Date]],"mmm")</f>
        <v>Oct</v>
      </c>
      <c r="D1536" t="s">
        <v>3245</v>
      </c>
      <c r="E1536" t="s">
        <v>47</v>
      </c>
      <c r="F1536">
        <v>5</v>
      </c>
      <c r="G1536">
        <v>38426.629999999997</v>
      </c>
      <c r="H1536">
        <v>192133.15</v>
      </c>
      <c r="I1536" t="s">
        <v>23</v>
      </c>
      <c r="J1536" t="s">
        <v>24</v>
      </c>
    </row>
    <row r="1537" spans="1:10" x14ac:dyDescent="0.35">
      <c r="A1537" t="s">
        <v>3246</v>
      </c>
      <c r="B1537" t="s">
        <v>3237</v>
      </c>
      <c r="C1537" t="str">
        <f>TEXT(Table1[[#This Row],[Order_Date]],"mmm")</f>
        <v>Oct</v>
      </c>
      <c r="D1537" t="s">
        <v>3247</v>
      </c>
      <c r="E1537" t="s">
        <v>53</v>
      </c>
      <c r="F1537">
        <v>3</v>
      </c>
      <c r="G1537">
        <v>22676.47</v>
      </c>
      <c r="H1537">
        <v>68029.41</v>
      </c>
      <c r="I1537" t="s">
        <v>13</v>
      </c>
      <c r="J1537" t="s">
        <v>24</v>
      </c>
    </row>
    <row r="1538" spans="1:10" x14ac:dyDescent="0.35">
      <c r="A1538" t="s">
        <v>3248</v>
      </c>
      <c r="B1538" t="s">
        <v>3237</v>
      </c>
      <c r="C1538" t="str">
        <f>TEXT(Table1[[#This Row],[Order_Date]],"mmm")</f>
        <v>Oct</v>
      </c>
      <c r="D1538" t="s">
        <v>3249</v>
      </c>
      <c r="E1538" t="s">
        <v>22</v>
      </c>
      <c r="F1538">
        <v>4</v>
      </c>
      <c r="G1538">
        <v>9362.7800000000007</v>
      </c>
      <c r="H1538">
        <v>37451.120000000003</v>
      </c>
      <c r="I1538" t="s">
        <v>18</v>
      </c>
      <c r="J1538" t="s">
        <v>35</v>
      </c>
    </row>
    <row r="1539" spans="1:10" x14ac:dyDescent="0.35">
      <c r="A1539" t="s">
        <v>3250</v>
      </c>
      <c r="B1539" t="s">
        <v>3237</v>
      </c>
      <c r="C1539" t="str">
        <f>TEXT(Table1[[#This Row],[Order_Date]],"mmm")</f>
        <v>Oct</v>
      </c>
      <c r="D1539" t="s">
        <v>3251</v>
      </c>
      <c r="E1539" t="s">
        <v>32</v>
      </c>
      <c r="F1539">
        <v>3</v>
      </c>
      <c r="G1539">
        <v>43320.89</v>
      </c>
      <c r="H1539">
        <v>129962.67</v>
      </c>
      <c r="I1539" t="s">
        <v>13</v>
      </c>
      <c r="J1539" t="s">
        <v>35</v>
      </c>
    </row>
    <row r="1540" spans="1:10" x14ac:dyDescent="0.35">
      <c r="A1540" t="s">
        <v>3252</v>
      </c>
      <c r="B1540" t="s">
        <v>3253</v>
      </c>
      <c r="C1540" t="str">
        <f>TEXT(Table1[[#This Row],[Order_Date]],"mmm")</f>
        <v>Oct</v>
      </c>
      <c r="D1540" t="s">
        <v>3254</v>
      </c>
      <c r="E1540" t="s">
        <v>72</v>
      </c>
      <c r="F1540">
        <v>1</v>
      </c>
      <c r="G1540">
        <v>46356.85</v>
      </c>
      <c r="H1540">
        <v>46356.85</v>
      </c>
      <c r="I1540" t="s">
        <v>42</v>
      </c>
      <c r="J1540" t="s">
        <v>35</v>
      </c>
    </row>
    <row r="1541" spans="1:10" x14ac:dyDescent="0.35">
      <c r="A1541" t="s">
        <v>3255</v>
      </c>
      <c r="B1541" t="s">
        <v>3253</v>
      </c>
      <c r="C1541" t="str">
        <f>TEXT(Table1[[#This Row],[Order_Date]],"mmm")</f>
        <v>Oct</v>
      </c>
      <c r="D1541" t="s">
        <v>3256</v>
      </c>
      <c r="E1541" t="s">
        <v>22</v>
      </c>
      <c r="F1541">
        <v>1</v>
      </c>
      <c r="G1541">
        <v>47278.95</v>
      </c>
      <c r="H1541">
        <v>47278.95</v>
      </c>
      <c r="I1541" t="s">
        <v>18</v>
      </c>
      <c r="J1541" t="s">
        <v>19</v>
      </c>
    </row>
    <row r="1542" spans="1:10" x14ac:dyDescent="0.35">
      <c r="A1542" t="s">
        <v>3257</v>
      </c>
      <c r="B1542" t="s">
        <v>3253</v>
      </c>
      <c r="C1542" t="str">
        <f>TEXT(Table1[[#This Row],[Order_Date]],"mmm")</f>
        <v>Oct</v>
      </c>
      <c r="D1542" t="s">
        <v>3258</v>
      </c>
      <c r="E1542" t="s">
        <v>56</v>
      </c>
      <c r="F1542">
        <v>4</v>
      </c>
      <c r="G1542">
        <v>45097.2</v>
      </c>
      <c r="H1542">
        <v>180388.8</v>
      </c>
      <c r="I1542" t="s">
        <v>18</v>
      </c>
      <c r="J1542" t="s">
        <v>35</v>
      </c>
    </row>
    <row r="1543" spans="1:10" x14ac:dyDescent="0.35">
      <c r="A1543" t="s">
        <v>3259</v>
      </c>
      <c r="B1543" t="s">
        <v>3253</v>
      </c>
      <c r="C1543" t="str">
        <f>TEXT(Table1[[#This Row],[Order_Date]],"mmm")</f>
        <v>Oct</v>
      </c>
      <c r="D1543" t="s">
        <v>3260</v>
      </c>
      <c r="E1543" t="s">
        <v>17</v>
      </c>
      <c r="F1543">
        <v>1</v>
      </c>
      <c r="G1543">
        <v>20102.900000000001</v>
      </c>
      <c r="H1543">
        <v>20102.900000000001</v>
      </c>
      <c r="I1543" t="s">
        <v>42</v>
      </c>
      <c r="J1543" t="s">
        <v>35</v>
      </c>
    </row>
    <row r="1544" spans="1:10" x14ac:dyDescent="0.35">
      <c r="A1544" t="s">
        <v>3261</v>
      </c>
      <c r="B1544" t="s">
        <v>3253</v>
      </c>
      <c r="C1544" t="str">
        <f>TEXT(Table1[[#This Row],[Order_Date]],"mmm")</f>
        <v>Oct</v>
      </c>
      <c r="D1544" t="s">
        <v>3262</v>
      </c>
      <c r="E1544" t="s">
        <v>32</v>
      </c>
      <c r="F1544">
        <v>1</v>
      </c>
      <c r="G1544">
        <v>16901.939999999999</v>
      </c>
      <c r="H1544">
        <v>16901.939999999999</v>
      </c>
      <c r="I1544" t="s">
        <v>13</v>
      </c>
      <c r="J1544" t="s">
        <v>19</v>
      </c>
    </row>
    <row r="1545" spans="1:10" x14ac:dyDescent="0.35">
      <c r="A1545" t="s">
        <v>3263</v>
      </c>
      <c r="B1545" t="s">
        <v>3264</v>
      </c>
      <c r="C1545" t="str">
        <f>TEXT(Table1[[#This Row],[Order_Date]],"mmm")</f>
        <v>Oct</v>
      </c>
      <c r="D1545" t="s">
        <v>3265</v>
      </c>
      <c r="E1545" t="s">
        <v>22</v>
      </c>
      <c r="F1545">
        <v>3</v>
      </c>
      <c r="G1545">
        <v>39461.050000000003</v>
      </c>
      <c r="H1545">
        <v>118383.15</v>
      </c>
      <c r="I1545" t="s">
        <v>23</v>
      </c>
      <c r="J1545" t="s">
        <v>14</v>
      </c>
    </row>
    <row r="1546" spans="1:10" x14ac:dyDescent="0.35">
      <c r="A1546" t="s">
        <v>3266</v>
      </c>
      <c r="B1546" t="s">
        <v>3264</v>
      </c>
      <c r="C1546" t="str">
        <f>TEXT(Table1[[#This Row],[Order_Date]],"mmm")</f>
        <v>Oct</v>
      </c>
      <c r="D1546" t="s">
        <v>3267</v>
      </c>
      <c r="E1546" t="s">
        <v>47</v>
      </c>
      <c r="F1546">
        <v>2</v>
      </c>
      <c r="G1546">
        <v>27426.07</v>
      </c>
      <c r="H1546">
        <v>54852.14</v>
      </c>
      <c r="I1546" t="s">
        <v>13</v>
      </c>
      <c r="J1546" t="s">
        <v>14</v>
      </c>
    </row>
    <row r="1547" spans="1:10" x14ac:dyDescent="0.35">
      <c r="A1547" t="s">
        <v>3268</v>
      </c>
      <c r="B1547" t="s">
        <v>3264</v>
      </c>
      <c r="C1547" t="str">
        <f>TEXT(Table1[[#This Row],[Order_Date]],"mmm")</f>
        <v>Oct</v>
      </c>
      <c r="D1547" t="s">
        <v>3269</v>
      </c>
      <c r="E1547" t="s">
        <v>32</v>
      </c>
      <c r="F1547">
        <v>5</v>
      </c>
      <c r="G1547">
        <v>22985.33</v>
      </c>
      <c r="H1547">
        <v>114926.65</v>
      </c>
      <c r="I1547" t="s">
        <v>42</v>
      </c>
      <c r="J1547" t="s">
        <v>14</v>
      </c>
    </row>
    <row r="1548" spans="1:10" x14ac:dyDescent="0.35">
      <c r="A1548" t="s">
        <v>3270</v>
      </c>
      <c r="B1548" t="s">
        <v>3264</v>
      </c>
      <c r="C1548" t="str">
        <f>TEXT(Table1[[#This Row],[Order_Date]],"mmm")</f>
        <v>Oct</v>
      </c>
      <c r="D1548" t="s">
        <v>3271</v>
      </c>
      <c r="E1548" t="s">
        <v>56</v>
      </c>
      <c r="F1548">
        <v>3</v>
      </c>
      <c r="G1548">
        <v>18486.16</v>
      </c>
      <c r="H1548">
        <v>55458.48</v>
      </c>
      <c r="I1548" t="s">
        <v>23</v>
      </c>
      <c r="J1548" t="s">
        <v>14</v>
      </c>
    </row>
    <row r="1549" spans="1:10" x14ac:dyDescent="0.35">
      <c r="A1549" t="s">
        <v>3272</v>
      </c>
      <c r="B1549" t="s">
        <v>3264</v>
      </c>
      <c r="C1549" t="str">
        <f>TEXT(Table1[[#This Row],[Order_Date]],"mmm")</f>
        <v>Oct</v>
      </c>
      <c r="D1549" t="s">
        <v>3273</v>
      </c>
      <c r="E1549" t="s">
        <v>53</v>
      </c>
      <c r="F1549">
        <v>2</v>
      </c>
      <c r="G1549">
        <v>12985.81</v>
      </c>
      <c r="H1549">
        <v>25971.62</v>
      </c>
      <c r="I1549" t="s">
        <v>42</v>
      </c>
      <c r="J1549" t="s">
        <v>19</v>
      </c>
    </row>
    <row r="1550" spans="1:10" x14ac:dyDescent="0.35">
      <c r="A1550" t="s">
        <v>3274</v>
      </c>
      <c r="B1550" t="s">
        <v>3264</v>
      </c>
      <c r="C1550" t="str">
        <f>TEXT(Table1[[#This Row],[Order_Date]],"mmm")</f>
        <v>Oct</v>
      </c>
      <c r="D1550" t="s">
        <v>3275</v>
      </c>
      <c r="E1550" t="s">
        <v>38</v>
      </c>
      <c r="F1550">
        <v>3</v>
      </c>
      <c r="G1550">
        <v>3027.81</v>
      </c>
      <c r="H1550">
        <v>9083.43</v>
      </c>
      <c r="I1550" t="s">
        <v>23</v>
      </c>
      <c r="J1550" t="s">
        <v>14</v>
      </c>
    </row>
    <row r="1551" spans="1:10" x14ac:dyDescent="0.35">
      <c r="A1551" t="s">
        <v>3276</v>
      </c>
      <c r="B1551" t="s">
        <v>3264</v>
      </c>
      <c r="C1551" t="str">
        <f>TEXT(Table1[[#This Row],[Order_Date]],"mmm")</f>
        <v>Oct</v>
      </c>
      <c r="D1551" t="s">
        <v>3277</v>
      </c>
      <c r="E1551" t="s">
        <v>12</v>
      </c>
      <c r="F1551">
        <v>4</v>
      </c>
      <c r="G1551">
        <v>22161.86</v>
      </c>
      <c r="H1551">
        <v>88647.44</v>
      </c>
      <c r="I1551" t="s">
        <v>13</v>
      </c>
      <c r="J1551" t="s">
        <v>35</v>
      </c>
    </row>
    <row r="1552" spans="1:10" x14ac:dyDescent="0.35">
      <c r="A1552" t="s">
        <v>3278</v>
      </c>
      <c r="B1552" t="s">
        <v>3279</v>
      </c>
      <c r="C1552" t="str">
        <f>TEXT(Table1[[#This Row],[Order_Date]],"mmm")</f>
        <v>Oct</v>
      </c>
      <c r="D1552" t="s">
        <v>2339</v>
      </c>
      <c r="E1552" t="s">
        <v>32</v>
      </c>
      <c r="F1552">
        <v>5</v>
      </c>
      <c r="G1552">
        <v>27649.65</v>
      </c>
      <c r="H1552">
        <v>138248.25</v>
      </c>
      <c r="I1552" t="s">
        <v>42</v>
      </c>
      <c r="J1552" t="s">
        <v>24</v>
      </c>
    </row>
    <row r="1553" spans="1:10" x14ac:dyDescent="0.35">
      <c r="A1553" t="s">
        <v>3280</v>
      </c>
      <c r="B1553" t="s">
        <v>3279</v>
      </c>
      <c r="C1553" t="str">
        <f>TEXT(Table1[[#This Row],[Order_Date]],"mmm")</f>
        <v>Oct</v>
      </c>
      <c r="D1553" t="s">
        <v>3281</v>
      </c>
      <c r="E1553" t="s">
        <v>32</v>
      </c>
      <c r="F1553">
        <v>2</v>
      </c>
      <c r="G1553">
        <v>14414.36</v>
      </c>
      <c r="H1553">
        <v>28828.720000000001</v>
      </c>
      <c r="I1553" t="s">
        <v>13</v>
      </c>
      <c r="J1553" t="s">
        <v>35</v>
      </c>
    </row>
    <row r="1554" spans="1:10" x14ac:dyDescent="0.35">
      <c r="A1554" t="s">
        <v>3282</v>
      </c>
      <c r="B1554" t="s">
        <v>3279</v>
      </c>
      <c r="C1554" t="str">
        <f>TEXT(Table1[[#This Row],[Order_Date]],"mmm")</f>
        <v>Oct</v>
      </c>
      <c r="D1554" t="s">
        <v>3283</v>
      </c>
      <c r="E1554" t="s">
        <v>17</v>
      </c>
      <c r="F1554">
        <v>5</v>
      </c>
      <c r="G1554">
        <v>16006.61</v>
      </c>
      <c r="H1554">
        <v>80033.05</v>
      </c>
      <c r="I1554" t="s">
        <v>42</v>
      </c>
      <c r="J1554" t="s">
        <v>19</v>
      </c>
    </row>
    <row r="1555" spans="1:10" x14ac:dyDescent="0.35">
      <c r="A1555" t="s">
        <v>3284</v>
      </c>
      <c r="B1555" t="s">
        <v>3285</v>
      </c>
      <c r="C1555" t="str">
        <f>TEXT(Table1[[#This Row],[Order_Date]],"mmm")</f>
        <v>Oct</v>
      </c>
      <c r="D1555" t="s">
        <v>3286</v>
      </c>
      <c r="E1555" t="s">
        <v>56</v>
      </c>
      <c r="F1555">
        <v>2</v>
      </c>
      <c r="G1555">
        <v>17392.48</v>
      </c>
      <c r="H1555">
        <v>34784.959999999999</v>
      </c>
      <c r="I1555" t="s">
        <v>18</v>
      </c>
      <c r="J1555" t="s">
        <v>19</v>
      </c>
    </row>
    <row r="1556" spans="1:10" x14ac:dyDescent="0.35">
      <c r="A1556" t="s">
        <v>3287</v>
      </c>
      <c r="B1556" t="s">
        <v>3285</v>
      </c>
      <c r="C1556" t="str">
        <f>TEXT(Table1[[#This Row],[Order_Date]],"mmm")</f>
        <v>Oct</v>
      </c>
      <c r="D1556" t="s">
        <v>3288</v>
      </c>
      <c r="E1556" t="s">
        <v>22</v>
      </c>
      <c r="F1556">
        <v>3</v>
      </c>
      <c r="G1556">
        <v>48704</v>
      </c>
      <c r="H1556">
        <v>146112</v>
      </c>
      <c r="I1556" t="s">
        <v>13</v>
      </c>
      <c r="J1556" t="s">
        <v>14</v>
      </c>
    </row>
    <row r="1557" spans="1:10" x14ac:dyDescent="0.35">
      <c r="A1557" t="s">
        <v>3289</v>
      </c>
      <c r="B1557" t="s">
        <v>3285</v>
      </c>
      <c r="C1557" t="str">
        <f>TEXT(Table1[[#This Row],[Order_Date]],"mmm")</f>
        <v>Oct</v>
      </c>
      <c r="D1557" t="s">
        <v>3290</v>
      </c>
      <c r="E1557" t="s">
        <v>47</v>
      </c>
      <c r="F1557">
        <v>5</v>
      </c>
      <c r="G1557">
        <v>48845.67</v>
      </c>
      <c r="H1557">
        <v>244228.35</v>
      </c>
      <c r="I1557" t="s">
        <v>18</v>
      </c>
      <c r="J1557" t="s">
        <v>14</v>
      </c>
    </row>
    <row r="1558" spans="1:10" x14ac:dyDescent="0.35">
      <c r="A1558" t="s">
        <v>3291</v>
      </c>
      <c r="B1558" t="s">
        <v>3285</v>
      </c>
      <c r="C1558" t="str">
        <f>TEXT(Table1[[#This Row],[Order_Date]],"mmm")</f>
        <v>Oct</v>
      </c>
      <c r="D1558" t="s">
        <v>3292</v>
      </c>
      <c r="E1558" t="s">
        <v>75</v>
      </c>
      <c r="F1558">
        <v>2</v>
      </c>
      <c r="G1558">
        <v>16397.47</v>
      </c>
      <c r="H1558">
        <v>32794.94</v>
      </c>
      <c r="I1558" t="s">
        <v>23</v>
      </c>
      <c r="J1558" t="s">
        <v>24</v>
      </c>
    </row>
    <row r="1559" spans="1:10" x14ac:dyDescent="0.35">
      <c r="A1559" t="s">
        <v>3293</v>
      </c>
      <c r="B1559" t="s">
        <v>3294</v>
      </c>
      <c r="C1559" t="str">
        <f>TEXT(Table1[[#This Row],[Order_Date]],"mmm")</f>
        <v>Oct</v>
      </c>
      <c r="D1559" t="s">
        <v>2999</v>
      </c>
      <c r="E1559" t="s">
        <v>32</v>
      </c>
      <c r="F1559">
        <v>4</v>
      </c>
      <c r="G1559">
        <v>7421.24</v>
      </c>
      <c r="H1559">
        <v>29684.959999999999</v>
      </c>
      <c r="I1559" t="s">
        <v>42</v>
      </c>
      <c r="J1559" t="s">
        <v>35</v>
      </c>
    </row>
    <row r="1560" spans="1:10" x14ac:dyDescent="0.35">
      <c r="A1560" t="s">
        <v>3295</v>
      </c>
      <c r="B1560" t="s">
        <v>3294</v>
      </c>
      <c r="C1560" t="str">
        <f>TEXT(Table1[[#This Row],[Order_Date]],"mmm")</f>
        <v>Oct</v>
      </c>
      <c r="D1560" t="s">
        <v>3296</v>
      </c>
      <c r="E1560" t="s">
        <v>53</v>
      </c>
      <c r="F1560">
        <v>1</v>
      </c>
      <c r="G1560">
        <v>31714.03</v>
      </c>
      <c r="H1560">
        <v>31714.03</v>
      </c>
      <c r="I1560" t="s">
        <v>42</v>
      </c>
      <c r="J1560" t="s">
        <v>24</v>
      </c>
    </row>
    <row r="1561" spans="1:10" x14ac:dyDescent="0.35">
      <c r="A1561" t="s">
        <v>3297</v>
      </c>
      <c r="B1561" t="s">
        <v>3294</v>
      </c>
      <c r="C1561" t="str">
        <f>TEXT(Table1[[#This Row],[Order_Date]],"mmm")</f>
        <v>Oct</v>
      </c>
      <c r="D1561" t="s">
        <v>3298</v>
      </c>
      <c r="E1561" t="s">
        <v>22</v>
      </c>
      <c r="F1561">
        <v>1</v>
      </c>
      <c r="G1561">
        <v>33420.92</v>
      </c>
      <c r="H1561">
        <v>33420.92</v>
      </c>
      <c r="I1561" t="s">
        <v>23</v>
      </c>
      <c r="J1561" t="s">
        <v>14</v>
      </c>
    </row>
    <row r="1562" spans="1:10" x14ac:dyDescent="0.35">
      <c r="A1562" t="s">
        <v>3299</v>
      </c>
      <c r="B1562" t="s">
        <v>3300</v>
      </c>
      <c r="C1562" t="str">
        <f>TEXT(Table1[[#This Row],[Order_Date]],"mmm")</f>
        <v>Oct</v>
      </c>
      <c r="D1562" t="s">
        <v>3301</v>
      </c>
      <c r="E1562" t="s">
        <v>72</v>
      </c>
      <c r="F1562">
        <v>1</v>
      </c>
      <c r="G1562">
        <v>2736.97</v>
      </c>
      <c r="H1562">
        <v>2736.97</v>
      </c>
      <c r="I1562" t="s">
        <v>23</v>
      </c>
      <c r="J1562" t="s">
        <v>35</v>
      </c>
    </row>
    <row r="1563" spans="1:10" x14ac:dyDescent="0.35">
      <c r="A1563" t="s">
        <v>3302</v>
      </c>
      <c r="B1563" t="s">
        <v>3300</v>
      </c>
      <c r="C1563" t="str">
        <f>TEXT(Table1[[#This Row],[Order_Date]],"mmm")</f>
        <v>Oct</v>
      </c>
      <c r="D1563" t="s">
        <v>1614</v>
      </c>
      <c r="E1563" t="s">
        <v>56</v>
      </c>
      <c r="F1563">
        <v>2</v>
      </c>
      <c r="G1563">
        <v>30813.82</v>
      </c>
      <c r="H1563">
        <v>61627.64</v>
      </c>
      <c r="I1563" t="s">
        <v>42</v>
      </c>
      <c r="J1563" t="s">
        <v>24</v>
      </c>
    </row>
    <row r="1564" spans="1:10" x14ac:dyDescent="0.35">
      <c r="A1564" t="s">
        <v>3303</v>
      </c>
      <c r="B1564" t="s">
        <v>3300</v>
      </c>
      <c r="C1564" t="str">
        <f>TEXT(Table1[[#This Row],[Order_Date]],"mmm")</f>
        <v>Oct</v>
      </c>
      <c r="D1564" t="s">
        <v>3304</v>
      </c>
      <c r="E1564" t="s">
        <v>53</v>
      </c>
      <c r="F1564">
        <v>3</v>
      </c>
      <c r="G1564">
        <v>34495.54</v>
      </c>
      <c r="H1564">
        <v>103486.62</v>
      </c>
      <c r="I1564" t="s">
        <v>13</v>
      </c>
      <c r="J1564" t="s">
        <v>24</v>
      </c>
    </row>
    <row r="1565" spans="1:10" x14ac:dyDescent="0.35">
      <c r="A1565" t="s">
        <v>3305</v>
      </c>
      <c r="B1565" t="s">
        <v>3300</v>
      </c>
      <c r="C1565" t="str">
        <f>TEXT(Table1[[#This Row],[Order_Date]],"mmm")</f>
        <v>Oct</v>
      </c>
      <c r="D1565" t="s">
        <v>3306</v>
      </c>
      <c r="E1565" t="s">
        <v>12</v>
      </c>
      <c r="F1565">
        <v>4</v>
      </c>
      <c r="G1565">
        <v>24423.26</v>
      </c>
      <c r="H1565">
        <v>97693.04</v>
      </c>
      <c r="I1565" t="s">
        <v>18</v>
      </c>
      <c r="J1565" t="s">
        <v>14</v>
      </c>
    </row>
    <row r="1566" spans="1:10" x14ac:dyDescent="0.35">
      <c r="A1566" t="s">
        <v>3307</v>
      </c>
      <c r="B1566" t="s">
        <v>3300</v>
      </c>
      <c r="C1566" t="str">
        <f>TEXT(Table1[[#This Row],[Order_Date]],"mmm")</f>
        <v>Oct</v>
      </c>
      <c r="D1566" t="s">
        <v>3308</v>
      </c>
      <c r="E1566" t="s">
        <v>22</v>
      </c>
      <c r="F1566">
        <v>2</v>
      </c>
      <c r="G1566">
        <v>3156.25</v>
      </c>
      <c r="H1566">
        <v>6312.5</v>
      </c>
      <c r="I1566" t="s">
        <v>13</v>
      </c>
      <c r="J1566" t="s">
        <v>35</v>
      </c>
    </row>
    <row r="1567" spans="1:10" x14ac:dyDescent="0.35">
      <c r="A1567" t="s">
        <v>3309</v>
      </c>
      <c r="B1567" t="s">
        <v>3300</v>
      </c>
      <c r="C1567" t="str">
        <f>TEXT(Table1[[#This Row],[Order_Date]],"mmm")</f>
        <v>Oct</v>
      </c>
      <c r="D1567" t="s">
        <v>3310</v>
      </c>
      <c r="E1567" t="s">
        <v>47</v>
      </c>
      <c r="F1567">
        <v>5</v>
      </c>
      <c r="G1567">
        <v>24951.24</v>
      </c>
      <c r="H1567">
        <v>124756.2</v>
      </c>
      <c r="I1567" t="s">
        <v>42</v>
      </c>
      <c r="J1567" t="s">
        <v>35</v>
      </c>
    </row>
    <row r="1568" spans="1:10" x14ac:dyDescent="0.35">
      <c r="A1568" t="s">
        <v>3311</v>
      </c>
      <c r="B1568" t="s">
        <v>3312</v>
      </c>
      <c r="C1568" t="str">
        <f>TEXT(Table1[[#This Row],[Order_Date]],"mmm")</f>
        <v>Oct</v>
      </c>
      <c r="D1568" t="s">
        <v>2579</v>
      </c>
      <c r="E1568" t="s">
        <v>32</v>
      </c>
      <c r="F1568">
        <v>2</v>
      </c>
      <c r="G1568">
        <v>26996.99</v>
      </c>
      <c r="H1568">
        <v>53993.98</v>
      </c>
      <c r="I1568" t="s">
        <v>23</v>
      </c>
      <c r="J1568" t="s">
        <v>35</v>
      </c>
    </row>
    <row r="1569" spans="1:10" x14ac:dyDescent="0.35">
      <c r="A1569" t="s">
        <v>3313</v>
      </c>
      <c r="B1569" t="s">
        <v>3312</v>
      </c>
      <c r="C1569" t="str">
        <f>TEXT(Table1[[#This Row],[Order_Date]],"mmm")</f>
        <v>Oct</v>
      </c>
      <c r="D1569" t="s">
        <v>3314</v>
      </c>
      <c r="E1569" t="s">
        <v>17</v>
      </c>
      <c r="F1569">
        <v>4</v>
      </c>
      <c r="G1569">
        <v>37718.370000000003</v>
      </c>
      <c r="H1569">
        <v>150873.48000000001</v>
      </c>
      <c r="I1569" t="s">
        <v>42</v>
      </c>
      <c r="J1569" t="s">
        <v>19</v>
      </c>
    </row>
    <row r="1570" spans="1:10" x14ac:dyDescent="0.35">
      <c r="A1570" t="s">
        <v>3315</v>
      </c>
      <c r="B1570" t="s">
        <v>3312</v>
      </c>
      <c r="C1570" t="str">
        <f>TEXT(Table1[[#This Row],[Order_Date]],"mmm")</f>
        <v>Oct</v>
      </c>
      <c r="D1570" t="s">
        <v>3316</v>
      </c>
      <c r="E1570" t="s">
        <v>17</v>
      </c>
      <c r="F1570">
        <v>1</v>
      </c>
      <c r="G1570">
        <v>46223.79</v>
      </c>
      <c r="H1570">
        <v>46223.79</v>
      </c>
      <c r="I1570" t="s">
        <v>42</v>
      </c>
      <c r="J1570" t="s">
        <v>35</v>
      </c>
    </row>
    <row r="1571" spans="1:10" x14ac:dyDescent="0.35">
      <c r="A1571" t="s">
        <v>3317</v>
      </c>
      <c r="B1571" t="s">
        <v>3312</v>
      </c>
      <c r="C1571" t="str">
        <f>TEXT(Table1[[#This Row],[Order_Date]],"mmm")</f>
        <v>Oct</v>
      </c>
      <c r="D1571" t="s">
        <v>3318</v>
      </c>
      <c r="E1571" t="s">
        <v>12</v>
      </c>
      <c r="F1571">
        <v>2</v>
      </c>
      <c r="G1571">
        <v>5337.83</v>
      </c>
      <c r="H1571">
        <v>10675.66</v>
      </c>
      <c r="I1571" t="s">
        <v>23</v>
      </c>
      <c r="J1571" t="s">
        <v>35</v>
      </c>
    </row>
    <row r="1572" spans="1:10" x14ac:dyDescent="0.35">
      <c r="A1572" t="s">
        <v>3319</v>
      </c>
      <c r="B1572" t="s">
        <v>3312</v>
      </c>
      <c r="C1572" t="str">
        <f>TEXT(Table1[[#This Row],[Order_Date]],"mmm")</f>
        <v>Oct</v>
      </c>
      <c r="D1572" t="s">
        <v>3320</v>
      </c>
      <c r="E1572" t="s">
        <v>47</v>
      </c>
      <c r="F1572">
        <v>4</v>
      </c>
      <c r="G1572">
        <v>41270.589999999997</v>
      </c>
      <c r="H1572">
        <v>165082.35999999999</v>
      </c>
      <c r="I1572" t="s">
        <v>42</v>
      </c>
      <c r="J1572" t="s">
        <v>14</v>
      </c>
    </row>
    <row r="1573" spans="1:10" x14ac:dyDescent="0.35">
      <c r="A1573" t="s">
        <v>3321</v>
      </c>
      <c r="B1573" t="s">
        <v>3312</v>
      </c>
      <c r="C1573" t="str">
        <f>TEXT(Table1[[#This Row],[Order_Date]],"mmm")</f>
        <v>Oct</v>
      </c>
      <c r="D1573" t="s">
        <v>1139</v>
      </c>
      <c r="E1573" t="s">
        <v>17</v>
      </c>
      <c r="F1573">
        <v>1</v>
      </c>
      <c r="G1573">
        <v>23095.67</v>
      </c>
      <c r="H1573">
        <v>23095.67</v>
      </c>
      <c r="I1573" t="s">
        <v>42</v>
      </c>
      <c r="J1573" t="s">
        <v>19</v>
      </c>
    </row>
    <row r="1574" spans="1:10" x14ac:dyDescent="0.35">
      <c r="A1574" t="s">
        <v>3322</v>
      </c>
      <c r="B1574" t="s">
        <v>3312</v>
      </c>
      <c r="C1574" t="str">
        <f>TEXT(Table1[[#This Row],[Order_Date]],"mmm")</f>
        <v>Oct</v>
      </c>
      <c r="D1574" t="s">
        <v>1468</v>
      </c>
      <c r="E1574" t="s">
        <v>38</v>
      </c>
      <c r="F1574">
        <v>5</v>
      </c>
      <c r="G1574">
        <v>8179.88</v>
      </c>
      <c r="H1574">
        <v>40899.4</v>
      </c>
      <c r="I1574" t="s">
        <v>18</v>
      </c>
      <c r="J1574" t="s">
        <v>14</v>
      </c>
    </row>
    <row r="1575" spans="1:10" x14ac:dyDescent="0.35">
      <c r="A1575" t="s">
        <v>3323</v>
      </c>
      <c r="B1575" t="s">
        <v>3324</v>
      </c>
      <c r="C1575" t="str">
        <f>TEXT(Table1[[#This Row],[Order_Date]],"mmm")</f>
        <v>Oct</v>
      </c>
      <c r="D1575" t="s">
        <v>3325</v>
      </c>
      <c r="E1575" t="s">
        <v>56</v>
      </c>
      <c r="F1575">
        <v>1</v>
      </c>
      <c r="G1575">
        <v>1398.42</v>
      </c>
      <c r="H1575">
        <v>1398.42</v>
      </c>
      <c r="I1575" t="s">
        <v>42</v>
      </c>
      <c r="J1575" t="s">
        <v>19</v>
      </c>
    </row>
    <row r="1576" spans="1:10" x14ac:dyDescent="0.35">
      <c r="A1576" t="s">
        <v>3326</v>
      </c>
      <c r="B1576" t="s">
        <v>3324</v>
      </c>
      <c r="C1576" t="str">
        <f>TEXT(Table1[[#This Row],[Order_Date]],"mmm")</f>
        <v>Oct</v>
      </c>
      <c r="D1576" t="s">
        <v>3327</v>
      </c>
      <c r="E1576" t="s">
        <v>32</v>
      </c>
      <c r="F1576">
        <v>3</v>
      </c>
      <c r="G1576">
        <v>17526.23</v>
      </c>
      <c r="H1576">
        <v>52578.69</v>
      </c>
      <c r="I1576" t="s">
        <v>23</v>
      </c>
      <c r="J1576" t="s">
        <v>35</v>
      </c>
    </row>
    <row r="1577" spans="1:10" x14ac:dyDescent="0.35">
      <c r="A1577" t="s">
        <v>3328</v>
      </c>
      <c r="B1577" t="s">
        <v>3324</v>
      </c>
      <c r="C1577" t="str">
        <f>TEXT(Table1[[#This Row],[Order_Date]],"mmm")</f>
        <v>Oct</v>
      </c>
      <c r="D1577" t="s">
        <v>1927</v>
      </c>
      <c r="E1577" t="s">
        <v>12</v>
      </c>
      <c r="F1577">
        <v>3</v>
      </c>
      <c r="G1577">
        <v>29112.09</v>
      </c>
      <c r="H1577">
        <v>87336.27</v>
      </c>
      <c r="I1577" t="s">
        <v>42</v>
      </c>
      <c r="J1577" t="s">
        <v>14</v>
      </c>
    </row>
    <row r="1578" spans="1:10" x14ac:dyDescent="0.35">
      <c r="A1578" t="s">
        <v>3329</v>
      </c>
      <c r="B1578" t="s">
        <v>3324</v>
      </c>
      <c r="C1578" t="str">
        <f>TEXT(Table1[[#This Row],[Order_Date]],"mmm")</f>
        <v>Oct</v>
      </c>
      <c r="D1578" t="s">
        <v>3330</v>
      </c>
      <c r="E1578" t="s">
        <v>22</v>
      </c>
      <c r="F1578">
        <v>4</v>
      </c>
      <c r="G1578">
        <v>5406.54</v>
      </c>
      <c r="H1578">
        <v>21626.16</v>
      </c>
      <c r="I1578" t="s">
        <v>23</v>
      </c>
      <c r="J1578" t="s">
        <v>19</v>
      </c>
    </row>
    <row r="1579" spans="1:10" x14ac:dyDescent="0.35">
      <c r="A1579" t="s">
        <v>3331</v>
      </c>
      <c r="B1579" t="s">
        <v>3332</v>
      </c>
      <c r="C1579" t="str">
        <f>TEXT(Table1[[#This Row],[Order_Date]],"mmm")</f>
        <v>Oct</v>
      </c>
      <c r="D1579" t="s">
        <v>3333</v>
      </c>
      <c r="E1579" t="s">
        <v>72</v>
      </c>
      <c r="F1579">
        <v>4</v>
      </c>
      <c r="G1579">
        <v>37077.050000000003</v>
      </c>
      <c r="H1579">
        <v>148308.20000000001</v>
      </c>
      <c r="I1579" t="s">
        <v>18</v>
      </c>
      <c r="J1579" t="s">
        <v>35</v>
      </c>
    </row>
    <row r="1580" spans="1:10" x14ac:dyDescent="0.35">
      <c r="A1580" t="s">
        <v>3334</v>
      </c>
      <c r="B1580" t="s">
        <v>3332</v>
      </c>
      <c r="C1580" t="str">
        <f>TEXT(Table1[[#This Row],[Order_Date]],"mmm")</f>
        <v>Oct</v>
      </c>
      <c r="D1580" t="s">
        <v>3335</v>
      </c>
      <c r="E1580" t="s">
        <v>38</v>
      </c>
      <c r="F1580">
        <v>2</v>
      </c>
      <c r="G1580">
        <v>34831.99</v>
      </c>
      <c r="H1580">
        <v>69663.98</v>
      </c>
      <c r="I1580" t="s">
        <v>18</v>
      </c>
      <c r="J1580" t="s">
        <v>24</v>
      </c>
    </row>
    <row r="1581" spans="1:10" x14ac:dyDescent="0.35">
      <c r="A1581" t="s">
        <v>3336</v>
      </c>
      <c r="B1581" t="s">
        <v>3332</v>
      </c>
      <c r="C1581" t="str">
        <f>TEXT(Table1[[#This Row],[Order_Date]],"mmm")</f>
        <v>Oct</v>
      </c>
      <c r="D1581" t="s">
        <v>3337</v>
      </c>
      <c r="E1581" t="s">
        <v>38</v>
      </c>
      <c r="F1581">
        <v>1</v>
      </c>
      <c r="G1581">
        <v>21620.53</v>
      </c>
      <c r="H1581">
        <v>21620.53</v>
      </c>
      <c r="I1581" t="s">
        <v>13</v>
      </c>
      <c r="J1581" t="s">
        <v>19</v>
      </c>
    </row>
    <row r="1582" spans="1:10" x14ac:dyDescent="0.35">
      <c r="A1582" t="s">
        <v>3338</v>
      </c>
      <c r="B1582" t="s">
        <v>3332</v>
      </c>
      <c r="C1582" t="str">
        <f>TEXT(Table1[[#This Row],[Order_Date]],"mmm")</f>
        <v>Oct</v>
      </c>
      <c r="D1582" t="s">
        <v>3339</v>
      </c>
      <c r="E1582" t="s">
        <v>38</v>
      </c>
      <c r="F1582">
        <v>1</v>
      </c>
      <c r="G1582">
        <v>30062.25</v>
      </c>
      <c r="H1582">
        <v>30062.25</v>
      </c>
      <c r="I1582" t="s">
        <v>18</v>
      </c>
      <c r="J1582" t="s">
        <v>14</v>
      </c>
    </row>
    <row r="1583" spans="1:10" x14ac:dyDescent="0.35">
      <c r="A1583" t="s">
        <v>3340</v>
      </c>
      <c r="B1583" t="s">
        <v>3332</v>
      </c>
      <c r="C1583" t="str">
        <f>TEXT(Table1[[#This Row],[Order_Date]],"mmm")</f>
        <v>Oct</v>
      </c>
      <c r="D1583" t="s">
        <v>3341</v>
      </c>
      <c r="E1583" t="s">
        <v>17</v>
      </c>
      <c r="F1583">
        <v>1</v>
      </c>
      <c r="G1583">
        <v>12877.43</v>
      </c>
      <c r="H1583">
        <v>12877.43</v>
      </c>
      <c r="I1583" t="s">
        <v>23</v>
      </c>
      <c r="J1583" t="s">
        <v>24</v>
      </c>
    </row>
    <row r="1584" spans="1:10" x14ac:dyDescent="0.35">
      <c r="A1584" t="s">
        <v>3342</v>
      </c>
      <c r="B1584" t="s">
        <v>3343</v>
      </c>
      <c r="C1584" t="str">
        <f>TEXT(Table1[[#This Row],[Order_Date]],"mmm")</f>
        <v>Oct</v>
      </c>
      <c r="D1584" t="s">
        <v>3344</v>
      </c>
      <c r="E1584" t="s">
        <v>72</v>
      </c>
      <c r="F1584">
        <v>3</v>
      </c>
      <c r="G1584">
        <v>14809.31</v>
      </c>
      <c r="H1584">
        <v>44427.93</v>
      </c>
      <c r="I1584" t="s">
        <v>13</v>
      </c>
      <c r="J1584" t="s">
        <v>14</v>
      </c>
    </row>
    <row r="1585" spans="1:10" x14ac:dyDescent="0.35">
      <c r="A1585" t="s">
        <v>3345</v>
      </c>
      <c r="B1585" t="s">
        <v>3343</v>
      </c>
      <c r="C1585" t="str">
        <f>TEXT(Table1[[#This Row],[Order_Date]],"mmm")</f>
        <v>Oct</v>
      </c>
      <c r="D1585" t="s">
        <v>3346</v>
      </c>
      <c r="E1585" t="s">
        <v>75</v>
      </c>
      <c r="F1585">
        <v>3</v>
      </c>
      <c r="G1585">
        <v>11014.68</v>
      </c>
      <c r="H1585">
        <v>33044.04</v>
      </c>
      <c r="I1585" t="s">
        <v>23</v>
      </c>
      <c r="J1585" t="s">
        <v>24</v>
      </c>
    </row>
    <row r="1586" spans="1:10" x14ac:dyDescent="0.35">
      <c r="A1586" t="s">
        <v>3347</v>
      </c>
      <c r="B1586" t="s">
        <v>3343</v>
      </c>
      <c r="C1586" t="str">
        <f>TEXT(Table1[[#This Row],[Order_Date]],"mmm")</f>
        <v>Oct</v>
      </c>
      <c r="D1586" t="s">
        <v>3348</v>
      </c>
      <c r="E1586" t="s">
        <v>38</v>
      </c>
      <c r="F1586">
        <v>5</v>
      </c>
      <c r="G1586">
        <v>7353.17</v>
      </c>
      <c r="H1586">
        <v>36765.85</v>
      </c>
      <c r="I1586" t="s">
        <v>18</v>
      </c>
      <c r="J1586" t="s">
        <v>19</v>
      </c>
    </row>
    <row r="1587" spans="1:10" x14ac:dyDescent="0.35">
      <c r="A1587" t="s">
        <v>3349</v>
      </c>
      <c r="B1587" t="s">
        <v>3350</v>
      </c>
      <c r="C1587" t="str">
        <f>TEXT(Table1[[#This Row],[Order_Date]],"mmm")</f>
        <v>Oct</v>
      </c>
      <c r="D1587" t="s">
        <v>520</v>
      </c>
      <c r="E1587" t="s">
        <v>32</v>
      </c>
      <c r="F1587">
        <v>2</v>
      </c>
      <c r="G1587">
        <v>46489.58</v>
      </c>
      <c r="H1587">
        <v>92979.16</v>
      </c>
      <c r="I1587" t="s">
        <v>42</v>
      </c>
      <c r="J1587" t="s">
        <v>14</v>
      </c>
    </row>
    <row r="1588" spans="1:10" x14ac:dyDescent="0.35">
      <c r="A1588" t="s">
        <v>3351</v>
      </c>
      <c r="B1588" t="s">
        <v>3350</v>
      </c>
      <c r="C1588" t="str">
        <f>TEXT(Table1[[#This Row],[Order_Date]],"mmm")</f>
        <v>Oct</v>
      </c>
      <c r="D1588" t="s">
        <v>3352</v>
      </c>
      <c r="E1588" t="s">
        <v>17</v>
      </c>
      <c r="F1588">
        <v>3</v>
      </c>
      <c r="G1588">
        <v>33522.19</v>
      </c>
      <c r="H1588">
        <v>100566.57</v>
      </c>
      <c r="I1588" t="s">
        <v>18</v>
      </c>
      <c r="J1588" t="s">
        <v>24</v>
      </c>
    </row>
    <row r="1589" spans="1:10" x14ac:dyDescent="0.35">
      <c r="A1589" t="s">
        <v>3353</v>
      </c>
      <c r="B1589" t="s">
        <v>3350</v>
      </c>
      <c r="C1589" t="str">
        <f>TEXT(Table1[[#This Row],[Order_Date]],"mmm")</f>
        <v>Oct</v>
      </c>
      <c r="D1589" t="s">
        <v>34</v>
      </c>
      <c r="E1589" t="s">
        <v>17</v>
      </c>
      <c r="F1589">
        <v>5</v>
      </c>
      <c r="G1589">
        <v>17203.189999999999</v>
      </c>
      <c r="H1589">
        <v>86015.95</v>
      </c>
      <c r="I1589" t="s">
        <v>23</v>
      </c>
      <c r="J1589" t="s">
        <v>24</v>
      </c>
    </row>
    <row r="1590" spans="1:10" x14ac:dyDescent="0.35">
      <c r="A1590" t="s">
        <v>3354</v>
      </c>
      <c r="B1590" t="s">
        <v>3355</v>
      </c>
      <c r="C1590" t="str">
        <f>TEXT(Table1[[#This Row],[Order_Date]],"mmm")</f>
        <v>Oct</v>
      </c>
      <c r="D1590" t="s">
        <v>3356</v>
      </c>
      <c r="E1590" t="s">
        <v>47</v>
      </c>
      <c r="F1590">
        <v>5</v>
      </c>
      <c r="G1590">
        <v>18307.490000000002</v>
      </c>
      <c r="H1590">
        <v>91537.45</v>
      </c>
      <c r="I1590" t="s">
        <v>13</v>
      </c>
      <c r="J1590" t="s">
        <v>35</v>
      </c>
    </row>
    <row r="1591" spans="1:10" x14ac:dyDescent="0.35">
      <c r="A1591" t="s">
        <v>3357</v>
      </c>
      <c r="B1591" t="s">
        <v>3355</v>
      </c>
      <c r="C1591" t="str">
        <f>TEXT(Table1[[#This Row],[Order_Date]],"mmm")</f>
        <v>Oct</v>
      </c>
      <c r="D1591" t="s">
        <v>3358</v>
      </c>
      <c r="E1591" t="s">
        <v>17</v>
      </c>
      <c r="F1591">
        <v>5</v>
      </c>
      <c r="G1591">
        <v>46095.91</v>
      </c>
      <c r="H1591">
        <v>230479.55</v>
      </c>
      <c r="I1591" t="s">
        <v>42</v>
      </c>
      <c r="J1591" t="s">
        <v>19</v>
      </c>
    </row>
    <row r="1592" spans="1:10" x14ac:dyDescent="0.35">
      <c r="A1592" t="s">
        <v>3359</v>
      </c>
      <c r="B1592" t="s">
        <v>3355</v>
      </c>
      <c r="C1592" t="str">
        <f>TEXT(Table1[[#This Row],[Order_Date]],"mmm")</f>
        <v>Oct</v>
      </c>
      <c r="D1592" t="s">
        <v>3360</v>
      </c>
      <c r="E1592" t="s">
        <v>22</v>
      </c>
      <c r="F1592">
        <v>3</v>
      </c>
      <c r="G1592">
        <v>39979.129999999997</v>
      </c>
      <c r="H1592">
        <v>119937.39</v>
      </c>
      <c r="I1592" t="s">
        <v>13</v>
      </c>
      <c r="J1592" t="s">
        <v>14</v>
      </c>
    </row>
    <row r="1593" spans="1:10" x14ac:dyDescent="0.35">
      <c r="A1593" t="s">
        <v>3361</v>
      </c>
      <c r="B1593" t="s">
        <v>3355</v>
      </c>
      <c r="C1593" t="str">
        <f>TEXT(Table1[[#This Row],[Order_Date]],"mmm")</f>
        <v>Oct</v>
      </c>
      <c r="D1593" t="s">
        <v>680</v>
      </c>
      <c r="E1593" t="s">
        <v>38</v>
      </c>
      <c r="F1593">
        <v>5</v>
      </c>
      <c r="G1593">
        <v>2268.21</v>
      </c>
      <c r="H1593">
        <v>11341.05</v>
      </c>
      <c r="I1593" t="s">
        <v>42</v>
      </c>
      <c r="J1593" t="s">
        <v>19</v>
      </c>
    </row>
    <row r="1594" spans="1:10" x14ac:dyDescent="0.35">
      <c r="A1594" t="s">
        <v>3362</v>
      </c>
      <c r="B1594" t="s">
        <v>3355</v>
      </c>
      <c r="C1594" t="str">
        <f>TEXT(Table1[[#This Row],[Order_Date]],"mmm")</f>
        <v>Oct</v>
      </c>
      <c r="D1594" t="s">
        <v>2705</v>
      </c>
      <c r="E1594" t="s">
        <v>32</v>
      </c>
      <c r="F1594">
        <v>4</v>
      </c>
      <c r="G1594">
        <v>39756.160000000003</v>
      </c>
      <c r="H1594">
        <v>159024.64000000001</v>
      </c>
      <c r="I1594" t="s">
        <v>23</v>
      </c>
      <c r="J1594" t="s">
        <v>14</v>
      </c>
    </row>
    <row r="1595" spans="1:10" x14ac:dyDescent="0.35">
      <c r="A1595" t="s">
        <v>3363</v>
      </c>
      <c r="B1595" t="s">
        <v>3355</v>
      </c>
      <c r="C1595" t="str">
        <f>TEXT(Table1[[#This Row],[Order_Date]],"mmm")</f>
        <v>Oct</v>
      </c>
      <c r="D1595" t="s">
        <v>3364</v>
      </c>
      <c r="E1595" t="s">
        <v>38</v>
      </c>
      <c r="F1595">
        <v>3</v>
      </c>
      <c r="G1595">
        <v>29265.52</v>
      </c>
      <c r="H1595">
        <v>87796.56</v>
      </c>
      <c r="I1595" t="s">
        <v>42</v>
      </c>
      <c r="J1595" t="s">
        <v>14</v>
      </c>
    </row>
    <row r="1596" spans="1:10" x14ac:dyDescent="0.35">
      <c r="A1596" t="s">
        <v>3365</v>
      </c>
      <c r="B1596" t="s">
        <v>3355</v>
      </c>
      <c r="C1596" t="str">
        <f>TEXT(Table1[[#This Row],[Order_Date]],"mmm")</f>
        <v>Oct</v>
      </c>
      <c r="D1596" t="s">
        <v>3366</v>
      </c>
      <c r="E1596" t="s">
        <v>75</v>
      </c>
      <c r="F1596">
        <v>1</v>
      </c>
      <c r="G1596">
        <v>22973.040000000001</v>
      </c>
      <c r="H1596">
        <v>22973.040000000001</v>
      </c>
      <c r="I1596" t="s">
        <v>23</v>
      </c>
      <c r="J1596" t="s">
        <v>24</v>
      </c>
    </row>
    <row r="1597" spans="1:10" x14ac:dyDescent="0.35">
      <c r="A1597" t="s">
        <v>3367</v>
      </c>
      <c r="B1597" t="s">
        <v>3355</v>
      </c>
      <c r="C1597" t="str">
        <f>TEXT(Table1[[#This Row],[Order_Date]],"mmm")</f>
        <v>Oct</v>
      </c>
      <c r="D1597" t="s">
        <v>3368</v>
      </c>
      <c r="E1597" t="s">
        <v>38</v>
      </c>
      <c r="F1597">
        <v>4</v>
      </c>
      <c r="G1597">
        <v>23763.13</v>
      </c>
      <c r="H1597">
        <v>95052.52</v>
      </c>
      <c r="I1597" t="s">
        <v>13</v>
      </c>
      <c r="J1597" t="s">
        <v>24</v>
      </c>
    </row>
    <row r="1598" spans="1:10" x14ac:dyDescent="0.35">
      <c r="A1598" t="s">
        <v>3369</v>
      </c>
      <c r="B1598" t="s">
        <v>3370</v>
      </c>
      <c r="C1598" t="str">
        <f>TEXT(Table1[[#This Row],[Order_Date]],"mmm")</f>
        <v>Oct</v>
      </c>
      <c r="D1598" t="s">
        <v>1753</v>
      </c>
      <c r="E1598" t="s">
        <v>17</v>
      </c>
      <c r="F1598">
        <v>2</v>
      </c>
      <c r="G1598">
        <v>42432.52</v>
      </c>
      <c r="H1598">
        <v>84865.04</v>
      </c>
      <c r="I1598" t="s">
        <v>13</v>
      </c>
      <c r="J1598" t="s">
        <v>19</v>
      </c>
    </row>
    <row r="1599" spans="1:10" x14ac:dyDescent="0.35">
      <c r="A1599" t="s">
        <v>3371</v>
      </c>
      <c r="B1599" t="s">
        <v>3370</v>
      </c>
      <c r="C1599" t="str">
        <f>TEXT(Table1[[#This Row],[Order_Date]],"mmm")</f>
        <v>Oct</v>
      </c>
      <c r="D1599" t="s">
        <v>3372</v>
      </c>
      <c r="E1599" t="s">
        <v>38</v>
      </c>
      <c r="F1599">
        <v>4</v>
      </c>
      <c r="G1599">
        <v>4000.84</v>
      </c>
      <c r="H1599">
        <v>16003.36</v>
      </c>
      <c r="I1599" t="s">
        <v>18</v>
      </c>
      <c r="J1599" t="s">
        <v>14</v>
      </c>
    </row>
    <row r="1600" spans="1:10" x14ac:dyDescent="0.35">
      <c r="A1600" t="s">
        <v>3373</v>
      </c>
      <c r="B1600" t="s">
        <v>3370</v>
      </c>
      <c r="C1600" t="str">
        <f>TEXT(Table1[[#This Row],[Order_Date]],"mmm")</f>
        <v>Oct</v>
      </c>
      <c r="D1600" t="s">
        <v>3374</v>
      </c>
      <c r="E1600" t="s">
        <v>22</v>
      </c>
      <c r="F1600">
        <v>4</v>
      </c>
      <c r="G1600">
        <v>16805.63</v>
      </c>
      <c r="H1600">
        <v>67222.52</v>
      </c>
      <c r="I1600" t="s">
        <v>23</v>
      </c>
      <c r="J1600" t="s">
        <v>19</v>
      </c>
    </row>
    <row r="1601" spans="1:10" x14ac:dyDescent="0.35">
      <c r="A1601" t="s">
        <v>3375</v>
      </c>
      <c r="B1601" t="s">
        <v>3370</v>
      </c>
      <c r="C1601" t="str">
        <f>TEXT(Table1[[#This Row],[Order_Date]],"mmm")</f>
        <v>Oct</v>
      </c>
      <c r="D1601" t="s">
        <v>3376</v>
      </c>
      <c r="E1601" t="s">
        <v>38</v>
      </c>
      <c r="F1601">
        <v>4</v>
      </c>
      <c r="G1601">
        <v>33965.75</v>
      </c>
      <c r="H1601">
        <v>135863</v>
      </c>
      <c r="I1601" t="s">
        <v>23</v>
      </c>
      <c r="J1601" t="s">
        <v>24</v>
      </c>
    </row>
    <row r="1602" spans="1:10" x14ac:dyDescent="0.35">
      <c r="A1602" t="s">
        <v>3377</v>
      </c>
      <c r="B1602" t="s">
        <v>3378</v>
      </c>
      <c r="C1602" t="str">
        <f>TEXT(Table1[[#This Row],[Order_Date]],"mmm")</f>
        <v>Oct</v>
      </c>
      <c r="D1602" t="s">
        <v>3379</v>
      </c>
      <c r="E1602" t="s">
        <v>72</v>
      </c>
      <c r="F1602">
        <v>4</v>
      </c>
      <c r="G1602">
        <v>36623.24</v>
      </c>
      <c r="H1602">
        <v>146492.96</v>
      </c>
      <c r="I1602" t="s">
        <v>18</v>
      </c>
      <c r="J1602" t="s">
        <v>14</v>
      </c>
    </row>
    <row r="1603" spans="1:10" x14ac:dyDescent="0.35">
      <c r="A1603" t="s">
        <v>3380</v>
      </c>
      <c r="B1603" t="s">
        <v>3378</v>
      </c>
      <c r="C1603" t="str">
        <f>TEXT(Table1[[#This Row],[Order_Date]],"mmm")</f>
        <v>Oct</v>
      </c>
      <c r="D1603" t="s">
        <v>1372</v>
      </c>
      <c r="E1603" t="s">
        <v>53</v>
      </c>
      <c r="F1603">
        <v>2</v>
      </c>
      <c r="G1603">
        <v>47712.480000000003</v>
      </c>
      <c r="H1603">
        <v>95424.960000000006</v>
      </c>
      <c r="I1603" t="s">
        <v>13</v>
      </c>
      <c r="J1603" t="s">
        <v>24</v>
      </c>
    </row>
    <row r="1604" spans="1:10" x14ac:dyDescent="0.35">
      <c r="A1604" t="s">
        <v>3381</v>
      </c>
      <c r="B1604" t="s">
        <v>3378</v>
      </c>
      <c r="C1604" t="str">
        <f>TEXT(Table1[[#This Row],[Order_Date]],"mmm")</f>
        <v>Oct</v>
      </c>
      <c r="D1604" t="s">
        <v>3382</v>
      </c>
      <c r="E1604" t="s">
        <v>17</v>
      </c>
      <c r="F1604">
        <v>4</v>
      </c>
      <c r="G1604">
        <v>42183.29</v>
      </c>
      <c r="H1604">
        <v>168733.16</v>
      </c>
      <c r="I1604" t="s">
        <v>42</v>
      </c>
      <c r="J1604" t="s">
        <v>24</v>
      </c>
    </row>
    <row r="1605" spans="1:10" x14ac:dyDescent="0.35">
      <c r="A1605" t="s">
        <v>3383</v>
      </c>
      <c r="B1605" t="s">
        <v>3384</v>
      </c>
      <c r="C1605" t="str">
        <f>TEXT(Table1[[#This Row],[Order_Date]],"mmm")</f>
        <v>Oct</v>
      </c>
      <c r="D1605" t="s">
        <v>3385</v>
      </c>
      <c r="E1605" t="s">
        <v>17</v>
      </c>
      <c r="F1605">
        <v>2</v>
      </c>
      <c r="G1605">
        <v>35457.43</v>
      </c>
      <c r="H1605">
        <v>70914.86</v>
      </c>
      <c r="I1605" t="s">
        <v>42</v>
      </c>
      <c r="J1605" t="s">
        <v>14</v>
      </c>
    </row>
    <row r="1606" spans="1:10" x14ac:dyDescent="0.35">
      <c r="A1606" t="s">
        <v>3386</v>
      </c>
      <c r="B1606" t="s">
        <v>3384</v>
      </c>
      <c r="C1606" t="str">
        <f>TEXT(Table1[[#This Row],[Order_Date]],"mmm")</f>
        <v>Oct</v>
      </c>
      <c r="D1606" t="s">
        <v>2377</v>
      </c>
      <c r="E1606" t="s">
        <v>12</v>
      </c>
      <c r="F1606">
        <v>5</v>
      </c>
      <c r="G1606">
        <v>18154.23</v>
      </c>
      <c r="H1606">
        <v>90771.15</v>
      </c>
      <c r="I1606" t="s">
        <v>23</v>
      </c>
      <c r="J1606" t="s">
        <v>14</v>
      </c>
    </row>
    <row r="1607" spans="1:10" x14ac:dyDescent="0.35">
      <c r="A1607" t="s">
        <v>3387</v>
      </c>
      <c r="B1607" t="s">
        <v>3384</v>
      </c>
      <c r="C1607" t="str">
        <f>TEXT(Table1[[#This Row],[Order_Date]],"mmm")</f>
        <v>Oct</v>
      </c>
      <c r="D1607" t="s">
        <v>3388</v>
      </c>
      <c r="E1607" t="s">
        <v>72</v>
      </c>
      <c r="F1607">
        <v>3</v>
      </c>
      <c r="G1607">
        <v>44280.06</v>
      </c>
      <c r="H1607">
        <v>132840.18</v>
      </c>
      <c r="I1607" t="s">
        <v>23</v>
      </c>
      <c r="J1607" t="s">
        <v>19</v>
      </c>
    </row>
    <row r="1608" spans="1:10" x14ac:dyDescent="0.35">
      <c r="A1608" t="s">
        <v>3389</v>
      </c>
      <c r="B1608" t="s">
        <v>3384</v>
      </c>
      <c r="C1608" t="str">
        <f>TEXT(Table1[[#This Row],[Order_Date]],"mmm")</f>
        <v>Oct</v>
      </c>
      <c r="D1608" t="s">
        <v>3390</v>
      </c>
      <c r="E1608" t="s">
        <v>12</v>
      </c>
      <c r="F1608">
        <v>1</v>
      </c>
      <c r="G1608">
        <v>46250.65</v>
      </c>
      <c r="H1608">
        <v>46250.65</v>
      </c>
      <c r="I1608" t="s">
        <v>13</v>
      </c>
      <c r="J1608" t="s">
        <v>35</v>
      </c>
    </row>
    <row r="1609" spans="1:10" x14ac:dyDescent="0.35">
      <c r="A1609" t="s">
        <v>3391</v>
      </c>
      <c r="B1609" t="s">
        <v>3384</v>
      </c>
      <c r="C1609" t="str">
        <f>TEXT(Table1[[#This Row],[Order_Date]],"mmm")</f>
        <v>Oct</v>
      </c>
      <c r="D1609" t="s">
        <v>3392</v>
      </c>
      <c r="E1609" t="s">
        <v>72</v>
      </c>
      <c r="F1609">
        <v>1</v>
      </c>
      <c r="G1609">
        <v>1305.29</v>
      </c>
      <c r="H1609">
        <v>1305.29</v>
      </c>
      <c r="I1609" t="s">
        <v>23</v>
      </c>
      <c r="J1609" t="s">
        <v>19</v>
      </c>
    </row>
    <row r="1610" spans="1:10" x14ac:dyDescent="0.35">
      <c r="A1610" t="s">
        <v>3393</v>
      </c>
      <c r="B1610" t="s">
        <v>3384</v>
      </c>
      <c r="C1610" t="str">
        <f>TEXT(Table1[[#This Row],[Order_Date]],"mmm")</f>
        <v>Oct</v>
      </c>
      <c r="D1610" t="s">
        <v>1656</v>
      </c>
      <c r="E1610" t="s">
        <v>53</v>
      </c>
      <c r="F1610">
        <v>5</v>
      </c>
      <c r="G1610">
        <v>14515.71</v>
      </c>
      <c r="H1610">
        <v>72578.55</v>
      </c>
      <c r="I1610" t="s">
        <v>18</v>
      </c>
      <c r="J1610" t="s">
        <v>14</v>
      </c>
    </row>
    <row r="1611" spans="1:10" x14ac:dyDescent="0.35">
      <c r="A1611" t="s">
        <v>3394</v>
      </c>
      <c r="B1611" t="s">
        <v>3395</v>
      </c>
      <c r="C1611" t="str">
        <f>TEXT(Table1[[#This Row],[Order_Date]],"mmm")</f>
        <v>Oct</v>
      </c>
      <c r="D1611" t="s">
        <v>3396</v>
      </c>
      <c r="E1611" t="s">
        <v>17</v>
      </c>
      <c r="F1611">
        <v>4</v>
      </c>
      <c r="G1611">
        <v>49679.71</v>
      </c>
      <c r="H1611">
        <v>198718.84</v>
      </c>
      <c r="I1611" t="s">
        <v>42</v>
      </c>
      <c r="J1611" t="s">
        <v>19</v>
      </c>
    </row>
    <row r="1612" spans="1:10" x14ac:dyDescent="0.35">
      <c r="A1612" t="s">
        <v>3397</v>
      </c>
      <c r="B1612" t="s">
        <v>3395</v>
      </c>
      <c r="C1612" t="str">
        <f>TEXT(Table1[[#This Row],[Order_Date]],"mmm")</f>
        <v>Oct</v>
      </c>
      <c r="D1612" t="s">
        <v>1477</v>
      </c>
      <c r="E1612" t="s">
        <v>72</v>
      </c>
      <c r="F1612">
        <v>2</v>
      </c>
      <c r="G1612">
        <v>14864.88</v>
      </c>
      <c r="H1612">
        <v>29729.759999999998</v>
      </c>
      <c r="I1612" t="s">
        <v>13</v>
      </c>
      <c r="J1612" t="s">
        <v>19</v>
      </c>
    </row>
    <row r="1613" spans="1:10" x14ac:dyDescent="0.35">
      <c r="A1613" t="s">
        <v>3398</v>
      </c>
      <c r="B1613" t="s">
        <v>3395</v>
      </c>
      <c r="C1613" t="str">
        <f>TEXT(Table1[[#This Row],[Order_Date]],"mmm")</f>
        <v>Oct</v>
      </c>
      <c r="D1613" t="s">
        <v>3399</v>
      </c>
      <c r="E1613" t="s">
        <v>38</v>
      </c>
      <c r="F1613">
        <v>1</v>
      </c>
      <c r="G1613">
        <v>4485.28</v>
      </c>
      <c r="H1613">
        <v>4485.28</v>
      </c>
      <c r="I1613" t="s">
        <v>13</v>
      </c>
      <c r="J1613" t="s">
        <v>35</v>
      </c>
    </row>
    <row r="1614" spans="1:10" x14ac:dyDescent="0.35">
      <c r="A1614" t="s">
        <v>3400</v>
      </c>
      <c r="B1614" t="s">
        <v>3395</v>
      </c>
      <c r="C1614" t="str">
        <f>TEXT(Table1[[#This Row],[Order_Date]],"mmm")</f>
        <v>Oct</v>
      </c>
      <c r="D1614" t="s">
        <v>3401</v>
      </c>
      <c r="E1614" t="s">
        <v>38</v>
      </c>
      <c r="F1614">
        <v>5</v>
      </c>
      <c r="G1614">
        <v>36578.879999999997</v>
      </c>
      <c r="H1614">
        <v>182894.4</v>
      </c>
      <c r="I1614" t="s">
        <v>23</v>
      </c>
      <c r="J1614" t="s">
        <v>14</v>
      </c>
    </row>
    <row r="1615" spans="1:10" x14ac:dyDescent="0.35">
      <c r="A1615" t="s">
        <v>3402</v>
      </c>
      <c r="B1615" t="s">
        <v>3395</v>
      </c>
      <c r="C1615" t="str">
        <f>TEXT(Table1[[#This Row],[Order_Date]],"mmm")</f>
        <v>Oct</v>
      </c>
      <c r="D1615" t="s">
        <v>934</v>
      </c>
      <c r="E1615" t="s">
        <v>47</v>
      </c>
      <c r="F1615">
        <v>1</v>
      </c>
      <c r="G1615">
        <v>7876.24</v>
      </c>
      <c r="H1615">
        <v>7876.24</v>
      </c>
      <c r="I1615" t="s">
        <v>42</v>
      </c>
      <c r="J1615" t="s">
        <v>19</v>
      </c>
    </row>
    <row r="1616" spans="1:10" x14ac:dyDescent="0.35">
      <c r="A1616" t="s">
        <v>3403</v>
      </c>
      <c r="B1616" t="s">
        <v>3404</v>
      </c>
      <c r="C1616" t="str">
        <f>TEXT(Table1[[#This Row],[Order_Date]],"mmm")</f>
        <v>Oct</v>
      </c>
      <c r="D1616" t="s">
        <v>3405</v>
      </c>
      <c r="E1616" t="s">
        <v>75</v>
      </c>
      <c r="F1616">
        <v>4</v>
      </c>
      <c r="G1616">
        <v>36562.69</v>
      </c>
      <c r="H1616">
        <v>146250.76</v>
      </c>
      <c r="I1616" t="s">
        <v>18</v>
      </c>
      <c r="J1616" t="s">
        <v>35</v>
      </c>
    </row>
    <row r="1617" spans="1:10" x14ac:dyDescent="0.35">
      <c r="A1617" t="s">
        <v>3406</v>
      </c>
      <c r="B1617" t="s">
        <v>3404</v>
      </c>
      <c r="C1617" t="str">
        <f>TEXT(Table1[[#This Row],[Order_Date]],"mmm")</f>
        <v>Oct</v>
      </c>
      <c r="D1617" t="s">
        <v>3407</v>
      </c>
      <c r="E1617" t="s">
        <v>32</v>
      </c>
      <c r="F1617">
        <v>2</v>
      </c>
      <c r="G1617">
        <v>12156.02</v>
      </c>
      <c r="H1617">
        <v>24312.04</v>
      </c>
      <c r="I1617" t="s">
        <v>23</v>
      </c>
      <c r="J1617" t="s">
        <v>24</v>
      </c>
    </row>
    <row r="1618" spans="1:10" x14ac:dyDescent="0.35">
      <c r="A1618" t="s">
        <v>3408</v>
      </c>
      <c r="B1618" t="s">
        <v>3404</v>
      </c>
      <c r="C1618" t="str">
        <f>TEXT(Table1[[#This Row],[Order_Date]],"mmm")</f>
        <v>Oct</v>
      </c>
      <c r="D1618" t="s">
        <v>785</v>
      </c>
      <c r="E1618" t="s">
        <v>32</v>
      </c>
      <c r="F1618">
        <v>5</v>
      </c>
      <c r="G1618">
        <v>12478.74</v>
      </c>
      <c r="H1618">
        <v>62393.7</v>
      </c>
      <c r="I1618" t="s">
        <v>23</v>
      </c>
      <c r="J1618" t="s">
        <v>35</v>
      </c>
    </row>
    <row r="1619" spans="1:10" x14ac:dyDescent="0.35">
      <c r="A1619" t="s">
        <v>3409</v>
      </c>
      <c r="B1619" t="s">
        <v>3404</v>
      </c>
      <c r="C1619" t="str">
        <f>TEXT(Table1[[#This Row],[Order_Date]],"mmm")</f>
        <v>Oct</v>
      </c>
      <c r="D1619" t="s">
        <v>3410</v>
      </c>
      <c r="E1619" t="s">
        <v>17</v>
      </c>
      <c r="F1619">
        <v>3</v>
      </c>
      <c r="G1619">
        <v>10020.15</v>
      </c>
      <c r="H1619">
        <v>30060.45</v>
      </c>
      <c r="I1619" t="s">
        <v>23</v>
      </c>
      <c r="J1619" t="s">
        <v>14</v>
      </c>
    </row>
    <row r="1620" spans="1:10" x14ac:dyDescent="0.35">
      <c r="A1620" t="s">
        <v>3411</v>
      </c>
      <c r="B1620" t="s">
        <v>3412</v>
      </c>
      <c r="C1620" t="str">
        <f>TEXT(Table1[[#This Row],[Order_Date]],"mmm")</f>
        <v>Oct</v>
      </c>
      <c r="D1620" t="s">
        <v>3413</v>
      </c>
      <c r="E1620" t="s">
        <v>75</v>
      </c>
      <c r="F1620">
        <v>4</v>
      </c>
      <c r="G1620">
        <v>22891.85</v>
      </c>
      <c r="H1620">
        <v>91567.4</v>
      </c>
      <c r="I1620" t="s">
        <v>13</v>
      </c>
      <c r="J1620" t="s">
        <v>14</v>
      </c>
    </row>
    <row r="1621" spans="1:10" x14ac:dyDescent="0.35">
      <c r="A1621" t="s">
        <v>3414</v>
      </c>
      <c r="B1621" t="s">
        <v>3412</v>
      </c>
      <c r="C1621" t="str">
        <f>TEXT(Table1[[#This Row],[Order_Date]],"mmm")</f>
        <v>Oct</v>
      </c>
      <c r="D1621" t="s">
        <v>3415</v>
      </c>
      <c r="E1621" t="s">
        <v>17</v>
      </c>
      <c r="F1621">
        <v>5</v>
      </c>
      <c r="G1621">
        <v>36966.959999999999</v>
      </c>
      <c r="H1621">
        <v>184834.8</v>
      </c>
      <c r="I1621" t="s">
        <v>13</v>
      </c>
      <c r="J1621" t="s">
        <v>14</v>
      </c>
    </row>
    <row r="1622" spans="1:10" x14ac:dyDescent="0.35">
      <c r="A1622" t="s">
        <v>3416</v>
      </c>
      <c r="B1622" t="s">
        <v>3412</v>
      </c>
      <c r="C1622" t="str">
        <f>TEXT(Table1[[#This Row],[Order_Date]],"mmm")</f>
        <v>Oct</v>
      </c>
      <c r="D1622" t="s">
        <v>3417</v>
      </c>
      <c r="E1622" t="s">
        <v>32</v>
      </c>
      <c r="F1622">
        <v>1</v>
      </c>
      <c r="G1622">
        <v>36713.46</v>
      </c>
      <c r="H1622">
        <v>36713.46</v>
      </c>
      <c r="I1622" t="s">
        <v>18</v>
      </c>
      <c r="J1622" t="s">
        <v>24</v>
      </c>
    </row>
    <row r="1623" spans="1:10" x14ac:dyDescent="0.35">
      <c r="A1623" t="s">
        <v>3418</v>
      </c>
      <c r="B1623" t="s">
        <v>3412</v>
      </c>
      <c r="C1623" t="str">
        <f>TEXT(Table1[[#This Row],[Order_Date]],"mmm")</f>
        <v>Oct</v>
      </c>
      <c r="D1623" t="s">
        <v>3419</v>
      </c>
      <c r="E1623" t="s">
        <v>72</v>
      </c>
      <c r="F1623">
        <v>2</v>
      </c>
      <c r="G1623">
        <v>3864.79</v>
      </c>
      <c r="H1623">
        <v>7729.58</v>
      </c>
      <c r="I1623" t="s">
        <v>18</v>
      </c>
      <c r="J1623" t="s">
        <v>24</v>
      </c>
    </row>
    <row r="1624" spans="1:10" x14ac:dyDescent="0.35">
      <c r="A1624" t="s">
        <v>3420</v>
      </c>
      <c r="B1624" t="s">
        <v>3412</v>
      </c>
      <c r="C1624" t="str">
        <f>TEXT(Table1[[#This Row],[Order_Date]],"mmm")</f>
        <v>Oct</v>
      </c>
      <c r="D1624" t="s">
        <v>3421</v>
      </c>
      <c r="E1624" t="s">
        <v>53</v>
      </c>
      <c r="F1624">
        <v>1</v>
      </c>
      <c r="G1624">
        <v>3678.32</v>
      </c>
      <c r="H1624">
        <v>3678.32</v>
      </c>
      <c r="I1624" t="s">
        <v>18</v>
      </c>
      <c r="J1624" t="s">
        <v>24</v>
      </c>
    </row>
    <row r="1625" spans="1:10" x14ac:dyDescent="0.35">
      <c r="A1625" t="s">
        <v>3422</v>
      </c>
      <c r="B1625" t="s">
        <v>3412</v>
      </c>
      <c r="C1625" t="str">
        <f>TEXT(Table1[[#This Row],[Order_Date]],"mmm")</f>
        <v>Oct</v>
      </c>
      <c r="D1625" t="s">
        <v>16</v>
      </c>
      <c r="E1625" t="s">
        <v>17</v>
      </c>
      <c r="F1625">
        <v>2</v>
      </c>
      <c r="G1625">
        <v>8028.62</v>
      </c>
      <c r="H1625">
        <v>16057.24</v>
      </c>
      <c r="I1625" t="s">
        <v>42</v>
      </c>
      <c r="J1625" t="s">
        <v>19</v>
      </c>
    </row>
    <row r="1626" spans="1:10" x14ac:dyDescent="0.35">
      <c r="A1626" t="s">
        <v>3423</v>
      </c>
      <c r="B1626" t="s">
        <v>3424</v>
      </c>
      <c r="C1626" t="str">
        <f>TEXT(Table1[[#This Row],[Order_Date]],"mmm")</f>
        <v>Oct</v>
      </c>
      <c r="D1626" t="s">
        <v>3425</v>
      </c>
      <c r="E1626" t="s">
        <v>22</v>
      </c>
      <c r="F1626">
        <v>1</v>
      </c>
      <c r="G1626">
        <v>20927.47</v>
      </c>
      <c r="H1626">
        <v>20927.47</v>
      </c>
      <c r="I1626" t="s">
        <v>13</v>
      </c>
      <c r="J1626" t="s">
        <v>19</v>
      </c>
    </row>
    <row r="1627" spans="1:10" x14ac:dyDescent="0.35">
      <c r="A1627" t="s">
        <v>3426</v>
      </c>
      <c r="B1627" t="s">
        <v>3424</v>
      </c>
      <c r="C1627" t="str">
        <f>TEXT(Table1[[#This Row],[Order_Date]],"mmm")</f>
        <v>Oct</v>
      </c>
      <c r="D1627" t="s">
        <v>3427</v>
      </c>
      <c r="E1627" t="s">
        <v>53</v>
      </c>
      <c r="F1627">
        <v>1</v>
      </c>
      <c r="G1627">
        <v>12233.43</v>
      </c>
      <c r="H1627">
        <v>12233.43</v>
      </c>
      <c r="I1627" t="s">
        <v>23</v>
      </c>
      <c r="J1627" t="s">
        <v>14</v>
      </c>
    </row>
    <row r="1628" spans="1:10" x14ac:dyDescent="0.35">
      <c r="A1628" t="s">
        <v>3428</v>
      </c>
      <c r="B1628" t="s">
        <v>3424</v>
      </c>
      <c r="C1628" t="str">
        <f>TEXT(Table1[[#This Row],[Order_Date]],"mmm")</f>
        <v>Oct</v>
      </c>
      <c r="D1628" t="s">
        <v>3429</v>
      </c>
      <c r="E1628" t="s">
        <v>12</v>
      </c>
      <c r="F1628">
        <v>3</v>
      </c>
      <c r="G1628">
        <v>12262.31</v>
      </c>
      <c r="H1628">
        <v>36786.93</v>
      </c>
      <c r="I1628" t="s">
        <v>13</v>
      </c>
      <c r="J1628" t="s">
        <v>35</v>
      </c>
    </row>
    <row r="1629" spans="1:10" x14ac:dyDescent="0.35">
      <c r="A1629" t="s">
        <v>3430</v>
      </c>
      <c r="B1629" t="s">
        <v>3424</v>
      </c>
      <c r="C1629" t="str">
        <f>TEXT(Table1[[#This Row],[Order_Date]],"mmm")</f>
        <v>Oct</v>
      </c>
      <c r="D1629" t="s">
        <v>3431</v>
      </c>
      <c r="E1629" t="s">
        <v>32</v>
      </c>
      <c r="F1629">
        <v>5</v>
      </c>
      <c r="G1629">
        <v>41611.56</v>
      </c>
      <c r="H1629">
        <v>208057.8</v>
      </c>
      <c r="I1629" t="s">
        <v>42</v>
      </c>
      <c r="J1629" t="s">
        <v>24</v>
      </c>
    </row>
    <row r="1630" spans="1:10" x14ac:dyDescent="0.35">
      <c r="A1630" t="s">
        <v>3432</v>
      </c>
      <c r="B1630" t="s">
        <v>3424</v>
      </c>
      <c r="C1630" t="str">
        <f>TEXT(Table1[[#This Row],[Order_Date]],"mmm")</f>
        <v>Oct</v>
      </c>
      <c r="D1630" t="s">
        <v>3433</v>
      </c>
      <c r="E1630" t="s">
        <v>12</v>
      </c>
      <c r="F1630">
        <v>1</v>
      </c>
      <c r="G1630">
        <v>31391.38</v>
      </c>
      <c r="H1630">
        <v>31391.38</v>
      </c>
      <c r="I1630" t="s">
        <v>18</v>
      </c>
      <c r="J1630" t="s">
        <v>19</v>
      </c>
    </row>
    <row r="1631" spans="1:10" x14ac:dyDescent="0.35">
      <c r="A1631" t="s">
        <v>3434</v>
      </c>
      <c r="B1631" t="s">
        <v>3424</v>
      </c>
      <c r="C1631" t="str">
        <f>TEXT(Table1[[#This Row],[Order_Date]],"mmm")</f>
        <v>Oct</v>
      </c>
      <c r="D1631" t="s">
        <v>3435</v>
      </c>
      <c r="E1631" t="s">
        <v>53</v>
      </c>
      <c r="F1631">
        <v>3</v>
      </c>
      <c r="G1631">
        <v>17130.400000000001</v>
      </c>
      <c r="H1631">
        <v>51391.199999999997</v>
      </c>
      <c r="I1631" t="s">
        <v>13</v>
      </c>
      <c r="J1631" t="s">
        <v>24</v>
      </c>
    </row>
    <row r="1632" spans="1:10" x14ac:dyDescent="0.35">
      <c r="A1632" t="s">
        <v>3436</v>
      </c>
      <c r="B1632" t="s">
        <v>3424</v>
      </c>
      <c r="C1632" t="str">
        <f>TEXT(Table1[[#This Row],[Order_Date]],"mmm")</f>
        <v>Oct</v>
      </c>
      <c r="D1632" t="s">
        <v>3437</v>
      </c>
      <c r="E1632" t="s">
        <v>22</v>
      </c>
      <c r="F1632">
        <v>1</v>
      </c>
      <c r="G1632">
        <v>20162.990000000002</v>
      </c>
      <c r="H1632">
        <v>20162.990000000002</v>
      </c>
      <c r="I1632" t="s">
        <v>13</v>
      </c>
      <c r="J1632" t="s">
        <v>14</v>
      </c>
    </row>
    <row r="1633" spans="1:10" x14ac:dyDescent="0.35">
      <c r="A1633" t="s">
        <v>3438</v>
      </c>
      <c r="B1633" t="s">
        <v>3439</v>
      </c>
      <c r="C1633" t="str">
        <f>TEXT(Table1[[#This Row],[Order_Date]],"mmm")</f>
        <v>Oct</v>
      </c>
      <c r="D1633" t="s">
        <v>3440</v>
      </c>
      <c r="E1633" t="s">
        <v>53</v>
      </c>
      <c r="F1633">
        <v>5</v>
      </c>
      <c r="G1633">
        <v>32459</v>
      </c>
      <c r="H1633">
        <v>162295</v>
      </c>
      <c r="I1633" t="s">
        <v>13</v>
      </c>
      <c r="J1633" t="s">
        <v>14</v>
      </c>
    </row>
    <row r="1634" spans="1:10" x14ac:dyDescent="0.35">
      <c r="A1634" t="s">
        <v>3441</v>
      </c>
      <c r="B1634" t="s">
        <v>3439</v>
      </c>
      <c r="C1634" t="str">
        <f>TEXT(Table1[[#This Row],[Order_Date]],"mmm")</f>
        <v>Oct</v>
      </c>
      <c r="D1634" t="s">
        <v>3442</v>
      </c>
      <c r="E1634" t="s">
        <v>12</v>
      </c>
      <c r="F1634">
        <v>5</v>
      </c>
      <c r="G1634">
        <v>42711.519999999997</v>
      </c>
      <c r="H1634">
        <v>213557.6</v>
      </c>
      <c r="I1634" t="s">
        <v>18</v>
      </c>
      <c r="J1634" t="s">
        <v>35</v>
      </c>
    </row>
    <row r="1635" spans="1:10" x14ac:dyDescent="0.35">
      <c r="A1635" t="s">
        <v>3443</v>
      </c>
      <c r="B1635" t="s">
        <v>3439</v>
      </c>
      <c r="C1635" t="str">
        <f>TEXT(Table1[[#This Row],[Order_Date]],"mmm")</f>
        <v>Oct</v>
      </c>
      <c r="D1635" t="s">
        <v>3444</v>
      </c>
      <c r="E1635" t="s">
        <v>53</v>
      </c>
      <c r="F1635">
        <v>4</v>
      </c>
      <c r="G1635">
        <v>18181.47</v>
      </c>
      <c r="H1635">
        <v>72725.88</v>
      </c>
      <c r="I1635" t="s">
        <v>42</v>
      </c>
      <c r="J1635" t="s">
        <v>24</v>
      </c>
    </row>
    <row r="1636" spans="1:10" x14ac:dyDescent="0.35">
      <c r="A1636" t="s">
        <v>3445</v>
      </c>
      <c r="B1636" t="s">
        <v>3439</v>
      </c>
      <c r="C1636" t="str">
        <f>TEXT(Table1[[#This Row],[Order_Date]],"mmm")</f>
        <v>Oct</v>
      </c>
      <c r="D1636" t="s">
        <v>3446</v>
      </c>
      <c r="E1636" t="s">
        <v>22</v>
      </c>
      <c r="F1636">
        <v>2</v>
      </c>
      <c r="G1636">
        <v>19525.060000000001</v>
      </c>
      <c r="H1636">
        <v>39050.120000000003</v>
      </c>
      <c r="I1636" t="s">
        <v>42</v>
      </c>
      <c r="J1636" t="s">
        <v>24</v>
      </c>
    </row>
    <row r="1637" spans="1:10" x14ac:dyDescent="0.35">
      <c r="A1637" t="s">
        <v>3447</v>
      </c>
      <c r="B1637" t="s">
        <v>3439</v>
      </c>
      <c r="C1637" t="str">
        <f>TEXT(Table1[[#This Row],[Order_Date]],"mmm")</f>
        <v>Oct</v>
      </c>
      <c r="D1637" t="s">
        <v>2941</v>
      </c>
      <c r="E1637" t="s">
        <v>75</v>
      </c>
      <c r="F1637">
        <v>1</v>
      </c>
      <c r="G1637">
        <v>42944.01</v>
      </c>
      <c r="H1637">
        <v>42944.01</v>
      </c>
      <c r="I1637" t="s">
        <v>18</v>
      </c>
      <c r="J1637" t="s">
        <v>14</v>
      </c>
    </row>
    <row r="1638" spans="1:10" x14ac:dyDescent="0.35">
      <c r="A1638" t="s">
        <v>3448</v>
      </c>
      <c r="B1638" t="s">
        <v>3439</v>
      </c>
      <c r="C1638" t="str">
        <f>TEXT(Table1[[#This Row],[Order_Date]],"mmm")</f>
        <v>Oct</v>
      </c>
      <c r="D1638" t="s">
        <v>3449</v>
      </c>
      <c r="E1638" t="s">
        <v>38</v>
      </c>
      <c r="F1638">
        <v>2</v>
      </c>
      <c r="G1638">
        <v>10150.719999999999</v>
      </c>
      <c r="H1638">
        <v>20301.439999999999</v>
      </c>
      <c r="I1638" t="s">
        <v>42</v>
      </c>
      <c r="J1638" t="s">
        <v>24</v>
      </c>
    </row>
    <row r="1639" spans="1:10" x14ac:dyDescent="0.35">
      <c r="A1639" t="s">
        <v>3450</v>
      </c>
      <c r="B1639" t="s">
        <v>3451</v>
      </c>
      <c r="C1639" t="str">
        <f>TEXT(Table1[[#This Row],[Order_Date]],"mmm")</f>
        <v>Oct</v>
      </c>
      <c r="D1639" t="s">
        <v>3452</v>
      </c>
      <c r="E1639" t="s">
        <v>72</v>
      </c>
      <c r="F1639">
        <v>1</v>
      </c>
      <c r="G1639">
        <v>9445.7199999999993</v>
      </c>
      <c r="H1639">
        <v>9445.7199999999993</v>
      </c>
      <c r="I1639" t="s">
        <v>23</v>
      </c>
      <c r="J1639" t="s">
        <v>14</v>
      </c>
    </row>
    <row r="1640" spans="1:10" x14ac:dyDescent="0.35">
      <c r="A1640" t="s">
        <v>3453</v>
      </c>
      <c r="B1640" t="s">
        <v>3451</v>
      </c>
      <c r="C1640" t="str">
        <f>TEXT(Table1[[#This Row],[Order_Date]],"mmm")</f>
        <v>Oct</v>
      </c>
      <c r="D1640" t="s">
        <v>3454</v>
      </c>
      <c r="E1640" t="s">
        <v>56</v>
      </c>
      <c r="F1640">
        <v>1</v>
      </c>
      <c r="G1640">
        <v>11659.9</v>
      </c>
      <c r="H1640">
        <v>11659.9</v>
      </c>
      <c r="I1640" t="s">
        <v>13</v>
      </c>
      <c r="J1640" t="s">
        <v>19</v>
      </c>
    </row>
    <row r="1641" spans="1:10" x14ac:dyDescent="0.35">
      <c r="A1641" t="s">
        <v>3455</v>
      </c>
      <c r="B1641" t="s">
        <v>3451</v>
      </c>
      <c r="C1641" t="str">
        <f>TEXT(Table1[[#This Row],[Order_Date]],"mmm")</f>
        <v>Oct</v>
      </c>
      <c r="D1641" t="s">
        <v>3456</v>
      </c>
      <c r="E1641" t="s">
        <v>56</v>
      </c>
      <c r="F1641">
        <v>3</v>
      </c>
      <c r="G1641">
        <v>12971.8</v>
      </c>
      <c r="H1641">
        <v>38915.4</v>
      </c>
      <c r="I1641" t="s">
        <v>18</v>
      </c>
      <c r="J1641" t="s">
        <v>24</v>
      </c>
    </row>
    <row r="1642" spans="1:10" x14ac:dyDescent="0.35">
      <c r="A1642" t="s">
        <v>3457</v>
      </c>
      <c r="B1642" t="s">
        <v>3458</v>
      </c>
      <c r="C1642" t="str">
        <f>TEXT(Table1[[#This Row],[Order_Date]],"mmm")</f>
        <v>Oct</v>
      </c>
      <c r="D1642" t="s">
        <v>3459</v>
      </c>
      <c r="E1642" t="s">
        <v>47</v>
      </c>
      <c r="F1642">
        <v>5</v>
      </c>
      <c r="G1642">
        <v>47173.91</v>
      </c>
      <c r="H1642">
        <v>235869.55</v>
      </c>
      <c r="I1642" t="s">
        <v>18</v>
      </c>
      <c r="J1642" t="s">
        <v>19</v>
      </c>
    </row>
    <row r="1643" spans="1:10" x14ac:dyDescent="0.35">
      <c r="A1643" t="s">
        <v>3460</v>
      </c>
      <c r="B1643" t="s">
        <v>3458</v>
      </c>
      <c r="C1643" t="str">
        <f>TEXT(Table1[[#This Row],[Order_Date]],"mmm")</f>
        <v>Oct</v>
      </c>
      <c r="D1643" t="s">
        <v>3461</v>
      </c>
      <c r="E1643" t="s">
        <v>75</v>
      </c>
      <c r="F1643">
        <v>1</v>
      </c>
      <c r="G1643">
        <v>20824.580000000002</v>
      </c>
      <c r="H1643">
        <v>20824.580000000002</v>
      </c>
      <c r="I1643" t="s">
        <v>42</v>
      </c>
      <c r="J1643" t="s">
        <v>24</v>
      </c>
    </row>
    <row r="1644" spans="1:10" x14ac:dyDescent="0.35">
      <c r="A1644" t="s">
        <v>3462</v>
      </c>
      <c r="B1644" t="s">
        <v>3458</v>
      </c>
      <c r="C1644" t="str">
        <f>TEXT(Table1[[#This Row],[Order_Date]],"mmm")</f>
        <v>Oct</v>
      </c>
      <c r="D1644" t="s">
        <v>90</v>
      </c>
      <c r="E1644" t="s">
        <v>12</v>
      </c>
      <c r="F1644">
        <v>3</v>
      </c>
      <c r="G1644">
        <v>1412.34</v>
      </c>
      <c r="H1644">
        <v>4237.0200000000004</v>
      </c>
      <c r="I1644" t="s">
        <v>18</v>
      </c>
      <c r="J1644" t="s">
        <v>14</v>
      </c>
    </row>
    <row r="1645" spans="1:10" x14ac:dyDescent="0.35">
      <c r="A1645" t="s">
        <v>3463</v>
      </c>
      <c r="B1645" t="s">
        <v>3458</v>
      </c>
      <c r="C1645" t="str">
        <f>TEXT(Table1[[#This Row],[Order_Date]],"mmm")</f>
        <v>Oct</v>
      </c>
      <c r="D1645" t="s">
        <v>3464</v>
      </c>
      <c r="E1645" t="s">
        <v>22</v>
      </c>
      <c r="F1645">
        <v>1</v>
      </c>
      <c r="G1645">
        <v>24240.91</v>
      </c>
      <c r="H1645">
        <v>24240.91</v>
      </c>
      <c r="I1645" t="s">
        <v>42</v>
      </c>
      <c r="J1645" t="s">
        <v>14</v>
      </c>
    </row>
    <row r="1646" spans="1:10" x14ac:dyDescent="0.35">
      <c r="A1646" t="s">
        <v>3465</v>
      </c>
      <c r="B1646" t="s">
        <v>3458</v>
      </c>
      <c r="C1646" t="str">
        <f>TEXT(Table1[[#This Row],[Order_Date]],"mmm")</f>
        <v>Oct</v>
      </c>
      <c r="D1646" t="s">
        <v>3466</v>
      </c>
      <c r="E1646" t="s">
        <v>38</v>
      </c>
      <c r="F1646">
        <v>4</v>
      </c>
      <c r="G1646">
        <v>42797.2</v>
      </c>
      <c r="H1646">
        <v>171188.8</v>
      </c>
      <c r="I1646" t="s">
        <v>23</v>
      </c>
      <c r="J1646" t="s">
        <v>35</v>
      </c>
    </row>
    <row r="1647" spans="1:10" x14ac:dyDescent="0.35">
      <c r="A1647" t="s">
        <v>3467</v>
      </c>
      <c r="B1647" t="s">
        <v>3458</v>
      </c>
      <c r="C1647" t="str">
        <f>TEXT(Table1[[#This Row],[Order_Date]],"mmm")</f>
        <v>Oct</v>
      </c>
      <c r="D1647" t="s">
        <v>3468</v>
      </c>
      <c r="E1647" t="s">
        <v>38</v>
      </c>
      <c r="F1647">
        <v>1</v>
      </c>
      <c r="G1647">
        <v>35688.33</v>
      </c>
      <c r="H1647">
        <v>35688.33</v>
      </c>
      <c r="I1647" t="s">
        <v>23</v>
      </c>
      <c r="J1647" t="s">
        <v>35</v>
      </c>
    </row>
    <row r="1648" spans="1:10" x14ac:dyDescent="0.35">
      <c r="A1648" t="s">
        <v>3469</v>
      </c>
      <c r="B1648" t="s">
        <v>3458</v>
      </c>
      <c r="C1648" t="str">
        <f>TEXT(Table1[[#This Row],[Order_Date]],"mmm")</f>
        <v>Oct</v>
      </c>
      <c r="D1648" t="s">
        <v>3470</v>
      </c>
      <c r="E1648" t="s">
        <v>75</v>
      </c>
      <c r="F1648">
        <v>4</v>
      </c>
      <c r="G1648">
        <v>32555.52</v>
      </c>
      <c r="H1648">
        <v>130222.08</v>
      </c>
      <c r="I1648" t="s">
        <v>18</v>
      </c>
      <c r="J1648" t="s">
        <v>14</v>
      </c>
    </row>
    <row r="1649" spans="1:10" x14ac:dyDescent="0.35">
      <c r="A1649" t="s">
        <v>3471</v>
      </c>
      <c r="B1649" t="s">
        <v>3458</v>
      </c>
      <c r="C1649" t="str">
        <f>TEXT(Table1[[#This Row],[Order_Date]],"mmm")</f>
        <v>Oct</v>
      </c>
      <c r="D1649" t="s">
        <v>3472</v>
      </c>
      <c r="E1649" t="s">
        <v>47</v>
      </c>
      <c r="F1649">
        <v>1</v>
      </c>
      <c r="G1649">
        <v>39971.08</v>
      </c>
      <c r="H1649">
        <v>39971.08</v>
      </c>
      <c r="I1649" t="s">
        <v>18</v>
      </c>
      <c r="J1649" t="s">
        <v>14</v>
      </c>
    </row>
    <row r="1650" spans="1:10" x14ac:dyDescent="0.35">
      <c r="A1650" t="s">
        <v>3473</v>
      </c>
      <c r="B1650" t="s">
        <v>3474</v>
      </c>
      <c r="C1650" t="str">
        <f>TEXT(Table1[[#This Row],[Order_Date]],"mmm")</f>
        <v>Oct</v>
      </c>
      <c r="D1650" t="s">
        <v>3475</v>
      </c>
      <c r="E1650" t="s">
        <v>12</v>
      </c>
      <c r="F1650">
        <v>2</v>
      </c>
      <c r="G1650">
        <v>33870.050000000003</v>
      </c>
      <c r="H1650">
        <v>67740.100000000006</v>
      </c>
      <c r="I1650" t="s">
        <v>23</v>
      </c>
      <c r="J1650" t="s">
        <v>19</v>
      </c>
    </row>
    <row r="1651" spans="1:10" x14ac:dyDescent="0.35">
      <c r="A1651" t="s">
        <v>3476</v>
      </c>
      <c r="B1651" t="s">
        <v>3474</v>
      </c>
      <c r="C1651" t="str">
        <f>TEXT(Table1[[#This Row],[Order_Date]],"mmm")</f>
        <v>Oct</v>
      </c>
      <c r="D1651" t="s">
        <v>3477</v>
      </c>
      <c r="E1651" t="s">
        <v>17</v>
      </c>
      <c r="F1651">
        <v>2</v>
      </c>
      <c r="G1651">
        <v>38823.68</v>
      </c>
      <c r="H1651">
        <v>77647.360000000001</v>
      </c>
      <c r="I1651" t="s">
        <v>23</v>
      </c>
      <c r="J1651" t="s">
        <v>19</v>
      </c>
    </row>
    <row r="1652" spans="1:10" x14ac:dyDescent="0.35">
      <c r="A1652" t="s">
        <v>3478</v>
      </c>
      <c r="B1652" t="s">
        <v>3474</v>
      </c>
      <c r="C1652" t="str">
        <f>TEXT(Table1[[#This Row],[Order_Date]],"mmm")</f>
        <v>Oct</v>
      </c>
      <c r="D1652" t="s">
        <v>3479</v>
      </c>
      <c r="E1652" t="s">
        <v>22</v>
      </c>
      <c r="F1652">
        <v>2</v>
      </c>
      <c r="G1652">
        <v>14782.19</v>
      </c>
      <c r="H1652">
        <v>29564.38</v>
      </c>
      <c r="I1652" t="s">
        <v>13</v>
      </c>
      <c r="J1652" t="s">
        <v>24</v>
      </c>
    </row>
    <row r="1653" spans="1:10" x14ac:dyDescent="0.35">
      <c r="A1653" t="s">
        <v>3480</v>
      </c>
      <c r="B1653" t="s">
        <v>3474</v>
      </c>
      <c r="C1653" t="str">
        <f>TEXT(Table1[[#This Row],[Order_Date]],"mmm")</f>
        <v>Oct</v>
      </c>
      <c r="D1653" t="s">
        <v>3481</v>
      </c>
      <c r="E1653" t="s">
        <v>72</v>
      </c>
      <c r="F1653">
        <v>2</v>
      </c>
      <c r="G1653">
        <v>38510.959999999999</v>
      </c>
      <c r="H1653">
        <v>77021.919999999998</v>
      </c>
      <c r="I1653" t="s">
        <v>18</v>
      </c>
      <c r="J1653" t="s">
        <v>24</v>
      </c>
    </row>
    <row r="1654" spans="1:10" x14ac:dyDescent="0.35">
      <c r="A1654" t="s">
        <v>3482</v>
      </c>
      <c r="B1654" t="s">
        <v>3474</v>
      </c>
      <c r="C1654" t="str">
        <f>TEXT(Table1[[#This Row],[Order_Date]],"mmm")</f>
        <v>Oct</v>
      </c>
      <c r="D1654" t="s">
        <v>3483</v>
      </c>
      <c r="E1654" t="s">
        <v>17</v>
      </c>
      <c r="F1654">
        <v>5</v>
      </c>
      <c r="G1654">
        <v>14670.16</v>
      </c>
      <c r="H1654">
        <v>73350.8</v>
      </c>
      <c r="I1654" t="s">
        <v>23</v>
      </c>
      <c r="J1654" t="s">
        <v>19</v>
      </c>
    </row>
    <row r="1655" spans="1:10" x14ac:dyDescent="0.35">
      <c r="A1655" t="s">
        <v>3484</v>
      </c>
      <c r="B1655" t="s">
        <v>3474</v>
      </c>
      <c r="C1655" t="str">
        <f>TEXT(Table1[[#This Row],[Order_Date]],"mmm")</f>
        <v>Oct</v>
      </c>
      <c r="D1655" t="s">
        <v>2707</v>
      </c>
      <c r="E1655" t="s">
        <v>22</v>
      </c>
      <c r="F1655">
        <v>4</v>
      </c>
      <c r="G1655">
        <v>32855.449999999997</v>
      </c>
      <c r="H1655">
        <v>131421.79999999999</v>
      </c>
      <c r="I1655" t="s">
        <v>18</v>
      </c>
      <c r="J1655" t="s">
        <v>24</v>
      </c>
    </row>
    <row r="1656" spans="1:10" x14ac:dyDescent="0.35">
      <c r="A1656" t="s">
        <v>3485</v>
      </c>
      <c r="B1656" t="s">
        <v>3486</v>
      </c>
      <c r="C1656" t="str">
        <f>TEXT(Table1[[#This Row],[Order_Date]],"mmm")</f>
        <v>Oct</v>
      </c>
      <c r="D1656" t="s">
        <v>3487</v>
      </c>
      <c r="E1656" t="s">
        <v>72</v>
      </c>
      <c r="F1656">
        <v>1</v>
      </c>
      <c r="G1656">
        <v>33757.4</v>
      </c>
      <c r="H1656">
        <v>33757.4</v>
      </c>
      <c r="I1656" t="s">
        <v>13</v>
      </c>
      <c r="J1656" t="s">
        <v>24</v>
      </c>
    </row>
    <row r="1657" spans="1:10" x14ac:dyDescent="0.35">
      <c r="A1657" t="s">
        <v>3488</v>
      </c>
      <c r="B1657" t="s">
        <v>3486</v>
      </c>
      <c r="C1657" t="str">
        <f>TEXT(Table1[[#This Row],[Order_Date]],"mmm")</f>
        <v>Oct</v>
      </c>
      <c r="D1657" t="s">
        <v>3489</v>
      </c>
      <c r="E1657" t="s">
        <v>72</v>
      </c>
      <c r="F1657">
        <v>5</v>
      </c>
      <c r="G1657">
        <v>49873.98</v>
      </c>
      <c r="H1657">
        <v>249369.9</v>
      </c>
      <c r="I1657" t="s">
        <v>18</v>
      </c>
      <c r="J1657" t="s">
        <v>19</v>
      </c>
    </row>
    <row r="1658" spans="1:10" x14ac:dyDescent="0.35">
      <c r="A1658" t="s">
        <v>3490</v>
      </c>
      <c r="B1658" t="s">
        <v>3486</v>
      </c>
      <c r="C1658" t="str">
        <f>TEXT(Table1[[#This Row],[Order_Date]],"mmm")</f>
        <v>Oct</v>
      </c>
      <c r="D1658" t="s">
        <v>1479</v>
      </c>
      <c r="E1658" t="s">
        <v>17</v>
      </c>
      <c r="F1658">
        <v>5</v>
      </c>
      <c r="G1658">
        <v>42963.85</v>
      </c>
      <c r="H1658">
        <v>214819.25</v>
      </c>
      <c r="I1658" t="s">
        <v>42</v>
      </c>
      <c r="J1658" t="s">
        <v>35</v>
      </c>
    </row>
    <row r="1659" spans="1:10" x14ac:dyDescent="0.35">
      <c r="A1659" t="s">
        <v>3491</v>
      </c>
      <c r="B1659" t="s">
        <v>3486</v>
      </c>
      <c r="C1659" t="str">
        <f>TEXT(Table1[[#This Row],[Order_Date]],"mmm")</f>
        <v>Oct</v>
      </c>
      <c r="D1659" t="s">
        <v>3492</v>
      </c>
      <c r="E1659" t="s">
        <v>53</v>
      </c>
      <c r="F1659">
        <v>5</v>
      </c>
      <c r="G1659">
        <v>34389.49</v>
      </c>
      <c r="H1659">
        <v>171947.45</v>
      </c>
      <c r="I1659" t="s">
        <v>13</v>
      </c>
      <c r="J1659" t="s">
        <v>24</v>
      </c>
    </row>
    <row r="1660" spans="1:10" x14ac:dyDescent="0.35">
      <c r="A1660" t="s">
        <v>3493</v>
      </c>
      <c r="B1660" t="s">
        <v>3486</v>
      </c>
      <c r="C1660" t="str">
        <f>TEXT(Table1[[#This Row],[Order_Date]],"mmm")</f>
        <v>Oct</v>
      </c>
      <c r="D1660" t="s">
        <v>3494</v>
      </c>
      <c r="E1660" t="s">
        <v>38</v>
      </c>
      <c r="F1660">
        <v>5</v>
      </c>
      <c r="G1660">
        <v>27496.46</v>
      </c>
      <c r="H1660">
        <v>137482.29999999999</v>
      </c>
      <c r="I1660" t="s">
        <v>23</v>
      </c>
      <c r="J1660" t="s">
        <v>19</v>
      </c>
    </row>
    <row r="1661" spans="1:10" x14ac:dyDescent="0.35">
      <c r="A1661" t="s">
        <v>3495</v>
      </c>
      <c r="B1661" t="s">
        <v>3486</v>
      </c>
      <c r="C1661" t="str">
        <f>TEXT(Table1[[#This Row],[Order_Date]],"mmm")</f>
        <v>Oct</v>
      </c>
      <c r="D1661" t="s">
        <v>3496</v>
      </c>
      <c r="E1661" t="s">
        <v>75</v>
      </c>
      <c r="F1661">
        <v>2</v>
      </c>
      <c r="G1661">
        <v>48606.83</v>
      </c>
      <c r="H1661">
        <v>97213.66</v>
      </c>
      <c r="I1661" t="s">
        <v>13</v>
      </c>
      <c r="J1661" t="s">
        <v>35</v>
      </c>
    </row>
    <row r="1662" spans="1:10" x14ac:dyDescent="0.35">
      <c r="A1662" t="s">
        <v>3497</v>
      </c>
      <c r="B1662" t="s">
        <v>3498</v>
      </c>
      <c r="C1662" t="str">
        <f>TEXT(Table1[[#This Row],[Order_Date]],"mmm")</f>
        <v>Nov</v>
      </c>
      <c r="D1662" t="s">
        <v>3499</v>
      </c>
      <c r="E1662" t="s">
        <v>38</v>
      </c>
      <c r="F1662">
        <v>1</v>
      </c>
      <c r="G1662">
        <v>37050.620000000003</v>
      </c>
      <c r="H1662">
        <v>37050.620000000003</v>
      </c>
      <c r="I1662" t="s">
        <v>18</v>
      </c>
      <c r="J1662" t="s">
        <v>35</v>
      </c>
    </row>
    <row r="1663" spans="1:10" x14ac:dyDescent="0.35">
      <c r="A1663" t="s">
        <v>3500</v>
      </c>
      <c r="B1663" t="s">
        <v>3498</v>
      </c>
      <c r="C1663" t="str">
        <f>TEXT(Table1[[#This Row],[Order_Date]],"mmm")</f>
        <v>Nov</v>
      </c>
      <c r="D1663" t="s">
        <v>3501</v>
      </c>
      <c r="E1663" t="s">
        <v>22</v>
      </c>
      <c r="F1663">
        <v>5</v>
      </c>
      <c r="G1663">
        <v>35751.769999999997</v>
      </c>
      <c r="H1663">
        <v>178758.85</v>
      </c>
      <c r="I1663" t="s">
        <v>13</v>
      </c>
      <c r="J1663" t="s">
        <v>24</v>
      </c>
    </row>
    <row r="1664" spans="1:10" x14ac:dyDescent="0.35">
      <c r="A1664" t="s">
        <v>3502</v>
      </c>
      <c r="B1664" t="s">
        <v>3498</v>
      </c>
      <c r="C1664" t="str">
        <f>TEXT(Table1[[#This Row],[Order_Date]],"mmm")</f>
        <v>Nov</v>
      </c>
      <c r="D1664" t="s">
        <v>3503</v>
      </c>
      <c r="E1664" t="s">
        <v>12</v>
      </c>
      <c r="F1664">
        <v>5</v>
      </c>
      <c r="G1664">
        <v>23951.32</v>
      </c>
      <c r="H1664">
        <v>119756.6</v>
      </c>
      <c r="I1664" t="s">
        <v>13</v>
      </c>
      <c r="J1664" t="s">
        <v>14</v>
      </c>
    </row>
    <row r="1665" spans="1:10" x14ac:dyDescent="0.35">
      <c r="A1665" t="s">
        <v>3504</v>
      </c>
      <c r="B1665" t="s">
        <v>3498</v>
      </c>
      <c r="C1665" t="str">
        <f>TEXT(Table1[[#This Row],[Order_Date]],"mmm")</f>
        <v>Nov</v>
      </c>
      <c r="D1665" t="s">
        <v>1727</v>
      </c>
      <c r="E1665" t="s">
        <v>72</v>
      </c>
      <c r="F1665">
        <v>2</v>
      </c>
      <c r="G1665">
        <v>14264.68</v>
      </c>
      <c r="H1665">
        <v>28529.360000000001</v>
      </c>
      <c r="I1665" t="s">
        <v>23</v>
      </c>
      <c r="J1665" t="s">
        <v>35</v>
      </c>
    </row>
    <row r="1666" spans="1:10" x14ac:dyDescent="0.35">
      <c r="A1666" t="s">
        <v>3505</v>
      </c>
      <c r="B1666" t="s">
        <v>3498</v>
      </c>
      <c r="C1666" t="str">
        <f>TEXT(Table1[[#This Row],[Order_Date]],"mmm")</f>
        <v>Nov</v>
      </c>
      <c r="D1666" t="s">
        <v>3506</v>
      </c>
      <c r="E1666" t="s">
        <v>32</v>
      </c>
      <c r="F1666">
        <v>4</v>
      </c>
      <c r="G1666">
        <v>23786.19</v>
      </c>
      <c r="H1666">
        <v>95144.76</v>
      </c>
      <c r="I1666" t="s">
        <v>18</v>
      </c>
      <c r="J1666" t="s">
        <v>24</v>
      </c>
    </row>
    <row r="1667" spans="1:10" x14ac:dyDescent="0.35">
      <c r="A1667" t="s">
        <v>3507</v>
      </c>
      <c r="B1667" t="s">
        <v>3508</v>
      </c>
      <c r="C1667" t="str">
        <f>TEXT(Table1[[#This Row],[Order_Date]],"mmm")</f>
        <v>Nov</v>
      </c>
      <c r="D1667" t="s">
        <v>3509</v>
      </c>
      <c r="E1667" t="s">
        <v>32</v>
      </c>
      <c r="F1667">
        <v>4</v>
      </c>
      <c r="G1667">
        <v>42463.16</v>
      </c>
      <c r="H1667">
        <v>169852.64</v>
      </c>
      <c r="I1667" t="s">
        <v>18</v>
      </c>
      <c r="J1667" t="s">
        <v>14</v>
      </c>
    </row>
    <row r="1668" spans="1:10" x14ac:dyDescent="0.35">
      <c r="A1668" t="s">
        <v>3510</v>
      </c>
      <c r="B1668" t="s">
        <v>3508</v>
      </c>
      <c r="C1668" t="str">
        <f>TEXT(Table1[[#This Row],[Order_Date]],"mmm")</f>
        <v>Nov</v>
      </c>
      <c r="D1668" t="s">
        <v>3511</v>
      </c>
      <c r="E1668" t="s">
        <v>72</v>
      </c>
      <c r="F1668">
        <v>1</v>
      </c>
      <c r="G1668">
        <v>38992.300000000003</v>
      </c>
      <c r="H1668">
        <v>38992.300000000003</v>
      </c>
      <c r="I1668" t="s">
        <v>18</v>
      </c>
      <c r="J1668" t="s">
        <v>19</v>
      </c>
    </row>
    <row r="1669" spans="1:10" x14ac:dyDescent="0.35">
      <c r="A1669" t="s">
        <v>3512</v>
      </c>
      <c r="B1669" t="s">
        <v>3508</v>
      </c>
      <c r="C1669" t="str">
        <f>TEXT(Table1[[#This Row],[Order_Date]],"mmm")</f>
        <v>Nov</v>
      </c>
      <c r="D1669" t="s">
        <v>3184</v>
      </c>
      <c r="E1669" t="s">
        <v>17</v>
      </c>
      <c r="F1669">
        <v>5</v>
      </c>
      <c r="G1669">
        <v>26242.89</v>
      </c>
      <c r="H1669">
        <v>131214.45000000001</v>
      </c>
      <c r="I1669" t="s">
        <v>23</v>
      </c>
      <c r="J1669" t="s">
        <v>19</v>
      </c>
    </row>
    <row r="1670" spans="1:10" x14ac:dyDescent="0.35">
      <c r="A1670" t="s">
        <v>3513</v>
      </c>
      <c r="B1670" t="s">
        <v>3508</v>
      </c>
      <c r="C1670" t="str">
        <f>TEXT(Table1[[#This Row],[Order_Date]],"mmm")</f>
        <v>Nov</v>
      </c>
      <c r="D1670" t="s">
        <v>3514</v>
      </c>
      <c r="E1670" t="s">
        <v>47</v>
      </c>
      <c r="F1670">
        <v>2</v>
      </c>
      <c r="G1670">
        <v>29256.29</v>
      </c>
      <c r="H1670">
        <v>58512.58</v>
      </c>
      <c r="I1670" t="s">
        <v>13</v>
      </c>
      <c r="J1670" t="s">
        <v>19</v>
      </c>
    </row>
    <row r="1671" spans="1:10" x14ac:dyDescent="0.35">
      <c r="A1671" t="s">
        <v>3515</v>
      </c>
      <c r="B1671" t="s">
        <v>3508</v>
      </c>
      <c r="C1671" t="str">
        <f>TEXT(Table1[[#This Row],[Order_Date]],"mmm")</f>
        <v>Nov</v>
      </c>
      <c r="D1671" t="s">
        <v>187</v>
      </c>
      <c r="E1671" t="s">
        <v>38</v>
      </c>
      <c r="F1671">
        <v>2</v>
      </c>
      <c r="G1671">
        <v>44552.34</v>
      </c>
      <c r="H1671">
        <v>89104.68</v>
      </c>
      <c r="I1671" t="s">
        <v>23</v>
      </c>
      <c r="J1671" t="s">
        <v>35</v>
      </c>
    </row>
    <row r="1672" spans="1:10" x14ac:dyDescent="0.35">
      <c r="A1672" t="s">
        <v>3516</v>
      </c>
      <c r="B1672" t="s">
        <v>3517</v>
      </c>
      <c r="C1672" t="str">
        <f>TEXT(Table1[[#This Row],[Order_Date]],"mmm")</f>
        <v>Nov</v>
      </c>
      <c r="D1672" t="s">
        <v>454</v>
      </c>
      <c r="E1672" t="s">
        <v>12</v>
      </c>
      <c r="F1672">
        <v>1</v>
      </c>
      <c r="G1672">
        <v>18042.810000000001</v>
      </c>
      <c r="H1672">
        <v>18042.810000000001</v>
      </c>
      <c r="I1672" t="s">
        <v>42</v>
      </c>
      <c r="J1672" t="s">
        <v>35</v>
      </c>
    </row>
    <row r="1673" spans="1:10" x14ac:dyDescent="0.35">
      <c r="A1673" t="s">
        <v>3518</v>
      </c>
      <c r="B1673" t="s">
        <v>3517</v>
      </c>
      <c r="C1673" t="str">
        <f>TEXT(Table1[[#This Row],[Order_Date]],"mmm")</f>
        <v>Nov</v>
      </c>
      <c r="D1673" t="s">
        <v>3519</v>
      </c>
      <c r="E1673" t="s">
        <v>32</v>
      </c>
      <c r="F1673">
        <v>3</v>
      </c>
      <c r="G1673">
        <v>19038.79</v>
      </c>
      <c r="H1673">
        <v>57116.37</v>
      </c>
      <c r="I1673" t="s">
        <v>23</v>
      </c>
      <c r="J1673" t="s">
        <v>24</v>
      </c>
    </row>
    <row r="1674" spans="1:10" x14ac:dyDescent="0.35">
      <c r="A1674" t="s">
        <v>3520</v>
      </c>
      <c r="B1674" t="s">
        <v>3517</v>
      </c>
      <c r="C1674" t="str">
        <f>TEXT(Table1[[#This Row],[Order_Date]],"mmm")</f>
        <v>Nov</v>
      </c>
      <c r="D1674" t="s">
        <v>3521</v>
      </c>
      <c r="E1674" t="s">
        <v>12</v>
      </c>
      <c r="F1674">
        <v>3</v>
      </c>
      <c r="G1674">
        <v>41368.339999999997</v>
      </c>
      <c r="H1674">
        <v>124105.02</v>
      </c>
      <c r="I1674" t="s">
        <v>18</v>
      </c>
      <c r="J1674" t="s">
        <v>24</v>
      </c>
    </row>
    <row r="1675" spans="1:10" x14ac:dyDescent="0.35">
      <c r="A1675" t="s">
        <v>3522</v>
      </c>
      <c r="B1675" t="s">
        <v>3523</v>
      </c>
      <c r="C1675" t="str">
        <f>TEXT(Table1[[#This Row],[Order_Date]],"mmm")</f>
        <v>Nov</v>
      </c>
      <c r="D1675" t="s">
        <v>3524</v>
      </c>
      <c r="E1675" t="s">
        <v>72</v>
      </c>
      <c r="F1675">
        <v>1</v>
      </c>
      <c r="G1675">
        <v>36670.620000000003</v>
      </c>
      <c r="H1675">
        <v>36670.620000000003</v>
      </c>
      <c r="I1675" t="s">
        <v>42</v>
      </c>
      <c r="J1675" t="s">
        <v>35</v>
      </c>
    </row>
    <row r="1676" spans="1:10" x14ac:dyDescent="0.35">
      <c r="A1676" t="s">
        <v>3525</v>
      </c>
      <c r="B1676" t="s">
        <v>3523</v>
      </c>
      <c r="C1676" t="str">
        <f>TEXT(Table1[[#This Row],[Order_Date]],"mmm")</f>
        <v>Nov</v>
      </c>
      <c r="D1676" t="s">
        <v>3526</v>
      </c>
      <c r="E1676" t="s">
        <v>32</v>
      </c>
      <c r="F1676">
        <v>5</v>
      </c>
      <c r="G1676">
        <v>31382.69</v>
      </c>
      <c r="H1676">
        <v>156913.45000000001</v>
      </c>
      <c r="I1676" t="s">
        <v>42</v>
      </c>
      <c r="J1676" t="s">
        <v>24</v>
      </c>
    </row>
    <row r="1677" spans="1:10" x14ac:dyDescent="0.35">
      <c r="A1677" t="s">
        <v>3527</v>
      </c>
      <c r="B1677" t="s">
        <v>3523</v>
      </c>
      <c r="C1677" t="str">
        <f>TEXT(Table1[[#This Row],[Order_Date]],"mmm")</f>
        <v>Nov</v>
      </c>
      <c r="D1677" t="s">
        <v>3528</v>
      </c>
      <c r="E1677" t="s">
        <v>17</v>
      </c>
      <c r="F1677">
        <v>1</v>
      </c>
      <c r="G1677">
        <v>15069.58</v>
      </c>
      <c r="H1677">
        <v>15069.58</v>
      </c>
      <c r="I1677" t="s">
        <v>18</v>
      </c>
      <c r="J1677" t="s">
        <v>19</v>
      </c>
    </row>
    <row r="1678" spans="1:10" x14ac:dyDescent="0.35">
      <c r="A1678" t="s">
        <v>3529</v>
      </c>
      <c r="B1678" t="s">
        <v>3523</v>
      </c>
      <c r="C1678" t="str">
        <f>TEXT(Table1[[#This Row],[Order_Date]],"mmm")</f>
        <v>Nov</v>
      </c>
      <c r="D1678" t="s">
        <v>3530</v>
      </c>
      <c r="E1678" t="s">
        <v>56</v>
      </c>
      <c r="F1678">
        <v>3</v>
      </c>
      <c r="G1678">
        <v>23175.13</v>
      </c>
      <c r="H1678">
        <v>69525.39</v>
      </c>
      <c r="I1678" t="s">
        <v>42</v>
      </c>
      <c r="J1678" t="s">
        <v>35</v>
      </c>
    </row>
    <row r="1679" spans="1:10" x14ac:dyDescent="0.35">
      <c r="A1679" t="s">
        <v>3531</v>
      </c>
      <c r="B1679" t="s">
        <v>3523</v>
      </c>
      <c r="C1679" t="str">
        <f>TEXT(Table1[[#This Row],[Order_Date]],"mmm")</f>
        <v>Nov</v>
      </c>
      <c r="D1679" t="s">
        <v>3532</v>
      </c>
      <c r="E1679" t="s">
        <v>56</v>
      </c>
      <c r="F1679">
        <v>4</v>
      </c>
      <c r="G1679">
        <v>48540.22</v>
      </c>
      <c r="H1679">
        <v>194160.88</v>
      </c>
      <c r="I1679" t="s">
        <v>42</v>
      </c>
      <c r="J1679" t="s">
        <v>19</v>
      </c>
    </row>
    <row r="1680" spans="1:10" x14ac:dyDescent="0.35">
      <c r="A1680" t="s">
        <v>3533</v>
      </c>
      <c r="B1680" t="s">
        <v>3523</v>
      </c>
      <c r="C1680" t="str">
        <f>TEXT(Table1[[#This Row],[Order_Date]],"mmm")</f>
        <v>Nov</v>
      </c>
      <c r="D1680" t="s">
        <v>3534</v>
      </c>
      <c r="E1680" t="s">
        <v>22</v>
      </c>
      <c r="F1680">
        <v>3</v>
      </c>
      <c r="G1680">
        <v>21288.48</v>
      </c>
      <c r="H1680">
        <v>63865.440000000002</v>
      </c>
      <c r="I1680" t="s">
        <v>13</v>
      </c>
      <c r="J1680" t="s">
        <v>35</v>
      </c>
    </row>
    <row r="1681" spans="1:10" x14ac:dyDescent="0.35">
      <c r="A1681" t="s">
        <v>3535</v>
      </c>
      <c r="B1681" t="s">
        <v>3536</v>
      </c>
      <c r="C1681" t="str">
        <f>TEXT(Table1[[#This Row],[Order_Date]],"mmm")</f>
        <v>Nov</v>
      </c>
      <c r="D1681" t="s">
        <v>3537</v>
      </c>
      <c r="E1681" t="s">
        <v>75</v>
      </c>
      <c r="F1681">
        <v>2</v>
      </c>
      <c r="G1681">
        <v>45084.34</v>
      </c>
      <c r="H1681">
        <v>90168.68</v>
      </c>
      <c r="I1681" t="s">
        <v>18</v>
      </c>
      <c r="J1681" t="s">
        <v>19</v>
      </c>
    </row>
    <row r="1682" spans="1:10" x14ac:dyDescent="0.35">
      <c r="A1682" t="s">
        <v>3538</v>
      </c>
      <c r="B1682" t="s">
        <v>3536</v>
      </c>
      <c r="C1682" t="str">
        <f>TEXT(Table1[[#This Row],[Order_Date]],"mmm")</f>
        <v>Nov</v>
      </c>
      <c r="D1682" t="s">
        <v>3539</v>
      </c>
      <c r="E1682" t="s">
        <v>56</v>
      </c>
      <c r="F1682">
        <v>1</v>
      </c>
      <c r="G1682">
        <v>5107.13</v>
      </c>
      <c r="H1682">
        <v>5107.13</v>
      </c>
      <c r="I1682" t="s">
        <v>42</v>
      </c>
      <c r="J1682" t="s">
        <v>19</v>
      </c>
    </row>
    <row r="1683" spans="1:10" x14ac:dyDescent="0.35">
      <c r="A1683" t="s">
        <v>3540</v>
      </c>
      <c r="B1683" t="s">
        <v>3536</v>
      </c>
      <c r="C1683" t="str">
        <f>TEXT(Table1[[#This Row],[Order_Date]],"mmm")</f>
        <v>Nov</v>
      </c>
      <c r="D1683" t="s">
        <v>3541</v>
      </c>
      <c r="E1683" t="s">
        <v>32</v>
      </c>
      <c r="F1683">
        <v>1</v>
      </c>
      <c r="G1683">
        <v>22527.91</v>
      </c>
      <c r="H1683">
        <v>22527.91</v>
      </c>
      <c r="I1683" t="s">
        <v>42</v>
      </c>
      <c r="J1683" t="s">
        <v>19</v>
      </c>
    </row>
    <row r="1684" spans="1:10" x14ac:dyDescent="0.35">
      <c r="A1684" t="s">
        <v>3542</v>
      </c>
      <c r="B1684" t="s">
        <v>3536</v>
      </c>
      <c r="C1684" t="str">
        <f>TEXT(Table1[[#This Row],[Order_Date]],"mmm")</f>
        <v>Nov</v>
      </c>
      <c r="D1684" t="s">
        <v>3543</v>
      </c>
      <c r="E1684" t="s">
        <v>75</v>
      </c>
      <c r="F1684">
        <v>5</v>
      </c>
      <c r="G1684">
        <v>21395.01</v>
      </c>
      <c r="H1684">
        <v>106975.05</v>
      </c>
      <c r="I1684" t="s">
        <v>23</v>
      </c>
      <c r="J1684" t="s">
        <v>19</v>
      </c>
    </row>
    <row r="1685" spans="1:10" x14ac:dyDescent="0.35">
      <c r="A1685" t="s">
        <v>3544</v>
      </c>
      <c r="B1685" t="s">
        <v>3536</v>
      </c>
      <c r="C1685" t="str">
        <f>TEXT(Table1[[#This Row],[Order_Date]],"mmm")</f>
        <v>Nov</v>
      </c>
      <c r="D1685" t="s">
        <v>1195</v>
      </c>
      <c r="E1685" t="s">
        <v>47</v>
      </c>
      <c r="F1685">
        <v>4</v>
      </c>
      <c r="G1685">
        <v>28178.2</v>
      </c>
      <c r="H1685">
        <v>112712.8</v>
      </c>
      <c r="I1685" t="s">
        <v>18</v>
      </c>
      <c r="J1685" t="s">
        <v>24</v>
      </c>
    </row>
    <row r="1686" spans="1:10" x14ac:dyDescent="0.35">
      <c r="A1686" t="s">
        <v>3545</v>
      </c>
      <c r="B1686" t="s">
        <v>3536</v>
      </c>
      <c r="C1686" t="str">
        <f>TEXT(Table1[[#This Row],[Order_Date]],"mmm")</f>
        <v>Nov</v>
      </c>
      <c r="D1686" t="s">
        <v>189</v>
      </c>
      <c r="E1686" t="s">
        <v>53</v>
      </c>
      <c r="F1686">
        <v>2</v>
      </c>
      <c r="G1686">
        <v>47668.61</v>
      </c>
      <c r="H1686">
        <v>95337.22</v>
      </c>
      <c r="I1686" t="s">
        <v>13</v>
      </c>
      <c r="J1686" t="s">
        <v>24</v>
      </c>
    </row>
    <row r="1687" spans="1:10" x14ac:dyDescent="0.35">
      <c r="A1687" t="s">
        <v>3546</v>
      </c>
      <c r="B1687" t="s">
        <v>3547</v>
      </c>
      <c r="C1687" t="str">
        <f>TEXT(Table1[[#This Row],[Order_Date]],"mmm")</f>
        <v>Nov</v>
      </c>
      <c r="D1687" t="s">
        <v>3548</v>
      </c>
      <c r="E1687" t="s">
        <v>53</v>
      </c>
      <c r="F1687">
        <v>1</v>
      </c>
      <c r="G1687">
        <v>44512.12</v>
      </c>
      <c r="H1687">
        <v>44512.12</v>
      </c>
      <c r="I1687" t="s">
        <v>42</v>
      </c>
      <c r="J1687" t="s">
        <v>14</v>
      </c>
    </row>
    <row r="1688" spans="1:10" x14ac:dyDescent="0.35">
      <c r="A1688" t="s">
        <v>3549</v>
      </c>
      <c r="B1688" t="s">
        <v>3547</v>
      </c>
      <c r="C1688" t="str">
        <f>TEXT(Table1[[#This Row],[Order_Date]],"mmm")</f>
        <v>Nov</v>
      </c>
      <c r="D1688" t="s">
        <v>3550</v>
      </c>
      <c r="E1688" t="s">
        <v>75</v>
      </c>
      <c r="F1688">
        <v>2</v>
      </c>
      <c r="G1688">
        <v>40157.629999999997</v>
      </c>
      <c r="H1688">
        <v>80315.259999999995</v>
      </c>
      <c r="I1688" t="s">
        <v>13</v>
      </c>
      <c r="J1688" t="s">
        <v>14</v>
      </c>
    </row>
    <row r="1689" spans="1:10" x14ac:dyDescent="0.35">
      <c r="A1689" t="s">
        <v>3551</v>
      </c>
      <c r="B1689" t="s">
        <v>3547</v>
      </c>
      <c r="C1689" t="str">
        <f>TEXT(Table1[[#This Row],[Order_Date]],"mmm")</f>
        <v>Nov</v>
      </c>
      <c r="D1689" t="s">
        <v>3552</v>
      </c>
      <c r="E1689" t="s">
        <v>32</v>
      </c>
      <c r="F1689">
        <v>2</v>
      </c>
      <c r="G1689">
        <v>40347.57</v>
      </c>
      <c r="H1689">
        <v>80695.14</v>
      </c>
      <c r="I1689" t="s">
        <v>13</v>
      </c>
      <c r="J1689" t="s">
        <v>35</v>
      </c>
    </row>
    <row r="1690" spans="1:10" x14ac:dyDescent="0.35">
      <c r="A1690" t="s">
        <v>3553</v>
      </c>
      <c r="B1690" t="s">
        <v>3554</v>
      </c>
      <c r="C1690" t="str">
        <f>TEXT(Table1[[#This Row],[Order_Date]],"mmm")</f>
        <v>Nov</v>
      </c>
      <c r="D1690" t="s">
        <v>3555</v>
      </c>
      <c r="E1690" t="s">
        <v>53</v>
      </c>
      <c r="F1690">
        <v>2</v>
      </c>
      <c r="G1690">
        <v>26896.78</v>
      </c>
      <c r="H1690">
        <v>53793.56</v>
      </c>
      <c r="I1690" t="s">
        <v>13</v>
      </c>
      <c r="J1690" t="s">
        <v>19</v>
      </c>
    </row>
    <row r="1691" spans="1:10" x14ac:dyDescent="0.35">
      <c r="A1691" t="s">
        <v>3556</v>
      </c>
      <c r="B1691" t="s">
        <v>3554</v>
      </c>
      <c r="C1691" t="str">
        <f>TEXT(Table1[[#This Row],[Order_Date]],"mmm")</f>
        <v>Nov</v>
      </c>
      <c r="D1691" t="s">
        <v>3557</v>
      </c>
      <c r="E1691" t="s">
        <v>12</v>
      </c>
      <c r="F1691">
        <v>5</v>
      </c>
      <c r="G1691">
        <v>24556.84</v>
      </c>
      <c r="H1691">
        <v>122784.2</v>
      </c>
      <c r="I1691" t="s">
        <v>18</v>
      </c>
      <c r="J1691" t="s">
        <v>14</v>
      </c>
    </row>
    <row r="1692" spans="1:10" x14ac:dyDescent="0.35">
      <c r="A1692" t="s">
        <v>3558</v>
      </c>
      <c r="B1692" t="s">
        <v>3554</v>
      </c>
      <c r="C1692" t="str">
        <f>TEXT(Table1[[#This Row],[Order_Date]],"mmm")</f>
        <v>Nov</v>
      </c>
      <c r="D1692" t="s">
        <v>3559</v>
      </c>
      <c r="E1692" t="s">
        <v>75</v>
      </c>
      <c r="F1692">
        <v>4</v>
      </c>
      <c r="G1692">
        <v>4761.67</v>
      </c>
      <c r="H1692">
        <v>19046.68</v>
      </c>
      <c r="I1692" t="s">
        <v>18</v>
      </c>
      <c r="J1692" t="s">
        <v>19</v>
      </c>
    </row>
    <row r="1693" spans="1:10" x14ac:dyDescent="0.35">
      <c r="A1693" t="s">
        <v>3560</v>
      </c>
      <c r="B1693" t="s">
        <v>3554</v>
      </c>
      <c r="C1693" t="str">
        <f>TEXT(Table1[[#This Row],[Order_Date]],"mmm")</f>
        <v>Nov</v>
      </c>
      <c r="D1693" t="s">
        <v>3561</v>
      </c>
      <c r="E1693" t="s">
        <v>53</v>
      </c>
      <c r="F1693">
        <v>4</v>
      </c>
      <c r="G1693">
        <v>33596.35</v>
      </c>
      <c r="H1693">
        <v>134385.4</v>
      </c>
      <c r="I1693" t="s">
        <v>13</v>
      </c>
      <c r="J1693" t="s">
        <v>35</v>
      </c>
    </row>
    <row r="1694" spans="1:10" x14ac:dyDescent="0.35">
      <c r="A1694" t="s">
        <v>3562</v>
      </c>
      <c r="B1694" t="s">
        <v>3554</v>
      </c>
      <c r="C1694" t="str">
        <f>TEXT(Table1[[#This Row],[Order_Date]],"mmm")</f>
        <v>Nov</v>
      </c>
      <c r="D1694" t="s">
        <v>3563</v>
      </c>
      <c r="E1694" t="s">
        <v>56</v>
      </c>
      <c r="F1694">
        <v>5</v>
      </c>
      <c r="G1694">
        <v>42621.03</v>
      </c>
      <c r="H1694">
        <v>213105.15</v>
      </c>
      <c r="I1694" t="s">
        <v>42</v>
      </c>
      <c r="J1694" t="s">
        <v>35</v>
      </c>
    </row>
    <row r="1695" spans="1:10" x14ac:dyDescent="0.35">
      <c r="A1695" t="s">
        <v>3564</v>
      </c>
      <c r="B1695" t="s">
        <v>3565</v>
      </c>
      <c r="C1695" t="str">
        <f>TEXT(Table1[[#This Row],[Order_Date]],"mmm")</f>
        <v>Nov</v>
      </c>
      <c r="D1695" t="s">
        <v>3566</v>
      </c>
      <c r="E1695" t="s">
        <v>53</v>
      </c>
      <c r="F1695">
        <v>1</v>
      </c>
      <c r="G1695">
        <v>8148.33</v>
      </c>
      <c r="H1695">
        <v>8148.33</v>
      </c>
      <c r="I1695" t="s">
        <v>18</v>
      </c>
      <c r="J1695" t="s">
        <v>19</v>
      </c>
    </row>
    <row r="1696" spans="1:10" x14ac:dyDescent="0.35">
      <c r="A1696" t="s">
        <v>3567</v>
      </c>
      <c r="B1696" t="s">
        <v>3565</v>
      </c>
      <c r="C1696" t="str">
        <f>TEXT(Table1[[#This Row],[Order_Date]],"mmm")</f>
        <v>Nov</v>
      </c>
      <c r="D1696" t="s">
        <v>3568</v>
      </c>
      <c r="E1696" t="s">
        <v>47</v>
      </c>
      <c r="F1696">
        <v>1</v>
      </c>
      <c r="G1696">
        <v>5205.22</v>
      </c>
      <c r="H1696">
        <v>5205.22</v>
      </c>
      <c r="I1696" t="s">
        <v>23</v>
      </c>
      <c r="J1696" t="s">
        <v>14</v>
      </c>
    </row>
    <row r="1697" spans="1:10" x14ac:dyDescent="0.35">
      <c r="A1697" t="s">
        <v>3569</v>
      </c>
      <c r="B1697" t="s">
        <v>3565</v>
      </c>
      <c r="C1697" t="str">
        <f>TEXT(Table1[[#This Row],[Order_Date]],"mmm")</f>
        <v>Nov</v>
      </c>
      <c r="D1697" t="s">
        <v>3570</v>
      </c>
      <c r="E1697" t="s">
        <v>22</v>
      </c>
      <c r="F1697">
        <v>5</v>
      </c>
      <c r="G1697">
        <v>27204.98</v>
      </c>
      <c r="H1697">
        <v>136024.9</v>
      </c>
      <c r="I1697" t="s">
        <v>23</v>
      </c>
      <c r="J1697" t="s">
        <v>35</v>
      </c>
    </row>
    <row r="1698" spans="1:10" x14ac:dyDescent="0.35">
      <c r="A1698" t="s">
        <v>3571</v>
      </c>
      <c r="B1698" t="s">
        <v>3565</v>
      </c>
      <c r="C1698" t="str">
        <f>TEXT(Table1[[#This Row],[Order_Date]],"mmm")</f>
        <v>Nov</v>
      </c>
      <c r="D1698" t="s">
        <v>3572</v>
      </c>
      <c r="E1698" t="s">
        <v>72</v>
      </c>
      <c r="F1698">
        <v>5</v>
      </c>
      <c r="G1698">
        <v>9841.36</v>
      </c>
      <c r="H1698">
        <v>49206.8</v>
      </c>
      <c r="I1698" t="s">
        <v>42</v>
      </c>
      <c r="J1698" t="s">
        <v>14</v>
      </c>
    </row>
    <row r="1699" spans="1:10" x14ac:dyDescent="0.35">
      <c r="A1699" t="s">
        <v>3573</v>
      </c>
      <c r="B1699" t="s">
        <v>3565</v>
      </c>
      <c r="C1699" t="str">
        <f>TEXT(Table1[[#This Row],[Order_Date]],"mmm")</f>
        <v>Nov</v>
      </c>
      <c r="D1699" t="s">
        <v>3574</v>
      </c>
      <c r="E1699" t="s">
        <v>75</v>
      </c>
      <c r="F1699">
        <v>4</v>
      </c>
      <c r="G1699">
        <v>49039.56</v>
      </c>
      <c r="H1699">
        <v>196158.24</v>
      </c>
      <c r="I1699" t="s">
        <v>42</v>
      </c>
      <c r="J1699" t="s">
        <v>24</v>
      </c>
    </row>
    <row r="1700" spans="1:10" x14ac:dyDescent="0.35">
      <c r="A1700" t="s">
        <v>3575</v>
      </c>
      <c r="B1700" t="s">
        <v>3576</v>
      </c>
      <c r="C1700" t="str">
        <f>TEXT(Table1[[#This Row],[Order_Date]],"mmm")</f>
        <v>Nov</v>
      </c>
      <c r="D1700" t="s">
        <v>3577</v>
      </c>
      <c r="E1700" t="s">
        <v>22</v>
      </c>
      <c r="F1700">
        <v>1</v>
      </c>
      <c r="G1700">
        <v>18363.12</v>
      </c>
      <c r="H1700">
        <v>18363.12</v>
      </c>
      <c r="I1700" t="s">
        <v>18</v>
      </c>
      <c r="J1700" t="s">
        <v>19</v>
      </c>
    </row>
    <row r="1701" spans="1:10" x14ac:dyDescent="0.35">
      <c r="A1701" t="s">
        <v>3578</v>
      </c>
      <c r="B1701" t="s">
        <v>3576</v>
      </c>
      <c r="C1701" t="str">
        <f>TEXT(Table1[[#This Row],[Order_Date]],"mmm")</f>
        <v>Nov</v>
      </c>
      <c r="D1701" t="s">
        <v>3552</v>
      </c>
      <c r="E1701" t="s">
        <v>32</v>
      </c>
      <c r="F1701">
        <v>4</v>
      </c>
      <c r="G1701">
        <v>7968.1</v>
      </c>
      <c r="H1701">
        <v>31872.400000000001</v>
      </c>
      <c r="I1701" t="s">
        <v>23</v>
      </c>
      <c r="J1701" t="s">
        <v>14</v>
      </c>
    </row>
    <row r="1702" spans="1:10" x14ac:dyDescent="0.35">
      <c r="A1702" t="s">
        <v>3579</v>
      </c>
      <c r="B1702" t="s">
        <v>3576</v>
      </c>
      <c r="C1702" t="str">
        <f>TEXT(Table1[[#This Row],[Order_Date]],"mmm")</f>
        <v>Nov</v>
      </c>
      <c r="D1702" t="s">
        <v>3580</v>
      </c>
      <c r="E1702" t="s">
        <v>47</v>
      </c>
      <c r="F1702">
        <v>4</v>
      </c>
      <c r="G1702">
        <v>44309.919999999998</v>
      </c>
      <c r="H1702">
        <v>177239.67999999999</v>
      </c>
      <c r="I1702" t="s">
        <v>23</v>
      </c>
      <c r="J1702" t="s">
        <v>14</v>
      </c>
    </row>
    <row r="1703" spans="1:10" x14ac:dyDescent="0.35">
      <c r="A1703" t="s">
        <v>3581</v>
      </c>
      <c r="B1703" t="s">
        <v>3576</v>
      </c>
      <c r="C1703" t="str">
        <f>TEXT(Table1[[#This Row],[Order_Date]],"mmm")</f>
        <v>Nov</v>
      </c>
      <c r="D1703" t="s">
        <v>3582</v>
      </c>
      <c r="E1703" t="s">
        <v>38</v>
      </c>
      <c r="F1703">
        <v>1</v>
      </c>
      <c r="G1703">
        <v>42816.73</v>
      </c>
      <c r="H1703">
        <v>42816.73</v>
      </c>
      <c r="I1703" t="s">
        <v>18</v>
      </c>
      <c r="J1703" t="s">
        <v>24</v>
      </c>
    </row>
    <row r="1704" spans="1:10" x14ac:dyDescent="0.35">
      <c r="A1704" t="s">
        <v>3583</v>
      </c>
      <c r="B1704" t="s">
        <v>3576</v>
      </c>
      <c r="C1704" t="str">
        <f>TEXT(Table1[[#This Row],[Order_Date]],"mmm")</f>
        <v>Nov</v>
      </c>
      <c r="D1704" t="s">
        <v>3584</v>
      </c>
      <c r="E1704" t="s">
        <v>53</v>
      </c>
      <c r="F1704">
        <v>2</v>
      </c>
      <c r="G1704">
        <v>4886.7299999999996</v>
      </c>
      <c r="H1704">
        <v>9773.4599999999991</v>
      </c>
      <c r="I1704" t="s">
        <v>13</v>
      </c>
      <c r="J1704" t="s">
        <v>14</v>
      </c>
    </row>
    <row r="1705" spans="1:10" x14ac:dyDescent="0.35">
      <c r="A1705" t="s">
        <v>3585</v>
      </c>
      <c r="B1705" t="s">
        <v>3586</v>
      </c>
      <c r="C1705" t="str">
        <f>TEXT(Table1[[#This Row],[Order_Date]],"mmm")</f>
        <v>Nov</v>
      </c>
      <c r="D1705" t="s">
        <v>2003</v>
      </c>
      <c r="E1705" t="s">
        <v>56</v>
      </c>
      <c r="F1705">
        <v>2</v>
      </c>
      <c r="G1705">
        <v>33775.74</v>
      </c>
      <c r="H1705">
        <v>67551.48</v>
      </c>
      <c r="I1705" t="s">
        <v>42</v>
      </c>
      <c r="J1705" t="s">
        <v>19</v>
      </c>
    </row>
    <row r="1706" spans="1:10" x14ac:dyDescent="0.35">
      <c r="A1706" t="s">
        <v>3587</v>
      </c>
      <c r="B1706" t="s">
        <v>3586</v>
      </c>
      <c r="C1706" t="str">
        <f>TEXT(Table1[[#This Row],[Order_Date]],"mmm")</f>
        <v>Nov</v>
      </c>
      <c r="D1706" t="s">
        <v>2014</v>
      </c>
      <c r="E1706" t="s">
        <v>32</v>
      </c>
      <c r="F1706">
        <v>2</v>
      </c>
      <c r="G1706">
        <v>43058.91</v>
      </c>
      <c r="H1706">
        <v>86117.82</v>
      </c>
      <c r="I1706" t="s">
        <v>23</v>
      </c>
      <c r="J1706" t="s">
        <v>35</v>
      </c>
    </row>
    <row r="1707" spans="1:10" x14ac:dyDescent="0.35">
      <c r="A1707" t="s">
        <v>3588</v>
      </c>
      <c r="B1707" t="s">
        <v>3586</v>
      </c>
      <c r="C1707" t="str">
        <f>TEXT(Table1[[#This Row],[Order_Date]],"mmm")</f>
        <v>Nov</v>
      </c>
      <c r="D1707" t="s">
        <v>3589</v>
      </c>
      <c r="E1707" t="s">
        <v>38</v>
      </c>
      <c r="F1707">
        <v>1</v>
      </c>
      <c r="G1707">
        <v>38177.26</v>
      </c>
      <c r="H1707">
        <v>38177.26</v>
      </c>
      <c r="I1707" t="s">
        <v>18</v>
      </c>
      <c r="J1707" t="s">
        <v>35</v>
      </c>
    </row>
    <row r="1708" spans="1:10" x14ac:dyDescent="0.35">
      <c r="A1708" t="s">
        <v>3590</v>
      </c>
      <c r="B1708" t="s">
        <v>3586</v>
      </c>
      <c r="C1708" t="str">
        <f>TEXT(Table1[[#This Row],[Order_Date]],"mmm")</f>
        <v>Nov</v>
      </c>
      <c r="D1708" t="s">
        <v>3591</v>
      </c>
      <c r="E1708" t="s">
        <v>56</v>
      </c>
      <c r="F1708">
        <v>3</v>
      </c>
      <c r="G1708">
        <v>38217.54</v>
      </c>
      <c r="H1708">
        <v>114652.62</v>
      </c>
      <c r="I1708" t="s">
        <v>42</v>
      </c>
      <c r="J1708" t="s">
        <v>19</v>
      </c>
    </row>
    <row r="1709" spans="1:10" x14ac:dyDescent="0.35">
      <c r="A1709" t="s">
        <v>3592</v>
      </c>
      <c r="B1709" t="s">
        <v>3586</v>
      </c>
      <c r="C1709" t="str">
        <f>TEXT(Table1[[#This Row],[Order_Date]],"mmm")</f>
        <v>Nov</v>
      </c>
      <c r="D1709" t="s">
        <v>3593</v>
      </c>
      <c r="E1709" t="s">
        <v>12</v>
      </c>
      <c r="F1709">
        <v>5</v>
      </c>
      <c r="G1709">
        <v>30509.15</v>
      </c>
      <c r="H1709">
        <v>152545.75</v>
      </c>
      <c r="I1709" t="s">
        <v>13</v>
      </c>
      <c r="J1709" t="s">
        <v>24</v>
      </c>
    </row>
    <row r="1710" spans="1:10" x14ac:dyDescent="0.35">
      <c r="A1710" t="s">
        <v>3594</v>
      </c>
      <c r="B1710" t="s">
        <v>3586</v>
      </c>
      <c r="C1710" t="str">
        <f>TEXT(Table1[[#This Row],[Order_Date]],"mmm")</f>
        <v>Nov</v>
      </c>
      <c r="D1710" t="s">
        <v>3595</v>
      </c>
      <c r="E1710" t="s">
        <v>32</v>
      </c>
      <c r="F1710">
        <v>4</v>
      </c>
      <c r="G1710">
        <v>10420.35</v>
      </c>
      <c r="H1710">
        <v>41681.4</v>
      </c>
      <c r="I1710" t="s">
        <v>42</v>
      </c>
      <c r="J1710" t="s">
        <v>14</v>
      </c>
    </row>
    <row r="1711" spans="1:10" x14ac:dyDescent="0.35">
      <c r="A1711" t="s">
        <v>3596</v>
      </c>
      <c r="B1711" t="s">
        <v>3586</v>
      </c>
      <c r="C1711" t="str">
        <f>TEXT(Table1[[#This Row],[Order_Date]],"mmm")</f>
        <v>Nov</v>
      </c>
      <c r="D1711" t="s">
        <v>3597</v>
      </c>
      <c r="E1711" t="s">
        <v>56</v>
      </c>
      <c r="F1711">
        <v>3</v>
      </c>
      <c r="G1711">
        <v>6545.29</v>
      </c>
      <c r="H1711">
        <v>19635.87</v>
      </c>
      <c r="I1711" t="s">
        <v>23</v>
      </c>
      <c r="J1711" t="s">
        <v>19</v>
      </c>
    </row>
    <row r="1712" spans="1:10" x14ac:dyDescent="0.35">
      <c r="A1712" t="s">
        <v>3598</v>
      </c>
      <c r="B1712" t="s">
        <v>3599</v>
      </c>
      <c r="C1712" t="str">
        <f>TEXT(Table1[[#This Row],[Order_Date]],"mmm")</f>
        <v>Nov</v>
      </c>
      <c r="D1712" t="s">
        <v>3600</v>
      </c>
      <c r="E1712" t="s">
        <v>56</v>
      </c>
      <c r="F1712">
        <v>4</v>
      </c>
      <c r="G1712">
        <v>2494.7199999999998</v>
      </c>
      <c r="H1712">
        <v>9978.8799999999992</v>
      </c>
      <c r="I1712" t="s">
        <v>18</v>
      </c>
      <c r="J1712" t="s">
        <v>24</v>
      </c>
    </row>
    <row r="1713" spans="1:10" x14ac:dyDescent="0.35">
      <c r="A1713" t="s">
        <v>3601</v>
      </c>
      <c r="B1713" t="s">
        <v>3599</v>
      </c>
      <c r="C1713" t="str">
        <f>TEXT(Table1[[#This Row],[Order_Date]],"mmm")</f>
        <v>Nov</v>
      </c>
      <c r="D1713" t="s">
        <v>3602</v>
      </c>
      <c r="E1713" t="s">
        <v>12</v>
      </c>
      <c r="F1713">
        <v>3</v>
      </c>
      <c r="G1713">
        <v>23306.94</v>
      </c>
      <c r="H1713">
        <v>69920.820000000007</v>
      </c>
      <c r="I1713" t="s">
        <v>42</v>
      </c>
      <c r="J1713" t="s">
        <v>14</v>
      </c>
    </row>
    <row r="1714" spans="1:10" x14ac:dyDescent="0.35">
      <c r="A1714" t="s">
        <v>3603</v>
      </c>
      <c r="B1714" t="s">
        <v>3599</v>
      </c>
      <c r="C1714" t="str">
        <f>TEXT(Table1[[#This Row],[Order_Date]],"mmm")</f>
        <v>Nov</v>
      </c>
      <c r="D1714" t="s">
        <v>3604</v>
      </c>
      <c r="E1714" t="s">
        <v>22</v>
      </c>
      <c r="F1714">
        <v>5</v>
      </c>
      <c r="G1714">
        <v>865.93</v>
      </c>
      <c r="H1714">
        <v>4329.6499999999996</v>
      </c>
      <c r="I1714" t="s">
        <v>18</v>
      </c>
      <c r="J1714" t="s">
        <v>24</v>
      </c>
    </row>
    <row r="1715" spans="1:10" x14ac:dyDescent="0.35">
      <c r="A1715" t="s">
        <v>3605</v>
      </c>
      <c r="B1715" t="s">
        <v>3599</v>
      </c>
      <c r="C1715" t="str">
        <f>TEXT(Table1[[#This Row],[Order_Date]],"mmm")</f>
        <v>Nov</v>
      </c>
      <c r="D1715" t="s">
        <v>3606</v>
      </c>
      <c r="E1715" t="s">
        <v>38</v>
      </c>
      <c r="F1715">
        <v>5</v>
      </c>
      <c r="G1715">
        <v>4370.84</v>
      </c>
      <c r="H1715">
        <v>21854.2</v>
      </c>
      <c r="I1715" t="s">
        <v>13</v>
      </c>
      <c r="J1715" t="s">
        <v>14</v>
      </c>
    </row>
    <row r="1716" spans="1:10" x14ac:dyDescent="0.35">
      <c r="A1716" t="s">
        <v>3607</v>
      </c>
      <c r="B1716" t="s">
        <v>3599</v>
      </c>
      <c r="C1716" t="str">
        <f>TEXT(Table1[[#This Row],[Order_Date]],"mmm")</f>
        <v>Nov</v>
      </c>
      <c r="D1716" t="s">
        <v>1561</v>
      </c>
      <c r="E1716" t="s">
        <v>17</v>
      </c>
      <c r="F1716">
        <v>4</v>
      </c>
      <c r="G1716">
        <v>12015.16</v>
      </c>
      <c r="H1716">
        <v>48060.639999999999</v>
      </c>
      <c r="I1716" t="s">
        <v>42</v>
      </c>
      <c r="J1716" t="s">
        <v>19</v>
      </c>
    </row>
    <row r="1717" spans="1:10" x14ac:dyDescent="0.35">
      <c r="A1717" t="s">
        <v>3608</v>
      </c>
      <c r="B1717" t="s">
        <v>3599</v>
      </c>
      <c r="C1717" t="str">
        <f>TEXT(Table1[[#This Row],[Order_Date]],"mmm")</f>
        <v>Nov</v>
      </c>
      <c r="D1717" t="s">
        <v>450</v>
      </c>
      <c r="E1717" t="s">
        <v>56</v>
      </c>
      <c r="F1717">
        <v>5</v>
      </c>
      <c r="G1717">
        <v>10592.05</v>
      </c>
      <c r="H1717">
        <v>52960.25</v>
      </c>
      <c r="I1717" t="s">
        <v>18</v>
      </c>
      <c r="J1717" t="s">
        <v>35</v>
      </c>
    </row>
    <row r="1718" spans="1:10" x14ac:dyDescent="0.35">
      <c r="A1718" t="s">
        <v>3609</v>
      </c>
      <c r="B1718" t="s">
        <v>3610</v>
      </c>
      <c r="C1718" t="str">
        <f>TEXT(Table1[[#This Row],[Order_Date]],"mmm")</f>
        <v>Nov</v>
      </c>
      <c r="D1718" t="s">
        <v>1335</v>
      </c>
      <c r="E1718" t="s">
        <v>12</v>
      </c>
      <c r="F1718">
        <v>1</v>
      </c>
      <c r="G1718">
        <v>16823.400000000001</v>
      </c>
      <c r="H1718">
        <v>16823.400000000001</v>
      </c>
      <c r="I1718" t="s">
        <v>23</v>
      </c>
      <c r="J1718" t="s">
        <v>14</v>
      </c>
    </row>
    <row r="1719" spans="1:10" x14ac:dyDescent="0.35">
      <c r="A1719" t="s">
        <v>3611</v>
      </c>
      <c r="B1719" t="s">
        <v>3610</v>
      </c>
      <c r="C1719" t="str">
        <f>TEXT(Table1[[#This Row],[Order_Date]],"mmm")</f>
        <v>Nov</v>
      </c>
      <c r="D1719" t="s">
        <v>940</v>
      </c>
      <c r="E1719" t="s">
        <v>22</v>
      </c>
      <c r="F1719">
        <v>4</v>
      </c>
      <c r="G1719">
        <v>41365.980000000003</v>
      </c>
      <c r="H1719">
        <v>165463.92000000001</v>
      </c>
      <c r="I1719" t="s">
        <v>23</v>
      </c>
      <c r="J1719" t="s">
        <v>19</v>
      </c>
    </row>
    <row r="1720" spans="1:10" x14ac:dyDescent="0.35">
      <c r="A1720" t="s">
        <v>3612</v>
      </c>
      <c r="B1720" t="s">
        <v>3610</v>
      </c>
      <c r="C1720" t="str">
        <f>TEXT(Table1[[#This Row],[Order_Date]],"mmm")</f>
        <v>Nov</v>
      </c>
      <c r="D1720" t="s">
        <v>1845</v>
      </c>
      <c r="E1720" t="s">
        <v>32</v>
      </c>
      <c r="F1720">
        <v>3</v>
      </c>
      <c r="G1720">
        <v>2015.33</v>
      </c>
      <c r="H1720">
        <v>6045.99</v>
      </c>
      <c r="I1720" t="s">
        <v>13</v>
      </c>
      <c r="J1720" t="s">
        <v>19</v>
      </c>
    </row>
    <row r="1721" spans="1:10" x14ac:dyDescent="0.35">
      <c r="A1721" t="s">
        <v>3613</v>
      </c>
      <c r="B1721" t="s">
        <v>3610</v>
      </c>
      <c r="C1721" t="str">
        <f>TEXT(Table1[[#This Row],[Order_Date]],"mmm")</f>
        <v>Nov</v>
      </c>
      <c r="D1721" t="s">
        <v>3614</v>
      </c>
      <c r="E1721" t="s">
        <v>32</v>
      </c>
      <c r="F1721">
        <v>5</v>
      </c>
      <c r="G1721">
        <v>44098.239999999998</v>
      </c>
      <c r="H1721">
        <v>220491.2</v>
      </c>
      <c r="I1721" t="s">
        <v>18</v>
      </c>
      <c r="J1721" t="s">
        <v>19</v>
      </c>
    </row>
    <row r="1722" spans="1:10" x14ac:dyDescent="0.35">
      <c r="A1722" t="s">
        <v>3615</v>
      </c>
      <c r="B1722" t="s">
        <v>3610</v>
      </c>
      <c r="C1722" t="str">
        <f>TEXT(Table1[[#This Row],[Order_Date]],"mmm")</f>
        <v>Nov</v>
      </c>
      <c r="D1722" t="s">
        <v>3616</v>
      </c>
      <c r="E1722" t="s">
        <v>75</v>
      </c>
      <c r="F1722">
        <v>3</v>
      </c>
      <c r="G1722">
        <v>1224.6600000000001</v>
      </c>
      <c r="H1722">
        <v>3673.98</v>
      </c>
      <c r="I1722" t="s">
        <v>13</v>
      </c>
      <c r="J1722" t="s">
        <v>14</v>
      </c>
    </row>
    <row r="1723" spans="1:10" x14ac:dyDescent="0.35">
      <c r="A1723" t="s">
        <v>3617</v>
      </c>
      <c r="B1723" t="s">
        <v>3610</v>
      </c>
      <c r="C1723" t="str">
        <f>TEXT(Table1[[#This Row],[Order_Date]],"mmm")</f>
        <v>Nov</v>
      </c>
      <c r="D1723" t="s">
        <v>3618</v>
      </c>
      <c r="E1723" t="s">
        <v>32</v>
      </c>
      <c r="F1723">
        <v>2</v>
      </c>
      <c r="G1723">
        <v>47975.53</v>
      </c>
      <c r="H1723">
        <v>95951.06</v>
      </c>
      <c r="I1723" t="s">
        <v>42</v>
      </c>
      <c r="J1723" t="s">
        <v>24</v>
      </c>
    </row>
    <row r="1724" spans="1:10" x14ac:dyDescent="0.35">
      <c r="A1724" t="s">
        <v>3619</v>
      </c>
      <c r="B1724" t="s">
        <v>3620</v>
      </c>
      <c r="C1724" t="str">
        <f>TEXT(Table1[[#This Row],[Order_Date]],"mmm")</f>
        <v>Nov</v>
      </c>
      <c r="D1724" t="s">
        <v>3621</v>
      </c>
      <c r="E1724" t="s">
        <v>38</v>
      </c>
      <c r="F1724">
        <v>2</v>
      </c>
      <c r="G1724">
        <v>5025.2700000000004</v>
      </c>
      <c r="H1724">
        <v>10050.540000000001</v>
      </c>
      <c r="I1724" t="s">
        <v>13</v>
      </c>
      <c r="J1724" t="s">
        <v>19</v>
      </c>
    </row>
    <row r="1725" spans="1:10" x14ac:dyDescent="0.35">
      <c r="A1725" t="s">
        <v>3622</v>
      </c>
      <c r="B1725" t="s">
        <v>3620</v>
      </c>
      <c r="C1725" t="str">
        <f>TEXT(Table1[[#This Row],[Order_Date]],"mmm")</f>
        <v>Nov</v>
      </c>
      <c r="D1725" t="s">
        <v>3623</v>
      </c>
      <c r="E1725" t="s">
        <v>17</v>
      </c>
      <c r="F1725">
        <v>5</v>
      </c>
      <c r="G1725">
        <v>27787.58</v>
      </c>
      <c r="H1725">
        <v>138937.9</v>
      </c>
      <c r="I1725" t="s">
        <v>42</v>
      </c>
      <c r="J1725" t="s">
        <v>24</v>
      </c>
    </row>
    <row r="1726" spans="1:10" x14ac:dyDescent="0.35">
      <c r="A1726" t="s">
        <v>3624</v>
      </c>
      <c r="B1726" t="s">
        <v>3620</v>
      </c>
      <c r="C1726" t="str">
        <f>TEXT(Table1[[#This Row],[Order_Date]],"mmm")</f>
        <v>Nov</v>
      </c>
      <c r="D1726" t="s">
        <v>3625</v>
      </c>
      <c r="E1726" t="s">
        <v>17</v>
      </c>
      <c r="F1726">
        <v>2</v>
      </c>
      <c r="G1726">
        <v>1379.6</v>
      </c>
      <c r="H1726">
        <v>2759.2</v>
      </c>
      <c r="I1726" t="s">
        <v>18</v>
      </c>
      <c r="J1726" t="s">
        <v>14</v>
      </c>
    </row>
    <row r="1727" spans="1:10" x14ac:dyDescent="0.35">
      <c r="A1727" t="s">
        <v>3626</v>
      </c>
      <c r="B1727" t="s">
        <v>3620</v>
      </c>
      <c r="C1727" t="str">
        <f>TEXT(Table1[[#This Row],[Order_Date]],"mmm")</f>
        <v>Nov</v>
      </c>
      <c r="D1727" t="s">
        <v>3627</v>
      </c>
      <c r="E1727" t="s">
        <v>38</v>
      </c>
      <c r="F1727">
        <v>2</v>
      </c>
      <c r="G1727">
        <v>31738.57</v>
      </c>
      <c r="H1727">
        <v>63477.14</v>
      </c>
      <c r="I1727" t="s">
        <v>18</v>
      </c>
      <c r="J1727" t="s">
        <v>14</v>
      </c>
    </row>
    <row r="1728" spans="1:10" x14ac:dyDescent="0.35">
      <c r="A1728" t="s">
        <v>3628</v>
      </c>
      <c r="B1728" t="s">
        <v>3629</v>
      </c>
      <c r="C1728" t="str">
        <f>TEXT(Table1[[#This Row],[Order_Date]],"mmm")</f>
        <v>Nov</v>
      </c>
      <c r="D1728" t="s">
        <v>3630</v>
      </c>
      <c r="E1728" t="s">
        <v>56</v>
      </c>
      <c r="F1728">
        <v>4</v>
      </c>
      <c r="G1728">
        <v>3757.56</v>
      </c>
      <c r="H1728">
        <v>15030.24</v>
      </c>
      <c r="I1728" t="s">
        <v>23</v>
      </c>
      <c r="J1728" t="s">
        <v>19</v>
      </c>
    </row>
    <row r="1729" spans="1:10" x14ac:dyDescent="0.35">
      <c r="A1729" t="s">
        <v>3631</v>
      </c>
      <c r="B1729" t="s">
        <v>3629</v>
      </c>
      <c r="C1729" t="str">
        <f>TEXT(Table1[[#This Row],[Order_Date]],"mmm")</f>
        <v>Nov</v>
      </c>
      <c r="D1729" t="s">
        <v>1198</v>
      </c>
      <c r="E1729" t="s">
        <v>32</v>
      </c>
      <c r="F1729">
        <v>3</v>
      </c>
      <c r="G1729">
        <v>38345.879999999997</v>
      </c>
      <c r="H1729">
        <v>115037.64</v>
      </c>
      <c r="I1729" t="s">
        <v>18</v>
      </c>
      <c r="J1729" t="s">
        <v>19</v>
      </c>
    </row>
    <row r="1730" spans="1:10" x14ac:dyDescent="0.35">
      <c r="A1730" t="s">
        <v>3632</v>
      </c>
      <c r="B1730" t="s">
        <v>3629</v>
      </c>
      <c r="C1730" t="str">
        <f>TEXT(Table1[[#This Row],[Order_Date]],"mmm")</f>
        <v>Nov</v>
      </c>
      <c r="D1730" t="s">
        <v>839</v>
      </c>
      <c r="E1730" t="s">
        <v>56</v>
      </c>
      <c r="F1730">
        <v>1</v>
      </c>
      <c r="G1730">
        <v>15877.73</v>
      </c>
      <c r="H1730">
        <v>15877.73</v>
      </c>
      <c r="I1730" t="s">
        <v>18</v>
      </c>
      <c r="J1730" t="s">
        <v>19</v>
      </c>
    </row>
    <row r="1731" spans="1:10" x14ac:dyDescent="0.35">
      <c r="A1731" t="s">
        <v>3633</v>
      </c>
      <c r="B1731" t="s">
        <v>3629</v>
      </c>
      <c r="C1731" t="str">
        <f>TEXT(Table1[[#This Row],[Order_Date]],"mmm")</f>
        <v>Nov</v>
      </c>
      <c r="D1731" t="s">
        <v>3634</v>
      </c>
      <c r="E1731" t="s">
        <v>47</v>
      </c>
      <c r="F1731">
        <v>3</v>
      </c>
      <c r="G1731">
        <v>31015.75</v>
      </c>
      <c r="H1731">
        <v>93047.25</v>
      </c>
      <c r="I1731" t="s">
        <v>42</v>
      </c>
      <c r="J1731" t="s">
        <v>14</v>
      </c>
    </row>
    <row r="1732" spans="1:10" x14ac:dyDescent="0.35">
      <c r="A1732" t="s">
        <v>3635</v>
      </c>
      <c r="B1732" t="s">
        <v>3629</v>
      </c>
      <c r="C1732" t="str">
        <f>TEXT(Table1[[#This Row],[Order_Date]],"mmm")</f>
        <v>Nov</v>
      </c>
      <c r="D1732" t="s">
        <v>3636</v>
      </c>
      <c r="E1732" t="s">
        <v>32</v>
      </c>
      <c r="F1732">
        <v>3</v>
      </c>
      <c r="G1732">
        <v>44305.11</v>
      </c>
      <c r="H1732">
        <v>132915.32999999999</v>
      </c>
      <c r="I1732" t="s">
        <v>42</v>
      </c>
      <c r="J1732" t="s">
        <v>19</v>
      </c>
    </row>
    <row r="1733" spans="1:10" x14ac:dyDescent="0.35">
      <c r="A1733" t="s">
        <v>3637</v>
      </c>
      <c r="B1733" t="s">
        <v>3638</v>
      </c>
      <c r="C1733" t="str">
        <f>TEXT(Table1[[#This Row],[Order_Date]],"mmm")</f>
        <v>Nov</v>
      </c>
      <c r="D1733" t="s">
        <v>3639</v>
      </c>
      <c r="E1733" t="s">
        <v>47</v>
      </c>
      <c r="F1733">
        <v>2</v>
      </c>
      <c r="G1733">
        <v>33892.06</v>
      </c>
      <c r="H1733">
        <v>67784.12</v>
      </c>
      <c r="I1733" t="s">
        <v>42</v>
      </c>
      <c r="J1733" t="s">
        <v>35</v>
      </c>
    </row>
    <row r="1734" spans="1:10" x14ac:dyDescent="0.35">
      <c r="A1734" t="s">
        <v>3640</v>
      </c>
      <c r="B1734" t="s">
        <v>3638</v>
      </c>
      <c r="C1734" t="str">
        <f>TEXT(Table1[[#This Row],[Order_Date]],"mmm")</f>
        <v>Nov</v>
      </c>
      <c r="D1734" t="s">
        <v>3641</v>
      </c>
      <c r="E1734" t="s">
        <v>53</v>
      </c>
      <c r="F1734">
        <v>3</v>
      </c>
      <c r="G1734">
        <v>12098.6</v>
      </c>
      <c r="H1734">
        <v>36295.800000000003</v>
      </c>
      <c r="I1734" t="s">
        <v>42</v>
      </c>
      <c r="J1734" t="s">
        <v>14</v>
      </c>
    </row>
    <row r="1735" spans="1:10" x14ac:dyDescent="0.35">
      <c r="A1735" t="s">
        <v>3642</v>
      </c>
      <c r="B1735" t="s">
        <v>3638</v>
      </c>
      <c r="C1735" t="str">
        <f>TEXT(Table1[[#This Row],[Order_Date]],"mmm")</f>
        <v>Nov</v>
      </c>
      <c r="D1735" t="s">
        <v>3643</v>
      </c>
      <c r="E1735" t="s">
        <v>17</v>
      </c>
      <c r="F1735">
        <v>4</v>
      </c>
      <c r="G1735">
        <v>1381.56</v>
      </c>
      <c r="H1735">
        <v>5526.24</v>
      </c>
      <c r="I1735" t="s">
        <v>42</v>
      </c>
      <c r="J1735" t="s">
        <v>35</v>
      </c>
    </row>
    <row r="1736" spans="1:10" x14ac:dyDescent="0.35">
      <c r="A1736" t="s">
        <v>3644</v>
      </c>
      <c r="B1736" t="s">
        <v>3638</v>
      </c>
      <c r="C1736" t="str">
        <f>TEXT(Table1[[#This Row],[Order_Date]],"mmm")</f>
        <v>Nov</v>
      </c>
      <c r="D1736" t="s">
        <v>3645</v>
      </c>
      <c r="E1736" t="s">
        <v>53</v>
      </c>
      <c r="F1736">
        <v>4</v>
      </c>
      <c r="G1736">
        <v>15292.21</v>
      </c>
      <c r="H1736">
        <v>61168.84</v>
      </c>
      <c r="I1736" t="s">
        <v>23</v>
      </c>
      <c r="J1736" t="s">
        <v>24</v>
      </c>
    </row>
    <row r="1737" spans="1:10" x14ac:dyDescent="0.35">
      <c r="A1737" t="s">
        <v>3646</v>
      </c>
      <c r="B1737" t="s">
        <v>3647</v>
      </c>
      <c r="C1737" t="str">
        <f>TEXT(Table1[[#This Row],[Order_Date]],"mmm")</f>
        <v>Nov</v>
      </c>
      <c r="D1737" t="s">
        <v>3648</v>
      </c>
      <c r="E1737" t="s">
        <v>53</v>
      </c>
      <c r="F1737">
        <v>5</v>
      </c>
      <c r="G1737">
        <v>39192.51</v>
      </c>
      <c r="H1737">
        <v>195962.55</v>
      </c>
      <c r="I1737" t="s">
        <v>13</v>
      </c>
      <c r="J1737" t="s">
        <v>14</v>
      </c>
    </row>
    <row r="1738" spans="1:10" x14ac:dyDescent="0.35">
      <c r="A1738" t="s">
        <v>3649</v>
      </c>
      <c r="B1738" t="s">
        <v>3647</v>
      </c>
      <c r="C1738" t="str">
        <f>TEXT(Table1[[#This Row],[Order_Date]],"mmm")</f>
        <v>Nov</v>
      </c>
      <c r="D1738" t="s">
        <v>3650</v>
      </c>
      <c r="E1738" t="s">
        <v>56</v>
      </c>
      <c r="F1738">
        <v>4</v>
      </c>
      <c r="G1738">
        <v>5143.3</v>
      </c>
      <c r="H1738">
        <v>20573.2</v>
      </c>
      <c r="I1738" t="s">
        <v>23</v>
      </c>
      <c r="J1738" t="s">
        <v>19</v>
      </c>
    </row>
    <row r="1739" spans="1:10" x14ac:dyDescent="0.35">
      <c r="A1739" t="s">
        <v>3651</v>
      </c>
      <c r="B1739" t="s">
        <v>3647</v>
      </c>
      <c r="C1739" t="str">
        <f>TEXT(Table1[[#This Row],[Order_Date]],"mmm")</f>
        <v>Nov</v>
      </c>
      <c r="D1739" t="s">
        <v>3652</v>
      </c>
      <c r="E1739" t="s">
        <v>32</v>
      </c>
      <c r="F1739">
        <v>5</v>
      </c>
      <c r="G1739">
        <v>32094.58</v>
      </c>
      <c r="H1739">
        <v>160472.9</v>
      </c>
      <c r="I1739" t="s">
        <v>13</v>
      </c>
      <c r="J1739" t="s">
        <v>14</v>
      </c>
    </row>
    <row r="1740" spans="1:10" x14ac:dyDescent="0.35">
      <c r="A1740" t="s">
        <v>3653</v>
      </c>
      <c r="B1740" t="s">
        <v>3647</v>
      </c>
      <c r="C1740" t="str">
        <f>TEXT(Table1[[#This Row],[Order_Date]],"mmm")</f>
        <v>Nov</v>
      </c>
      <c r="D1740" t="s">
        <v>3654</v>
      </c>
      <c r="E1740" t="s">
        <v>22</v>
      </c>
      <c r="F1740">
        <v>5</v>
      </c>
      <c r="G1740">
        <v>39464.65</v>
      </c>
      <c r="H1740">
        <v>197323.25</v>
      </c>
      <c r="I1740" t="s">
        <v>13</v>
      </c>
      <c r="J1740" t="s">
        <v>24</v>
      </c>
    </row>
    <row r="1741" spans="1:10" x14ac:dyDescent="0.35">
      <c r="A1741" t="s">
        <v>3655</v>
      </c>
      <c r="B1741" t="s">
        <v>3647</v>
      </c>
      <c r="C1741" t="str">
        <f>TEXT(Table1[[#This Row],[Order_Date]],"mmm")</f>
        <v>Nov</v>
      </c>
      <c r="D1741" t="s">
        <v>3656</v>
      </c>
      <c r="E1741" t="s">
        <v>47</v>
      </c>
      <c r="F1741">
        <v>4</v>
      </c>
      <c r="G1741">
        <v>47346.22</v>
      </c>
      <c r="H1741">
        <v>189384.88</v>
      </c>
      <c r="I1741" t="s">
        <v>13</v>
      </c>
      <c r="J1741" t="s">
        <v>35</v>
      </c>
    </row>
    <row r="1742" spans="1:10" x14ac:dyDescent="0.35">
      <c r="A1742" t="s">
        <v>3657</v>
      </c>
      <c r="B1742" t="s">
        <v>3658</v>
      </c>
      <c r="C1742" t="str">
        <f>TEXT(Table1[[#This Row],[Order_Date]],"mmm")</f>
        <v>Nov</v>
      </c>
      <c r="D1742" t="s">
        <v>2794</v>
      </c>
      <c r="E1742" t="s">
        <v>32</v>
      </c>
      <c r="F1742">
        <v>5</v>
      </c>
      <c r="G1742">
        <v>5741.55</v>
      </c>
      <c r="H1742">
        <v>28707.75</v>
      </c>
      <c r="I1742" t="s">
        <v>18</v>
      </c>
      <c r="J1742" t="s">
        <v>24</v>
      </c>
    </row>
    <row r="1743" spans="1:10" x14ac:dyDescent="0.35">
      <c r="A1743" t="s">
        <v>3659</v>
      </c>
      <c r="B1743" t="s">
        <v>3658</v>
      </c>
      <c r="C1743" t="str">
        <f>TEXT(Table1[[#This Row],[Order_Date]],"mmm")</f>
        <v>Nov</v>
      </c>
      <c r="D1743" t="s">
        <v>3660</v>
      </c>
      <c r="E1743" t="s">
        <v>32</v>
      </c>
      <c r="F1743">
        <v>1</v>
      </c>
      <c r="G1743">
        <v>37814.480000000003</v>
      </c>
      <c r="H1743">
        <v>37814.480000000003</v>
      </c>
      <c r="I1743" t="s">
        <v>18</v>
      </c>
      <c r="J1743" t="s">
        <v>14</v>
      </c>
    </row>
    <row r="1744" spans="1:10" x14ac:dyDescent="0.35">
      <c r="A1744" t="s">
        <v>3661</v>
      </c>
      <c r="B1744" t="s">
        <v>3658</v>
      </c>
      <c r="C1744" t="str">
        <f>TEXT(Table1[[#This Row],[Order_Date]],"mmm")</f>
        <v>Nov</v>
      </c>
      <c r="D1744" t="s">
        <v>3047</v>
      </c>
      <c r="E1744" t="s">
        <v>38</v>
      </c>
      <c r="F1744">
        <v>5</v>
      </c>
      <c r="G1744">
        <v>18506.810000000001</v>
      </c>
      <c r="H1744">
        <v>92534.05</v>
      </c>
      <c r="I1744" t="s">
        <v>23</v>
      </c>
      <c r="J1744" t="s">
        <v>14</v>
      </c>
    </row>
    <row r="1745" spans="1:10" x14ac:dyDescent="0.35">
      <c r="A1745" t="s">
        <v>3662</v>
      </c>
      <c r="B1745" t="s">
        <v>3658</v>
      </c>
      <c r="C1745" t="str">
        <f>TEXT(Table1[[#This Row],[Order_Date]],"mmm")</f>
        <v>Nov</v>
      </c>
      <c r="D1745" t="s">
        <v>3663</v>
      </c>
      <c r="E1745" t="s">
        <v>72</v>
      </c>
      <c r="F1745">
        <v>4</v>
      </c>
      <c r="G1745">
        <v>2339.59</v>
      </c>
      <c r="H1745">
        <v>9358.36</v>
      </c>
      <c r="I1745" t="s">
        <v>23</v>
      </c>
      <c r="J1745" t="s">
        <v>19</v>
      </c>
    </row>
    <row r="1746" spans="1:10" x14ac:dyDescent="0.35">
      <c r="A1746" t="s">
        <v>3664</v>
      </c>
      <c r="B1746" t="s">
        <v>3658</v>
      </c>
      <c r="C1746" t="str">
        <f>TEXT(Table1[[#This Row],[Order_Date]],"mmm")</f>
        <v>Nov</v>
      </c>
      <c r="D1746" t="s">
        <v>3665</v>
      </c>
      <c r="E1746" t="s">
        <v>53</v>
      </c>
      <c r="F1746">
        <v>4</v>
      </c>
      <c r="G1746">
        <v>12424.2</v>
      </c>
      <c r="H1746">
        <v>49696.800000000003</v>
      </c>
      <c r="I1746" t="s">
        <v>13</v>
      </c>
      <c r="J1746" t="s">
        <v>35</v>
      </c>
    </row>
    <row r="1747" spans="1:10" x14ac:dyDescent="0.35">
      <c r="A1747" t="s">
        <v>3666</v>
      </c>
      <c r="B1747" t="s">
        <v>3658</v>
      </c>
      <c r="C1747" t="str">
        <f>TEXT(Table1[[#This Row],[Order_Date]],"mmm")</f>
        <v>Nov</v>
      </c>
      <c r="D1747" t="s">
        <v>854</v>
      </c>
      <c r="E1747" t="s">
        <v>12</v>
      </c>
      <c r="F1747">
        <v>5</v>
      </c>
      <c r="G1747">
        <v>46461.9</v>
      </c>
      <c r="H1747">
        <v>232309.5</v>
      </c>
      <c r="I1747" t="s">
        <v>13</v>
      </c>
      <c r="J1747" t="s">
        <v>19</v>
      </c>
    </row>
    <row r="1748" spans="1:10" x14ac:dyDescent="0.35">
      <c r="A1748" t="s">
        <v>3667</v>
      </c>
      <c r="B1748" t="s">
        <v>3658</v>
      </c>
      <c r="C1748" t="str">
        <f>TEXT(Table1[[#This Row],[Order_Date]],"mmm")</f>
        <v>Nov</v>
      </c>
      <c r="D1748" t="s">
        <v>3668</v>
      </c>
      <c r="E1748" t="s">
        <v>75</v>
      </c>
      <c r="F1748">
        <v>3</v>
      </c>
      <c r="G1748">
        <v>16166.64</v>
      </c>
      <c r="H1748">
        <v>48499.92</v>
      </c>
      <c r="I1748" t="s">
        <v>42</v>
      </c>
      <c r="J1748" t="s">
        <v>35</v>
      </c>
    </row>
    <row r="1749" spans="1:10" x14ac:dyDescent="0.35">
      <c r="A1749" t="s">
        <v>3669</v>
      </c>
      <c r="B1749" t="s">
        <v>3670</v>
      </c>
      <c r="C1749" t="str">
        <f>TEXT(Table1[[#This Row],[Order_Date]],"mmm")</f>
        <v>Nov</v>
      </c>
      <c r="D1749" t="s">
        <v>1500</v>
      </c>
      <c r="E1749" t="s">
        <v>32</v>
      </c>
      <c r="F1749">
        <v>5</v>
      </c>
      <c r="G1749">
        <v>24117.42</v>
      </c>
      <c r="H1749">
        <v>120587.1</v>
      </c>
      <c r="I1749" t="s">
        <v>42</v>
      </c>
      <c r="J1749" t="s">
        <v>19</v>
      </c>
    </row>
    <row r="1750" spans="1:10" x14ac:dyDescent="0.35">
      <c r="A1750" t="s">
        <v>3671</v>
      </c>
      <c r="B1750" t="s">
        <v>3670</v>
      </c>
      <c r="C1750" t="str">
        <f>TEXT(Table1[[#This Row],[Order_Date]],"mmm")</f>
        <v>Nov</v>
      </c>
      <c r="D1750" t="s">
        <v>2777</v>
      </c>
      <c r="E1750" t="s">
        <v>22</v>
      </c>
      <c r="F1750">
        <v>3</v>
      </c>
      <c r="G1750">
        <v>645.23</v>
      </c>
      <c r="H1750">
        <v>1935.69</v>
      </c>
      <c r="I1750" t="s">
        <v>23</v>
      </c>
      <c r="J1750" t="s">
        <v>14</v>
      </c>
    </row>
    <row r="1751" spans="1:10" x14ac:dyDescent="0.35">
      <c r="A1751" t="s">
        <v>3672</v>
      </c>
      <c r="B1751" t="s">
        <v>3670</v>
      </c>
      <c r="C1751" t="str">
        <f>TEXT(Table1[[#This Row],[Order_Date]],"mmm")</f>
        <v>Nov</v>
      </c>
      <c r="D1751" t="s">
        <v>3673</v>
      </c>
      <c r="E1751" t="s">
        <v>72</v>
      </c>
      <c r="F1751">
        <v>5</v>
      </c>
      <c r="G1751">
        <v>35670.160000000003</v>
      </c>
      <c r="H1751">
        <v>178350.8</v>
      </c>
      <c r="I1751" t="s">
        <v>42</v>
      </c>
      <c r="J1751" t="s">
        <v>14</v>
      </c>
    </row>
    <row r="1752" spans="1:10" x14ac:dyDescent="0.35">
      <c r="A1752" t="s">
        <v>3674</v>
      </c>
      <c r="B1752" t="s">
        <v>3670</v>
      </c>
      <c r="C1752" t="str">
        <f>TEXT(Table1[[#This Row],[Order_Date]],"mmm")</f>
        <v>Nov</v>
      </c>
      <c r="D1752" t="s">
        <v>3675</v>
      </c>
      <c r="E1752" t="s">
        <v>47</v>
      </c>
      <c r="F1752">
        <v>1</v>
      </c>
      <c r="G1752">
        <v>22975.34</v>
      </c>
      <c r="H1752">
        <v>22975.34</v>
      </c>
      <c r="I1752" t="s">
        <v>18</v>
      </c>
      <c r="J1752" t="s">
        <v>35</v>
      </c>
    </row>
    <row r="1753" spans="1:10" x14ac:dyDescent="0.35">
      <c r="A1753" t="s">
        <v>3676</v>
      </c>
      <c r="B1753" t="s">
        <v>3670</v>
      </c>
      <c r="C1753" t="str">
        <f>TEXT(Table1[[#This Row],[Order_Date]],"mmm")</f>
        <v>Nov</v>
      </c>
      <c r="D1753" t="s">
        <v>3677</v>
      </c>
      <c r="E1753" t="s">
        <v>47</v>
      </c>
      <c r="F1753">
        <v>1</v>
      </c>
      <c r="G1753">
        <v>4707.63</v>
      </c>
      <c r="H1753">
        <v>4707.63</v>
      </c>
      <c r="I1753" t="s">
        <v>13</v>
      </c>
      <c r="J1753" t="s">
        <v>35</v>
      </c>
    </row>
    <row r="1754" spans="1:10" x14ac:dyDescent="0.35">
      <c r="A1754" t="s">
        <v>3678</v>
      </c>
      <c r="B1754" t="s">
        <v>3670</v>
      </c>
      <c r="C1754" t="str">
        <f>TEXT(Table1[[#This Row],[Order_Date]],"mmm")</f>
        <v>Nov</v>
      </c>
      <c r="D1754" t="s">
        <v>1335</v>
      </c>
      <c r="E1754" t="s">
        <v>12</v>
      </c>
      <c r="F1754">
        <v>2</v>
      </c>
      <c r="G1754">
        <v>1871.55</v>
      </c>
      <c r="H1754">
        <v>3743.1</v>
      </c>
      <c r="I1754" t="s">
        <v>23</v>
      </c>
      <c r="J1754" t="s">
        <v>35</v>
      </c>
    </row>
    <row r="1755" spans="1:10" x14ac:dyDescent="0.35">
      <c r="A1755" t="s">
        <v>3679</v>
      </c>
      <c r="B1755" t="s">
        <v>3670</v>
      </c>
      <c r="C1755" t="str">
        <f>TEXT(Table1[[#This Row],[Order_Date]],"mmm")</f>
        <v>Nov</v>
      </c>
      <c r="D1755" t="s">
        <v>3680</v>
      </c>
      <c r="E1755" t="s">
        <v>72</v>
      </c>
      <c r="F1755">
        <v>5</v>
      </c>
      <c r="G1755">
        <v>12626.79</v>
      </c>
      <c r="H1755">
        <v>63133.95</v>
      </c>
      <c r="I1755" t="s">
        <v>18</v>
      </c>
      <c r="J1755" t="s">
        <v>35</v>
      </c>
    </row>
    <row r="1756" spans="1:10" x14ac:dyDescent="0.35">
      <c r="A1756" t="s">
        <v>3681</v>
      </c>
      <c r="B1756" t="s">
        <v>3670</v>
      </c>
      <c r="C1756" t="str">
        <f>TEXT(Table1[[#This Row],[Order_Date]],"mmm")</f>
        <v>Nov</v>
      </c>
      <c r="D1756" t="s">
        <v>3682</v>
      </c>
      <c r="E1756" t="s">
        <v>38</v>
      </c>
      <c r="F1756">
        <v>3</v>
      </c>
      <c r="G1756">
        <v>33421.17</v>
      </c>
      <c r="H1756">
        <v>100263.51</v>
      </c>
      <c r="I1756" t="s">
        <v>18</v>
      </c>
      <c r="J1756" t="s">
        <v>19</v>
      </c>
    </row>
    <row r="1757" spans="1:10" x14ac:dyDescent="0.35">
      <c r="A1757" t="s">
        <v>3683</v>
      </c>
      <c r="B1757" t="s">
        <v>3684</v>
      </c>
      <c r="C1757" t="str">
        <f>TEXT(Table1[[#This Row],[Order_Date]],"mmm")</f>
        <v>Nov</v>
      </c>
      <c r="D1757" t="s">
        <v>3685</v>
      </c>
      <c r="E1757" t="s">
        <v>12</v>
      </c>
      <c r="F1757">
        <v>5</v>
      </c>
      <c r="G1757">
        <v>35983.300000000003</v>
      </c>
      <c r="H1757">
        <v>179916.5</v>
      </c>
      <c r="I1757" t="s">
        <v>18</v>
      </c>
      <c r="J1757" t="s">
        <v>24</v>
      </c>
    </row>
    <row r="1758" spans="1:10" x14ac:dyDescent="0.35">
      <c r="A1758" t="s">
        <v>3686</v>
      </c>
      <c r="B1758" t="s">
        <v>3684</v>
      </c>
      <c r="C1758" t="str">
        <f>TEXT(Table1[[#This Row],[Order_Date]],"mmm")</f>
        <v>Nov</v>
      </c>
      <c r="D1758" t="s">
        <v>3687</v>
      </c>
      <c r="E1758" t="s">
        <v>53</v>
      </c>
      <c r="F1758">
        <v>2</v>
      </c>
      <c r="G1758">
        <v>10698.4</v>
      </c>
      <c r="H1758">
        <v>21396.799999999999</v>
      </c>
      <c r="I1758" t="s">
        <v>13</v>
      </c>
      <c r="J1758" t="s">
        <v>19</v>
      </c>
    </row>
    <row r="1759" spans="1:10" x14ac:dyDescent="0.35">
      <c r="A1759" t="s">
        <v>3688</v>
      </c>
      <c r="B1759" t="s">
        <v>3684</v>
      </c>
      <c r="C1759" t="str">
        <f>TEXT(Table1[[#This Row],[Order_Date]],"mmm")</f>
        <v>Nov</v>
      </c>
      <c r="D1759" t="s">
        <v>3689</v>
      </c>
      <c r="E1759" t="s">
        <v>17</v>
      </c>
      <c r="F1759">
        <v>2</v>
      </c>
      <c r="G1759">
        <v>38772.199999999997</v>
      </c>
      <c r="H1759">
        <v>77544.399999999994</v>
      </c>
      <c r="I1759" t="s">
        <v>42</v>
      </c>
      <c r="J1759" t="s">
        <v>24</v>
      </c>
    </row>
    <row r="1760" spans="1:10" x14ac:dyDescent="0.35">
      <c r="A1760" t="s">
        <v>3690</v>
      </c>
      <c r="B1760" t="s">
        <v>3684</v>
      </c>
      <c r="C1760" t="str">
        <f>TEXT(Table1[[#This Row],[Order_Date]],"mmm")</f>
        <v>Nov</v>
      </c>
      <c r="D1760" t="s">
        <v>3691</v>
      </c>
      <c r="E1760" t="s">
        <v>56</v>
      </c>
      <c r="F1760">
        <v>5</v>
      </c>
      <c r="G1760">
        <v>29020.25</v>
      </c>
      <c r="H1760">
        <v>145101.25</v>
      </c>
      <c r="I1760" t="s">
        <v>18</v>
      </c>
      <c r="J1760" t="s">
        <v>14</v>
      </c>
    </row>
    <row r="1761" spans="1:10" x14ac:dyDescent="0.35">
      <c r="A1761" t="s">
        <v>3692</v>
      </c>
      <c r="B1761" t="s">
        <v>3693</v>
      </c>
      <c r="C1761" t="str">
        <f>TEXT(Table1[[#This Row],[Order_Date]],"mmm")</f>
        <v>Nov</v>
      </c>
      <c r="D1761" t="s">
        <v>3124</v>
      </c>
      <c r="E1761" t="s">
        <v>38</v>
      </c>
      <c r="F1761">
        <v>3</v>
      </c>
      <c r="G1761">
        <v>1577.63</v>
      </c>
      <c r="H1761">
        <v>4732.8900000000003</v>
      </c>
      <c r="I1761" t="s">
        <v>23</v>
      </c>
      <c r="J1761" t="s">
        <v>19</v>
      </c>
    </row>
    <row r="1762" spans="1:10" x14ac:dyDescent="0.35">
      <c r="A1762" t="s">
        <v>3694</v>
      </c>
      <c r="B1762" t="s">
        <v>3693</v>
      </c>
      <c r="C1762" t="str">
        <f>TEXT(Table1[[#This Row],[Order_Date]],"mmm")</f>
        <v>Nov</v>
      </c>
      <c r="D1762" t="s">
        <v>3695</v>
      </c>
      <c r="E1762" t="s">
        <v>47</v>
      </c>
      <c r="F1762">
        <v>1</v>
      </c>
      <c r="G1762">
        <v>4443.04</v>
      </c>
      <c r="H1762">
        <v>4443.04</v>
      </c>
      <c r="I1762" t="s">
        <v>23</v>
      </c>
      <c r="J1762" t="s">
        <v>35</v>
      </c>
    </row>
    <row r="1763" spans="1:10" x14ac:dyDescent="0.35">
      <c r="A1763" t="s">
        <v>3696</v>
      </c>
      <c r="B1763" t="s">
        <v>3693</v>
      </c>
      <c r="C1763" t="str">
        <f>TEXT(Table1[[#This Row],[Order_Date]],"mmm")</f>
        <v>Nov</v>
      </c>
      <c r="D1763" t="s">
        <v>3697</v>
      </c>
      <c r="E1763" t="s">
        <v>47</v>
      </c>
      <c r="F1763">
        <v>3</v>
      </c>
      <c r="G1763">
        <v>37006.550000000003</v>
      </c>
      <c r="H1763">
        <v>111019.65</v>
      </c>
      <c r="I1763" t="s">
        <v>18</v>
      </c>
      <c r="J1763" t="s">
        <v>24</v>
      </c>
    </row>
    <row r="1764" spans="1:10" x14ac:dyDescent="0.35">
      <c r="A1764" t="s">
        <v>3698</v>
      </c>
      <c r="B1764" t="s">
        <v>3693</v>
      </c>
      <c r="C1764" t="str">
        <f>TEXT(Table1[[#This Row],[Order_Date]],"mmm")</f>
        <v>Nov</v>
      </c>
      <c r="D1764" t="s">
        <v>1780</v>
      </c>
      <c r="E1764" t="s">
        <v>12</v>
      </c>
      <c r="F1764">
        <v>2</v>
      </c>
      <c r="G1764">
        <v>40021.69</v>
      </c>
      <c r="H1764">
        <v>80043.38</v>
      </c>
      <c r="I1764" t="s">
        <v>13</v>
      </c>
      <c r="J1764" t="s">
        <v>24</v>
      </c>
    </row>
    <row r="1765" spans="1:10" x14ac:dyDescent="0.35">
      <c r="A1765" t="s">
        <v>3699</v>
      </c>
      <c r="B1765" t="s">
        <v>3693</v>
      </c>
      <c r="C1765" t="str">
        <f>TEXT(Table1[[#This Row],[Order_Date]],"mmm")</f>
        <v>Nov</v>
      </c>
      <c r="D1765" t="s">
        <v>3700</v>
      </c>
      <c r="E1765" t="s">
        <v>53</v>
      </c>
      <c r="F1765">
        <v>2</v>
      </c>
      <c r="G1765">
        <v>6747.9</v>
      </c>
      <c r="H1765">
        <v>13495.8</v>
      </c>
      <c r="I1765" t="s">
        <v>23</v>
      </c>
      <c r="J1765" t="s">
        <v>14</v>
      </c>
    </row>
    <row r="1766" spans="1:10" x14ac:dyDescent="0.35">
      <c r="A1766" t="s">
        <v>3701</v>
      </c>
      <c r="B1766" t="s">
        <v>3693</v>
      </c>
      <c r="C1766" t="str">
        <f>TEXT(Table1[[#This Row],[Order_Date]],"mmm")</f>
        <v>Nov</v>
      </c>
      <c r="D1766" t="s">
        <v>3702</v>
      </c>
      <c r="E1766" t="s">
        <v>53</v>
      </c>
      <c r="F1766">
        <v>5</v>
      </c>
      <c r="G1766">
        <v>43402.37</v>
      </c>
      <c r="H1766">
        <v>217011.85</v>
      </c>
      <c r="I1766" t="s">
        <v>23</v>
      </c>
      <c r="J1766" t="s">
        <v>35</v>
      </c>
    </row>
    <row r="1767" spans="1:10" x14ac:dyDescent="0.35">
      <c r="A1767" t="s">
        <v>3703</v>
      </c>
      <c r="B1767" t="s">
        <v>3693</v>
      </c>
      <c r="C1767" t="str">
        <f>TEXT(Table1[[#This Row],[Order_Date]],"mmm")</f>
        <v>Nov</v>
      </c>
      <c r="D1767" t="s">
        <v>3704</v>
      </c>
      <c r="E1767" t="s">
        <v>47</v>
      </c>
      <c r="F1767">
        <v>3</v>
      </c>
      <c r="G1767">
        <v>47286.66</v>
      </c>
      <c r="H1767">
        <v>141859.98000000001</v>
      </c>
      <c r="I1767" t="s">
        <v>23</v>
      </c>
      <c r="J1767" t="s">
        <v>14</v>
      </c>
    </row>
    <row r="1768" spans="1:10" x14ac:dyDescent="0.35">
      <c r="A1768" t="s">
        <v>3705</v>
      </c>
      <c r="B1768" t="s">
        <v>3706</v>
      </c>
      <c r="C1768" t="str">
        <f>TEXT(Table1[[#This Row],[Order_Date]],"mmm")</f>
        <v>Nov</v>
      </c>
      <c r="D1768" t="s">
        <v>3707</v>
      </c>
      <c r="E1768" t="s">
        <v>12</v>
      </c>
      <c r="F1768">
        <v>3</v>
      </c>
      <c r="G1768">
        <v>9410.7800000000007</v>
      </c>
      <c r="H1768">
        <v>28232.34</v>
      </c>
      <c r="I1768" t="s">
        <v>23</v>
      </c>
      <c r="J1768" t="s">
        <v>24</v>
      </c>
    </row>
    <row r="1769" spans="1:10" x14ac:dyDescent="0.35">
      <c r="A1769" t="s">
        <v>3708</v>
      </c>
      <c r="B1769" t="s">
        <v>3706</v>
      </c>
      <c r="C1769" t="str">
        <f>TEXT(Table1[[#This Row],[Order_Date]],"mmm")</f>
        <v>Nov</v>
      </c>
      <c r="D1769" t="s">
        <v>3709</v>
      </c>
      <c r="E1769" t="s">
        <v>75</v>
      </c>
      <c r="F1769">
        <v>2</v>
      </c>
      <c r="G1769">
        <v>25359.919999999998</v>
      </c>
      <c r="H1769">
        <v>50719.839999999997</v>
      </c>
      <c r="I1769" t="s">
        <v>13</v>
      </c>
      <c r="J1769" t="s">
        <v>24</v>
      </c>
    </row>
    <row r="1770" spans="1:10" x14ac:dyDescent="0.35">
      <c r="A1770" t="s">
        <v>3710</v>
      </c>
      <c r="B1770" t="s">
        <v>3706</v>
      </c>
      <c r="C1770" t="str">
        <f>TEXT(Table1[[#This Row],[Order_Date]],"mmm")</f>
        <v>Nov</v>
      </c>
      <c r="D1770" t="s">
        <v>3711</v>
      </c>
      <c r="E1770" t="s">
        <v>32</v>
      </c>
      <c r="F1770">
        <v>5</v>
      </c>
      <c r="G1770">
        <v>24883.14</v>
      </c>
      <c r="H1770">
        <v>124415.7</v>
      </c>
      <c r="I1770" t="s">
        <v>42</v>
      </c>
      <c r="J1770" t="s">
        <v>35</v>
      </c>
    </row>
    <row r="1771" spans="1:10" x14ac:dyDescent="0.35">
      <c r="A1771" t="s">
        <v>3712</v>
      </c>
      <c r="B1771" t="s">
        <v>3706</v>
      </c>
      <c r="C1771" t="str">
        <f>TEXT(Table1[[#This Row],[Order_Date]],"mmm")</f>
        <v>Nov</v>
      </c>
      <c r="D1771" t="s">
        <v>3713</v>
      </c>
      <c r="E1771" t="s">
        <v>22</v>
      </c>
      <c r="F1771">
        <v>4</v>
      </c>
      <c r="G1771">
        <v>23922.55</v>
      </c>
      <c r="H1771">
        <v>95690.2</v>
      </c>
      <c r="I1771" t="s">
        <v>23</v>
      </c>
      <c r="J1771" t="s">
        <v>24</v>
      </c>
    </row>
    <row r="1772" spans="1:10" x14ac:dyDescent="0.35">
      <c r="A1772" t="s">
        <v>3714</v>
      </c>
      <c r="B1772" t="s">
        <v>3706</v>
      </c>
      <c r="C1772" t="str">
        <f>TEXT(Table1[[#This Row],[Order_Date]],"mmm")</f>
        <v>Nov</v>
      </c>
      <c r="D1772" t="s">
        <v>3715</v>
      </c>
      <c r="E1772" t="s">
        <v>17</v>
      </c>
      <c r="F1772">
        <v>1</v>
      </c>
      <c r="G1772">
        <v>18185.86</v>
      </c>
      <c r="H1772">
        <v>18185.86</v>
      </c>
      <c r="I1772" t="s">
        <v>13</v>
      </c>
      <c r="J1772" t="s">
        <v>14</v>
      </c>
    </row>
    <row r="1773" spans="1:10" x14ac:dyDescent="0.35">
      <c r="A1773" t="s">
        <v>3716</v>
      </c>
      <c r="B1773" t="s">
        <v>3706</v>
      </c>
      <c r="C1773" t="str">
        <f>TEXT(Table1[[#This Row],[Order_Date]],"mmm")</f>
        <v>Nov</v>
      </c>
      <c r="D1773" t="s">
        <v>3717</v>
      </c>
      <c r="E1773" t="s">
        <v>17</v>
      </c>
      <c r="F1773">
        <v>1</v>
      </c>
      <c r="G1773">
        <v>33189</v>
      </c>
      <c r="H1773">
        <v>33189</v>
      </c>
      <c r="I1773" t="s">
        <v>13</v>
      </c>
      <c r="J1773" t="s">
        <v>14</v>
      </c>
    </row>
    <row r="1774" spans="1:10" x14ac:dyDescent="0.35">
      <c r="A1774" t="s">
        <v>3718</v>
      </c>
      <c r="B1774" t="s">
        <v>3719</v>
      </c>
      <c r="C1774" t="str">
        <f>TEXT(Table1[[#This Row],[Order_Date]],"mmm")</f>
        <v>Nov</v>
      </c>
      <c r="D1774" t="s">
        <v>1269</v>
      </c>
      <c r="E1774" t="s">
        <v>53</v>
      </c>
      <c r="F1774">
        <v>4</v>
      </c>
      <c r="G1774">
        <v>39445.61</v>
      </c>
      <c r="H1774">
        <v>157782.44</v>
      </c>
      <c r="I1774" t="s">
        <v>23</v>
      </c>
      <c r="J1774" t="s">
        <v>14</v>
      </c>
    </row>
    <row r="1775" spans="1:10" x14ac:dyDescent="0.35">
      <c r="A1775" t="s">
        <v>3720</v>
      </c>
      <c r="B1775" t="s">
        <v>3719</v>
      </c>
      <c r="C1775" t="str">
        <f>TEXT(Table1[[#This Row],[Order_Date]],"mmm")</f>
        <v>Nov</v>
      </c>
      <c r="D1775" t="s">
        <v>3721</v>
      </c>
      <c r="E1775" t="s">
        <v>72</v>
      </c>
      <c r="F1775">
        <v>2</v>
      </c>
      <c r="G1775">
        <v>43945.96</v>
      </c>
      <c r="H1775">
        <v>87891.92</v>
      </c>
      <c r="I1775" t="s">
        <v>13</v>
      </c>
      <c r="J1775" t="s">
        <v>14</v>
      </c>
    </row>
    <row r="1776" spans="1:10" x14ac:dyDescent="0.35">
      <c r="A1776" t="s">
        <v>3722</v>
      </c>
      <c r="B1776" t="s">
        <v>3719</v>
      </c>
      <c r="C1776" t="str">
        <f>TEXT(Table1[[#This Row],[Order_Date]],"mmm")</f>
        <v>Nov</v>
      </c>
      <c r="D1776" t="s">
        <v>3723</v>
      </c>
      <c r="E1776" t="s">
        <v>53</v>
      </c>
      <c r="F1776">
        <v>1</v>
      </c>
      <c r="G1776">
        <v>27668.95</v>
      </c>
      <c r="H1776">
        <v>27668.95</v>
      </c>
      <c r="I1776" t="s">
        <v>42</v>
      </c>
      <c r="J1776" t="s">
        <v>35</v>
      </c>
    </row>
    <row r="1777" spans="1:10" x14ac:dyDescent="0.35">
      <c r="A1777" t="s">
        <v>3724</v>
      </c>
      <c r="B1777" t="s">
        <v>3719</v>
      </c>
      <c r="C1777" t="str">
        <f>TEXT(Table1[[#This Row],[Order_Date]],"mmm")</f>
        <v>Nov</v>
      </c>
      <c r="D1777" t="s">
        <v>3725</v>
      </c>
      <c r="E1777" t="s">
        <v>75</v>
      </c>
      <c r="F1777">
        <v>1</v>
      </c>
      <c r="G1777">
        <v>24574.77</v>
      </c>
      <c r="H1777">
        <v>24574.77</v>
      </c>
      <c r="I1777" t="s">
        <v>42</v>
      </c>
      <c r="J1777" t="s">
        <v>19</v>
      </c>
    </row>
    <row r="1778" spans="1:10" x14ac:dyDescent="0.35">
      <c r="A1778" t="s">
        <v>3726</v>
      </c>
      <c r="B1778" t="s">
        <v>3719</v>
      </c>
      <c r="C1778" t="str">
        <f>TEXT(Table1[[#This Row],[Order_Date]],"mmm")</f>
        <v>Nov</v>
      </c>
      <c r="D1778" t="s">
        <v>3727</v>
      </c>
      <c r="E1778" t="s">
        <v>56</v>
      </c>
      <c r="F1778">
        <v>3</v>
      </c>
      <c r="G1778">
        <v>39799.17</v>
      </c>
      <c r="H1778">
        <v>119397.51</v>
      </c>
      <c r="I1778" t="s">
        <v>18</v>
      </c>
      <c r="J1778" t="s">
        <v>35</v>
      </c>
    </row>
    <row r="1779" spans="1:10" x14ac:dyDescent="0.35">
      <c r="A1779" t="s">
        <v>3728</v>
      </c>
      <c r="B1779" t="s">
        <v>3719</v>
      </c>
      <c r="C1779" t="str">
        <f>TEXT(Table1[[#This Row],[Order_Date]],"mmm")</f>
        <v>Nov</v>
      </c>
      <c r="D1779" t="s">
        <v>3729</v>
      </c>
      <c r="E1779" t="s">
        <v>72</v>
      </c>
      <c r="F1779">
        <v>1</v>
      </c>
      <c r="G1779">
        <v>6213.57</v>
      </c>
      <c r="H1779">
        <v>6213.57</v>
      </c>
      <c r="I1779" t="s">
        <v>18</v>
      </c>
      <c r="J1779" t="s">
        <v>24</v>
      </c>
    </row>
    <row r="1780" spans="1:10" x14ac:dyDescent="0.35">
      <c r="A1780" t="s">
        <v>3730</v>
      </c>
      <c r="B1780" t="s">
        <v>3719</v>
      </c>
      <c r="C1780" t="str">
        <f>TEXT(Table1[[#This Row],[Order_Date]],"mmm")</f>
        <v>Nov</v>
      </c>
      <c r="D1780" t="s">
        <v>3731</v>
      </c>
      <c r="E1780" t="s">
        <v>32</v>
      </c>
      <c r="F1780">
        <v>5</v>
      </c>
      <c r="G1780">
        <v>33456.68</v>
      </c>
      <c r="H1780">
        <v>167283.4</v>
      </c>
      <c r="I1780" t="s">
        <v>23</v>
      </c>
      <c r="J1780" t="s">
        <v>19</v>
      </c>
    </row>
    <row r="1781" spans="1:10" x14ac:dyDescent="0.35">
      <c r="A1781" t="s">
        <v>3732</v>
      </c>
      <c r="B1781" t="s">
        <v>3733</v>
      </c>
      <c r="C1781" t="str">
        <f>TEXT(Table1[[#This Row],[Order_Date]],"mmm")</f>
        <v>Nov</v>
      </c>
      <c r="D1781" t="s">
        <v>445</v>
      </c>
      <c r="E1781" t="s">
        <v>38</v>
      </c>
      <c r="F1781">
        <v>5</v>
      </c>
      <c r="G1781">
        <v>39620.22</v>
      </c>
      <c r="H1781">
        <v>198101.1</v>
      </c>
      <c r="I1781" t="s">
        <v>42</v>
      </c>
      <c r="J1781" t="s">
        <v>24</v>
      </c>
    </row>
    <row r="1782" spans="1:10" x14ac:dyDescent="0.35">
      <c r="A1782" t="s">
        <v>3734</v>
      </c>
      <c r="B1782" t="s">
        <v>3733</v>
      </c>
      <c r="C1782" t="str">
        <f>TEXT(Table1[[#This Row],[Order_Date]],"mmm")</f>
        <v>Nov</v>
      </c>
      <c r="D1782" t="s">
        <v>3735</v>
      </c>
      <c r="E1782" t="s">
        <v>47</v>
      </c>
      <c r="F1782">
        <v>4</v>
      </c>
      <c r="G1782">
        <v>21952.35</v>
      </c>
      <c r="H1782">
        <v>87809.4</v>
      </c>
      <c r="I1782" t="s">
        <v>13</v>
      </c>
      <c r="J1782" t="s">
        <v>35</v>
      </c>
    </row>
    <row r="1783" spans="1:10" x14ac:dyDescent="0.35">
      <c r="A1783" t="s">
        <v>3736</v>
      </c>
      <c r="B1783" t="s">
        <v>3733</v>
      </c>
      <c r="C1783" t="str">
        <f>TEXT(Table1[[#This Row],[Order_Date]],"mmm")</f>
        <v>Nov</v>
      </c>
      <c r="D1783" t="s">
        <v>3737</v>
      </c>
      <c r="E1783" t="s">
        <v>47</v>
      </c>
      <c r="F1783">
        <v>1</v>
      </c>
      <c r="G1783">
        <v>30542.14</v>
      </c>
      <c r="H1783">
        <v>30542.14</v>
      </c>
      <c r="I1783" t="s">
        <v>23</v>
      </c>
      <c r="J1783" t="s">
        <v>24</v>
      </c>
    </row>
    <row r="1784" spans="1:10" x14ac:dyDescent="0.35">
      <c r="A1784" t="s">
        <v>3738</v>
      </c>
      <c r="B1784" t="s">
        <v>3739</v>
      </c>
      <c r="C1784" t="str">
        <f>TEXT(Table1[[#This Row],[Order_Date]],"mmm")</f>
        <v>Nov</v>
      </c>
      <c r="D1784" t="s">
        <v>3740</v>
      </c>
      <c r="E1784" t="s">
        <v>12</v>
      </c>
      <c r="F1784">
        <v>1</v>
      </c>
      <c r="G1784">
        <v>42709.23</v>
      </c>
      <c r="H1784">
        <v>42709.23</v>
      </c>
      <c r="I1784" t="s">
        <v>23</v>
      </c>
      <c r="J1784" t="s">
        <v>35</v>
      </c>
    </row>
    <row r="1785" spans="1:10" x14ac:dyDescent="0.35">
      <c r="A1785" t="s">
        <v>3741</v>
      </c>
      <c r="B1785" t="s">
        <v>3739</v>
      </c>
      <c r="C1785" t="str">
        <f>TEXT(Table1[[#This Row],[Order_Date]],"mmm")</f>
        <v>Nov</v>
      </c>
      <c r="D1785" t="s">
        <v>2915</v>
      </c>
      <c r="E1785" t="s">
        <v>17</v>
      </c>
      <c r="F1785">
        <v>4</v>
      </c>
      <c r="G1785">
        <v>20552.77</v>
      </c>
      <c r="H1785">
        <v>82211.08</v>
      </c>
      <c r="I1785" t="s">
        <v>13</v>
      </c>
      <c r="J1785" t="s">
        <v>35</v>
      </c>
    </row>
    <row r="1786" spans="1:10" x14ac:dyDescent="0.35">
      <c r="A1786" t="s">
        <v>3742</v>
      </c>
      <c r="B1786" t="s">
        <v>3739</v>
      </c>
      <c r="C1786" t="str">
        <f>TEXT(Table1[[#This Row],[Order_Date]],"mmm")</f>
        <v>Nov</v>
      </c>
      <c r="D1786" t="s">
        <v>3743</v>
      </c>
      <c r="E1786" t="s">
        <v>17</v>
      </c>
      <c r="F1786">
        <v>5</v>
      </c>
      <c r="G1786">
        <v>42477.09</v>
      </c>
      <c r="H1786">
        <v>212385.45</v>
      </c>
      <c r="I1786" t="s">
        <v>42</v>
      </c>
      <c r="J1786" t="s">
        <v>19</v>
      </c>
    </row>
    <row r="1787" spans="1:10" x14ac:dyDescent="0.35">
      <c r="A1787" t="s">
        <v>3744</v>
      </c>
      <c r="B1787" t="s">
        <v>3745</v>
      </c>
      <c r="C1787" t="str">
        <f>TEXT(Table1[[#This Row],[Order_Date]],"mmm")</f>
        <v>Nov</v>
      </c>
      <c r="D1787" t="s">
        <v>3746</v>
      </c>
      <c r="E1787" t="s">
        <v>56</v>
      </c>
      <c r="F1787">
        <v>1</v>
      </c>
      <c r="G1787">
        <v>15719.34</v>
      </c>
      <c r="H1787">
        <v>15719.34</v>
      </c>
      <c r="I1787" t="s">
        <v>18</v>
      </c>
      <c r="J1787" t="s">
        <v>14</v>
      </c>
    </row>
    <row r="1788" spans="1:10" x14ac:dyDescent="0.35">
      <c r="A1788" t="s">
        <v>3747</v>
      </c>
      <c r="B1788" t="s">
        <v>3745</v>
      </c>
      <c r="C1788" t="str">
        <f>TEXT(Table1[[#This Row],[Order_Date]],"mmm")</f>
        <v>Nov</v>
      </c>
      <c r="D1788" t="s">
        <v>3748</v>
      </c>
      <c r="E1788" t="s">
        <v>12</v>
      </c>
      <c r="F1788">
        <v>1</v>
      </c>
      <c r="G1788">
        <v>23520.06</v>
      </c>
      <c r="H1788">
        <v>23520.06</v>
      </c>
      <c r="I1788" t="s">
        <v>13</v>
      </c>
      <c r="J1788" t="s">
        <v>19</v>
      </c>
    </row>
    <row r="1789" spans="1:10" x14ac:dyDescent="0.35">
      <c r="A1789" t="s">
        <v>3749</v>
      </c>
      <c r="B1789" t="s">
        <v>3745</v>
      </c>
      <c r="C1789" t="str">
        <f>TEXT(Table1[[#This Row],[Order_Date]],"mmm")</f>
        <v>Nov</v>
      </c>
      <c r="D1789" t="s">
        <v>3750</v>
      </c>
      <c r="E1789" t="s">
        <v>17</v>
      </c>
      <c r="F1789">
        <v>5</v>
      </c>
      <c r="G1789">
        <v>32623.31</v>
      </c>
      <c r="H1789">
        <v>163116.54999999999</v>
      </c>
      <c r="I1789" t="s">
        <v>18</v>
      </c>
      <c r="J1789" t="s">
        <v>19</v>
      </c>
    </row>
    <row r="1790" spans="1:10" x14ac:dyDescent="0.35">
      <c r="A1790" t="s">
        <v>3751</v>
      </c>
      <c r="B1790" t="s">
        <v>3745</v>
      </c>
      <c r="C1790" t="str">
        <f>TEXT(Table1[[#This Row],[Order_Date]],"mmm")</f>
        <v>Nov</v>
      </c>
      <c r="D1790" t="s">
        <v>3752</v>
      </c>
      <c r="E1790" t="s">
        <v>12</v>
      </c>
      <c r="F1790">
        <v>4</v>
      </c>
      <c r="G1790">
        <v>31188.83</v>
      </c>
      <c r="H1790">
        <v>124755.32</v>
      </c>
      <c r="I1790" t="s">
        <v>23</v>
      </c>
      <c r="J1790" t="s">
        <v>19</v>
      </c>
    </row>
    <row r="1791" spans="1:10" x14ac:dyDescent="0.35">
      <c r="A1791" t="s">
        <v>3753</v>
      </c>
      <c r="B1791" t="s">
        <v>3745</v>
      </c>
      <c r="C1791" t="str">
        <f>TEXT(Table1[[#This Row],[Order_Date]],"mmm")</f>
        <v>Nov</v>
      </c>
      <c r="D1791" t="s">
        <v>841</v>
      </c>
      <c r="E1791" t="s">
        <v>72</v>
      </c>
      <c r="F1791">
        <v>5</v>
      </c>
      <c r="G1791">
        <v>31184.76</v>
      </c>
      <c r="H1791">
        <v>155923.79999999999</v>
      </c>
      <c r="I1791" t="s">
        <v>18</v>
      </c>
      <c r="J1791" t="s">
        <v>24</v>
      </c>
    </row>
    <row r="1792" spans="1:10" x14ac:dyDescent="0.35">
      <c r="A1792" t="s">
        <v>3754</v>
      </c>
      <c r="B1792" t="s">
        <v>3745</v>
      </c>
      <c r="C1792" t="str">
        <f>TEXT(Table1[[#This Row],[Order_Date]],"mmm")</f>
        <v>Nov</v>
      </c>
      <c r="D1792" t="s">
        <v>3755</v>
      </c>
      <c r="E1792" t="s">
        <v>72</v>
      </c>
      <c r="F1792">
        <v>3</v>
      </c>
      <c r="G1792">
        <v>48220.06</v>
      </c>
      <c r="H1792">
        <v>144660.18</v>
      </c>
      <c r="I1792" t="s">
        <v>42</v>
      </c>
      <c r="J1792" t="s">
        <v>14</v>
      </c>
    </row>
    <row r="1793" spans="1:10" x14ac:dyDescent="0.35">
      <c r="A1793" t="s">
        <v>3756</v>
      </c>
      <c r="B1793" t="s">
        <v>3745</v>
      </c>
      <c r="C1793" t="str">
        <f>TEXT(Table1[[#This Row],[Order_Date]],"mmm")</f>
        <v>Nov</v>
      </c>
      <c r="D1793" t="s">
        <v>3757</v>
      </c>
      <c r="E1793" t="s">
        <v>47</v>
      </c>
      <c r="F1793">
        <v>1</v>
      </c>
      <c r="G1793">
        <v>46622.74</v>
      </c>
      <c r="H1793">
        <v>46622.74</v>
      </c>
      <c r="I1793" t="s">
        <v>23</v>
      </c>
      <c r="J1793" t="s">
        <v>35</v>
      </c>
    </row>
    <row r="1794" spans="1:10" x14ac:dyDescent="0.35">
      <c r="A1794" t="s">
        <v>3758</v>
      </c>
      <c r="B1794" t="s">
        <v>3759</v>
      </c>
      <c r="C1794" t="str">
        <f>TEXT(Table1[[#This Row],[Order_Date]],"mmm")</f>
        <v>Nov</v>
      </c>
      <c r="D1794" t="s">
        <v>3760</v>
      </c>
      <c r="E1794" t="s">
        <v>32</v>
      </c>
      <c r="F1794">
        <v>4</v>
      </c>
      <c r="G1794">
        <v>35281.379999999997</v>
      </c>
      <c r="H1794">
        <v>141125.51999999999</v>
      </c>
      <c r="I1794" t="s">
        <v>13</v>
      </c>
      <c r="J1794" t="s">
        <v>14</v>
      </c>
    </row>
    <row r="1795" spans="1:10" x14ac:dyDescent="0.35">
      <c r="A1795" t="s">
        <v>3761</v>
      </c>
      <c r="B1795" t="s">
        <v>3759</v>
      </c>
      <c r="C1795" t="str">
        <f>TEXT(Table1[[#This Row],[Order_Date]],"mmm")</f>
        <v>Nov</v>
      </c>
      <c r="D1795" t="s">
        <v>3762</v>
      </c>
      <c r="E1795" t="s">
        <v>17</v>
      </c>
      <c r="F1795">
        <v>5</v>
      </c>
      <c r="G1795">
        <v>41025.67</v>
      </c>
      <c r="H1795">
        <v>205128.35</v>
      </c>
      <c r="I1795" t="s">
        <v>42</v>
      </c>
      <c r="J1795" t="s">
        <v>24</v>
      </c>
    </row>
    <row r="1796" spans="1:10" x14ac:dyDescent="0.35">
      <c r="A1796" t="s">
        <v>3763</v>
      </c>
      <c r="B1796" t="s">
        <v>3759</v>
      </c>
      <c r="C1796" t="str">
        <f>TEXT(Table1[[#This Row],[Order_Date]],"mmm")</f>
        <v>Nov</v>
      </c>
      <c r="D1796" t="s">
        <v>3764</v>
      </c>
      <c r="E1796" t="s">
        <v>53</v>
      </c>
      <c r="F1796">
        <v>1</v>
      </c>
      <c r="G1796">
        <v>7777.35</v>
      </c>
      <c r="H1796">
        <v>7777.35</v>
      </c>
      <c r="I1796" t="s">
        <v>18</v>
      </c>
      <c r="J1796" t="s">
        <v>24</v>
      </c>
    </row>
    <row r="1797" spans="1:10" x14ac:dyDescent="0.35">
      <c r="A1797" t="s">
        <v>3765</v>
      </c>
      <c r="B1797" t="s">
        <v>3759</v>
      </c>
      <c r="C1797" t="str">
        <f>TEXT(Table1[[#This Row],[Order_Date]],"mmm")</f>
        <v>Nov</v>
      </c>
      <c r="D1797" t="s">
        <v>3766</v>
      </c>
      <c r="E1797" t="s">
        <v>32</v>
      </c>
      <c r="F1797">
        <v>3</v>
      </c>
      <c r="G1797">
        <v>10259.83</v>
      </c>
      <c r="H1797">
        <v>30779.49</v>
      </c>
      <c r="I1797" t="s">
        <v>23</v>
      </c>
      <c r="J1797" t="s">
        <v>19</v>
      </c>
    </row>
    <row r="1798" spans="1:10" x14ac:dyDescent="0.35">
      <c r="A1798" t="s">
        <v>3767</v>
      </c>
      <c r="B1798" t="s">
        <v>3759</v>
      </c>
      <c r="C1798" t="str">
        <f>TEXT(Table1[[#This Row],[Order_Date]],"mmm")</f>
        <v>Nov</v>
      </c>
      <c r="D1798" t="s">
        <v>3768</v>
      </c>
      <c r="E1798" t="s">
        <v>47</v>
      </c>
      <c r="F1798">
        <v>2</v>
      </c>
      <c r="G1798">
        <v>3066.08</v>
      </c>
      <c r="H1798">
        <v>6132.16</v>
      </c>
      <c r="I1798" t="s">
        <v>18</v>
      </c>
      <c r="J1798" t="s">
        <v>24</v>
      </c>
    </row>
    <row r="1799" spans="1:10" x14ac:dyDescent="0.35">
      <c r="A1799" t="s">
        <v>3769</v>
      </c>
      <c r="B1799" t="s">
        <v>3759</v>
      </c>
      <c r="C1799" t="str">
        <f>TEXT(Table1[[#This Row],[Order_Date]],"mmm")</f>
        <v>Nov</v>
      </c>
      <c r="D1799" t="s">
        <v>3770</v>
      </c>
      <c r="E1799" t="s">
        <v>12</v>
      </c>
      <c r="F1799">
        <v>5</v>
      </c>
      <c r="G1799">
        <v>10056.209999999999</v>
      </c>
      <c r="H1799">
        <v>50281.05</v>
      </c>
      <c r="I1799" t="s">
        <v>18</v>
      </c>
      <c r="J1799" t="s">
        <v>35</v>
      </c>
    </row>
    <row r="1800" spans="1:10" x14ac:dyDescent="0.35">
      <c r="A1800" t="s">
        <v>3771</v>
      </c>
      <c r="B1800" t="s">
        <v>3759</v>
      </c>
      <c r="C1800" t="str">
        <f>TEXT(Table1[[#This Row],[Order_Date]],"mmm")</f>
        <v>Nov</v>
      </c>
      <c r="D1800" t="s">
        <v>3772</v>
      </c>
      <c r="E1800" t="s">
        <v>32</v>
      </c>
      <c r="F1800">
        <v>5</v>
      </c>
      <c r="G1800">
        <v>6499.41</v>
      </c>
      <c r="H1800">
        <v>32497.05</v>
      </c>
      <c r="I1800" t="s">
        <v>13</v>
      </c>
      <c r="J1800" t="s">
        <v>14</v>
      </c>
    </row>
    <row r="1801" spans="1:10" x14ac:dyDescent="0.35">
      <c r="A1801" t="s">
        <v>3773</v>
      </c>
      <c r="B1801" t="s">
        <v>3759</v>
      </c>
      <c r="C1801" t="str">
        <f>TEXT(Table1[[#This Row],[Order_Date]],"mmm")</f>
        <v>Nov</v>
      </c>
      <c r="D1801" t="s">
        <v>3774</v>
      </c>
      <c r="E1801" t="s">
        <v>72</v>
      </c>
      <c r="F1801">
        <v>1</v>
      </c>
      <c r="G1801">
        <v>38806.769999999997</v>
      </c>
      <c r="H1801">
        <v>38806.769999999997</v>
      </c>
      <c r="I1801" t="s">
        <v>23</v>
      </c>
      <c r="J1801" t="s">
        <v>19</v>
      </c>
    </row>
    <row r="1802" spans="1:10" x14ac:dyDescent="0.35">
      <c r="A1802" t="s">
        <v>3775</v>
      </c>
      <c r="B1802" t="s">
        <v>3776</v>
      </c>
      <c r="C1802" t="str">
        <f>TEXT(Table1[[#This Row],[Order_Date]],"mmm")</f>
        <v>Nov</v>
      </c>
      <c r="D1802" t="s">
        <v>3524</v>
      </c>
      <c r="E1802" t="s">
        <v>12</v>
      </c>
      <c r="F1802">
        <v>3</v>
      </c>
      <c r="G1802">
        <v>42683.6</v>
      </c>
      <c r="H1802">
        <v>128050.8</v>
      </c>
      <c r="I1802" t="s">
        <v>42</v>
      </c>
      <c r="J1802" t="s">
        <v>35</v>
      </c>
    </row>
    <row r="1803" spans="1:10" x14ac:dyDescent="0.35">
      <c r="A1803" t="s">
        <v>3777</v>
      </c>
      <c r="B1803" t="s">
        <v>3776</v>
      </c>
      <c r="C1803" t="str">
        <f>TEXT(Table1[[#This Row],[Order_Date]],"mmm")</f>
        <v>Nov</v>
      </c>
      <c r="D1803" t="s">
        <v>3778</v>
      </c>
      <c r="E1803" t="s">
        <v>56</v>
      </c>
      <c r="F1803">
        <v>5</v>
      </c>
      <c r="G1803">
        <v>40990.75</v>
      </c>
      <c r="H1803">
        <v>204953.75</v>
      </c>
      <c r="I1803" t="s">
        <v>23</v>
      </c>
      <c r="J1803" t="s">
        <v>14</v>
      </c>
    </row>
    <row r="1804" spans="1:10" x14ac:dyDescent="0.35">
      <c r="A1804" t="s">
        <v>3779</v>
      </c>
      <c r="B1804" t="s">
        <v>3776</v>
      </c>
      <c r="C1804" t="str">
        <f>TEXT(Table1[[#This Row],[Order_Date]],"mmm")</f>
        <v>Nov</v>
      </c>
      <c r="D1804" t="s">
        <v>3780</v>
      </c>
      <c r="E1804" t="s">
        <v>17</v>
      </c>
      <c r="F1804">
        <v>5</v>
      </c>
      <c r="G1804">
        <v>6578.7</v>
      </c>
      <c r="H1804">
        <v>32893.5</v>
      </c>
      <c r="I1804" t="s">
        <v>13</v>
      </c>
      <c r="J1804" t="s">
        <v>24</v>
      </c>
    </row>
    <row r="1805" spans="1:10" x14ac:dyDescent="0.35">
      <c r="A1805" t="s">
        <v>3781</v>
      </c>
      <c r="B1805" t="s">
        <v>3776</v>
      </c>
      <c r="C1805" t="str">
        <f>TEXT(Table1[[#This Row],[Order_Date]],"mmm")</f>
        <v>Nov</v>
      </c>
      <c r="D1805" t="s">
        <v>3782</v>
      </c>
      <c r="E1805" t="s">
        <v>72</v>
      </c>
      <c r="F1805">
        <v>3</v>
      </c>
      <c r="G1805">
        <v>18972.03</v>
      </c>
      <c r="H1805">
        <v>56916.09</v>
      </c>
      <c r="I1805" t="s">
        <v>23</v>
      </c>
      <c r="J1805" t="s">
        <v>14</v>
      </c>
    </row>
    <row r="1806" spans="1:10" x14ac:dyDescent="0.35">
      <c r="A1806" t="s">
        <v>3783</v>
      </c>
      <c r="B1806" t="s">
        <v>3776</v>
      </c>
      <c r="C1806" t="str">
        <f>TEXT(Table1[[#This Row],[Order_Date]],"mmm")</f>
        <v>Nov</v>
      </c>
      <c r="D1806" t="s">
        <v>3784</v>
      </c>
      <c r="E1806" t="s">
        <v>12</v>
      </c>
      <c r="F1806">
        <v>2</v>
      </c>
      <c r="G1806">
        <v>36604.04</v>
      </c>
      <c r="H1806">
        <v>73208.08</v>
      </c>
      <c r="I1806" t="s">
        <v>23</v>
      </c>
      <c r="J1806" t="s">
        <v>24</v>
      </c>
    </row>
    <row r="1807" spans="1:10" x14ac:dyDescent="0.35">
      <c r="A1807" t="s">
        <v>3785</v>
      </c>
      <c r="B1807" t="s">
        <v>3776</v>
      </c>
      <c r="C1807" t="str">
        <f>TEXT(Table1[[#This Row],[Order_Date]],"mmm")</f>
        <v>Nov</v>
      </c>
      <c r="D1807" t="s">
        <v>3786</v>
      </c>
      <c r="E1807" t="s">
        <v>38</v>
      </c>
      <c r="F1807">
        <v>2</v>
      </c>
      <c r="G1807">
        <v>6758.25</v>
      </c>
      <c r="H1807">
        <v>13516.5</v>
      </c>
      <c r="I1807" t="s">
        <v>42</v>
      </c>
      <c r="J1807" t="s">
        <v>35</v>
      </c>
    </row>
    <row r="1808" spans="1:10" x14ac:dyDescent="0.35">
      <c r="A1808" t="s">
        <v>3787</v>
      </c>
      <c r="B1808" t="s">
        <v>3788</v>
      </c>
      <c r="C1808" t="str">
        <f>TEXT(Table1[[#This Row],[Order_Date]],"mmm")</f>
        <v>Nov</v>
      </c>
      <c r="D1808" t="s">
        <v>3789</v>
      </c>
      <c r="E1808" t="s">
        <v>38</v>
      </c>
      <c r="F1808">
        <v>5</v>
      </c>
      <c r="G1808">
        <v>31047.73</v>
      </c>
      <c r="H1808">
        <v>155238.65</v>
      </c>
      <c r="I1808" t="s">
        <v>42</v>
      </c>
      <c r="J1808" t="s">
        <v>19</v>
      </c>
    </row>
    <row r="1809" spans="1:10" x14ac:dyDescent="0.35">
      <c r="A1809" t="s">
        <v>3790</v>
      </c>
      <c r="B1809" t="s">
        <v>3788</v>
      </c>
      <c r="C1809" t="str">
        <f>TEXT(Table1[[#This Row],[Order_Date]],"mmm")</f>
        <v>Nov</v>
      </c>
      <c r="D1809" t="s">
        <v>3791</v>
      </c>
      <c r="E1809" t="s">
        <v>75</v>
      </c>
      <c r="F1809">
        <v>3</v>
      </c>
      <c r="G1809">
        <v>3818.51</v>
      </c>
      <c r="H1809">
        <v>11455.53</v>
      </c>
      <c r="I1809" t="s">
        <v>23</v>
      </c>
      <c r="J1809" t="s">
        <v>14</v>
      </c>
    </row>
    <row r="1810" spans="1:10" x14ac:dyDescent="0.35">
      <c r="A1810" t="s">
        <v>3792</v>
      </c>
      <c r="B1810" t="s">
        <v>3788</v>
      </c>
      <c r="C1810" t="str">
        <f>TEXT(Table1[[#This Row],[Order_Date]],"mmm")</f>
        <v>Nov</v>
      </c>
      <c r="D1810" t="s">
        <v>3793</v>
      </c>
      <c r="E1810" t="s">
        <v>22</v>
      </c>
      <c r="F1810">
        <v>1</v>
      </c>
      <c r="G1810">
        <v>7339.7</v>
      </c>
      <c r="H1810">
        <v>7339.7</v>
      </c>
      <c r="I1810" t="s">
        <v>42</v>
      </c>
      <c r="J1810" t="s">
        <v>14</v>
      </c>
    </row>
    <row r="1811" spans="1:10" x14ac:dyDescent="0.35">
      <c r="A1811" t="s">
        <v>3794</v>
      </c>
      <c r="B1811" t="s">
        <v>3788</v>
      </c>
      <c r="C1811" t="str">
        <f>TEXT(Table1[[#This Row],[Order_Date]],"mmm")</f>
        <v>Nov</v>
      </c>
      <c r="D1811" t="s">
        <v>3795</v>
      </c>
      <c r="E1811" t="s">
        <v>53</v>
      </c>
      <c r="F1811">
        <v>3</v>
      </c>
      <c r="G1811">
        <v>49120.15</v>
      </c>
      <c r="H1811">
        <v>147360.45000000001</v>
      </c>
      <c r="I1811" t="s">
        <v>42</v>
      </c>
      <c r="J1811" t="s">
        <v>35</v>
      </c>
    </row>
    <row r="1812" spans="1:10" x14ac:dyDescent="0.35">
      <c r="A1812" t="s">
        <v>3796</v>
      </c>
      <c r="B1812" t="s">
        <v>3788</v>
      </c>
      <c r="C1812" t="str">
        <f>TEXT(Table1[[#This Row],[Order_Date]],"mmm")</f>
        <v>Nov</v>
      </c>
      <c r="D1812" t="s">
        <v>2007</v>
      </c>
      <c r="E1812" t="s">
        <v>32</v>
      </c>
      <c r="F1812">
        <v>5</v>
      </c>
      <c r="G1812">
        <v>4036.57</v>
      </c>
      <c r="H1812">
        <v>20182.849999999999</v>
      </c>
      <c r="I1812" t="s">
        <v>13</v>
      </c>
      <c r="J1812" t="s">
        <v>19</v>
      </c>
    </row>
    <row r="1813" spans="1:10" x14ac:dyDescent="0.35">
      <c r="A1813" t="s">
        <v>3797</v>
      </c>
      <c r="B1813" t="s">
        <v>3788</v>
      </c>
      <c r="C1813" t="str">
        <f>TEXT(Table1[[#This Row],[Order_Date]],"mmm")</f>
        <v>Nov</v>
      </c>
      <c r="D1813" t="s">
        <v>3798</v>
      </c>
      <c r="E1813" t="s">
        <v>72</v>
      </c>
      <c r="F1813">
        <v>3</v>
      </c>
      <c r="G1813">
        <v>10491.41</v>
      </c>
      <c r="H1813">
        <v>31474.23</v>
      </c>
      <c r="I1813" t="s">
        <v>18</v>
      </c>
      <c r="J1813" t="s">
        <v>24</v>
      </c>
    </row>
    <row r="1814" spans="1:10" x14ac:dyDescent="0.35">
      <c r="A1814" t="s">
        <v>3799</v>
      </c>
      <c r="B1814" t="s">
        <v>3788</v>
      </c>
      <c r="C1814" t="str">
        <f>TEXT(Table1[[#This Row],[Order_Date]],"mmm")</f>
        <v>Nov</v>
      </c>
      <c r="D1814" t="s">
        <v>2342</v>
      </c>
      <c r="E1814" t="s">
        <v>22</v>
      </c>
      <c r="F1814">
        <v>1</v>
      </c>
      <c r="G1814">
        <v>48716</v>
      </c>
      <c r="H1814">
        <v>48716</v>
      </c>
      <c r="I1814" t="s">
        <v>23</v>
      </c>
      <c r="J1814" t="s">
        <v>35</v>
      </c>
    </row>
    <row r="1815" spans="1:10" x14ac:dyDescent="0.35">
      <c r="A1815" t="s">
        <v>3800</v>
      </c>
      <c r="B1815" t="s">
        <v>3788</v>
      </c>
      <c r="C1815" t="str">
        <f>TEXT(Table1[[#This Row],[Order_Date]],"mmm")</f>
        <v>Nov</v>
      </c>
      <c r="D1815" t="s">
        <v>3801</v>
      </c>
      <c r="E1815" t="s">
        <v>12</v>
      </c>
      <c r="F1815">
        <v>5</v>
      </c>
      <c r="G1815">
        <v>21007.56</v>
      </c>
      <c r="H1815">
        <v>105037.8</v>
      </c>
      <c r="I1815" t="s">
        <v>23</v>
      </c>
      <c r="J1815" t="s">
        <v>14</v>
      </c>
    </row>
    <row r="1816" spans="1:10" x14ac:dyDescent="0.35">
      <c r="A1816" t="s">
        <v>3802</v>
      </c>
      <c r="B1816" t="s">
        <v>3803</v>
      </c>
      <c r="C1816" t="str">
        <f>TEXT(Table1[[#This Row],[Order_Date]],"mmm")</f>
        <v>Nov</v>
      </c>
      <c r="D1816" t="s">
        <v>3804</v>
      </c>
      <c r="E1816" t="s">
        <v>32</v>
      </c>
      <c r="F1816">
        <v>3</v>
      </c>
      <c r="G1816">
        <v>39352.1</v>
      </c>
      <c r="H1816">
        <v>118056.3</v>
      </c>
      <c r="I1816" t="s">
        <v>13</v>
      </c>
      <c r="J1816" t="s">
        <v>35</v>
      </c>
    </row>
    <row r="1817" spans="1:10" x14ac:dyDescent="0.35">
      <c r="A1817" t="s">
        <v>3805</v>
      </c>
      <c r="B1817" t="s">
        <v>3803</v>
      </c>
      <c r="C1817" t="str">
        <f>TEXT(Table1[[#This Row],[Order_Date]],"mmm")</f>
        <v>Nov</v>
      </c>
      <c r="D1817" t="s">
        <v>3806</v>
      </c>
      <c r="E1817" t="s">
        <v>53</v>
      </c>
      <c r="F1817">
        <v>4</v>
      </c>
      <c r="G1817">
        <v>28824.69</v>
      </c>
      <c r="H1817">
        <v>115298.76</v>
      </c>
      <c r="I1817" t="s">
        <v>42</v>
      </c>
      <c r="J1817" t="s">
        <v>35</v>
      </c>
    </row>
    <row r="1818" spans="1:10" x14ac:dyDescent="0.35">
      <c r="A1818" t="s">
        <v>3807</v>
      </c>
      <c r="B1818" t="s">
        <v>3803</v>
      </c>
      <c r="C1818" t="str">
        <f>TEXT(Table1[[#This Row],[Order_Date]],"mmm")</f>
        <v>Nov</v>
      </c>
      <c r="D1818" t="s">
        <v>3808</v>
      </c>
      <c r="E1818" t="s">
        <v>72</v>
      </c>
      <c r="F1818">
        <v>2</v>
      </c>
      <c r="G1818">
        <v>17387.77</v>
      </c>
      <c r="H1818">
        <v>34775.54</v>
      </c>
      <c r="I1818" t="s">
        <v>13</v>
      </c>
      <c r="J1818" t="s">
        <v>35</v>
      </c>
    </row>
    <row r="1819" spans="1:10" x14ac:dyDescent="0.35">
      <c r="A1819" t="s">
        <v>3809</v>
      </c>
      <c r="B1819" t="s">
        <v>3803</v>
      </c>
      <c r="C1819" t="str">
        <f>TEXT(Table1[[#This Row],[Order_Date]],"mmm")</f>
        <v>Nov</v>
      </c>
      <c r="D1819" t="s">
        <v>620</v>
      </c>
      <c r="E1819" t="s">
        <v>75</v>
      </c>
      <c r="F1819">
        <v>5</v>
      </c>
      <c r="G1819">
        <v>44762.559999999998</v>
      </c>
      <c r="H1819">
        <v>223812.8</v>
      </c>
      <c r="I1819" t="s">
        <v>13</v>
      </c>
      <c r="J1819" t="s">
        <v>24</v>
      </c>
    </row>
    <row r="1820" spans="1:10" x14ac:dyDescent="0.35">
      <c r="A1820" t="s">
        <v>3810</v>
      </c>
      <c r="B1820" t="s">
        <v>3803</v>
      </c>
      <c r="C1820" t="str">
        <f>TEXT(Table1[[#This Row],[Order_Date]],"mmm")</f>
        <v>Nov</v>
      </c>
      <c r="D1820" t="s">
        <v>2603</v>
      </c>
      <c r="E1820" t="s">
        <v>32</v>
      </c>
      <c r="F1820">
        <v>1</v>
      </c>
      <c r="G1820">
        <v>10785.39</v>
      </c>
      <c r="H1820">
        <v>10785.39</v>
      </c>
      <c r="I1820" t="s">
        <v>18</v>
      </c>
      <c r="J1820" t="s">
        <v>24</v>
      </c>
    </row>
    <row r="1821" spans="1:10" x14ac:dyDescent="0.35">
      <c r="A1821" t="s">
        <v>3811</v>
      </c>
      <c r="B1821" t="s">
        <v>3812</v>
      </c>
      <c r="C1821" t="str">
        <f>TEXT(Table1[[#This Row],[Order_Date]],"mmm")</f>
        <v>Nov</v>
      </c>
      <c r="D1821" t="s">
        <v>3813</v>
      </c>
      <c r="E1821" t="s">
        <v>17</v>
      </c>
      <c r="F1821">
        <v>3</v>
      </c>
      <c r="G1821">
        <v>43792.47</v>
      </c>
      <c r="H1821">
        <v>131377.41</v>
      </c>
      <c r="I1821" t="s">
        <v>13</v>
      </c>
      <c r="J1821" t="s">
        <v>14</v>
      </c>
    </row>
    <row r="1822" spans="1:10" x14ac:dyDescent="0.35">
      <c r="A1822" t="s">
        <v>3814</v>
      </c>
      <c r="B1822" t="s">
        <v>3812</v>
      </c>
      <c r="C1822" t="str">
        <f>TEXT(Table1[[#This Row],[Order_Date]],"mmm")</f>
        <v>Nov</v>
      </c>
      <c r="D1822" t="s">
        <v>3815</v>
      </c>
      <c r="E1822" t="s">
        <v>12</v>
      </c>
      <c r="F1822">
        <v>5</v>
      </c>
      <c r="G1822">
        <v>2140.6799999999998</v>
      </c>
      <c r="H1822">
        <v>10703.4</v>
      </c>
      <c r="I1822" t="s">
        <v>13</v>
      </c>
      <c r="J1822" t="s">
        <v>24</v>
      </c>
    </row>
    <row r="1823" spans="1:10" x14ac:dyDescent="0.35">
      <c r="A1823" t="s">
        <v>3816</v>
      </c>
      <c r="B1823" t="s">
        <v>3812</v>
      </c>
      <c r="C1823" t="str">
        <f>TEXT(Table1[[#This Row],[Order_Date]],"mmm")</f>
        <v>Nov</v>
      </c>
      <c r="D1823" t="s">
        <v>3817</v>
      </c>
      <c r="E1823" t="s">
        <v>75</v>
      </c>
      <c r="F1823">
        <v>1</v>
      </c>
      <c r="G1823">
        <v>43379.72</v>
      </c>
      <c r="H1823">
        <v>43379.72</v>
      </c>
      <c r="I1823" t="s">
        <v>42</v>
      </c>
      <c r="J1823" t="s">
        <v>14</v>
      </c>
    </row>
    <row r="1824" spans="1:10" x14ac:dyDescent="0.35">
      <c r="A1824" t="s">
        <v>3818</v>
      </c>
      <c r="B1824" t="s">
        <v>3812</v>
      </c>
      <c r="C1824" t="str">
        <f>TEXT(Table1[[#This Row],[Order_Date]],"mmm")</f>
        <v>Nov</v>
      </c>
      <c r="D1824" t="s">
        <v>3819</v>
      </c>
      <c r="E1824" t="s">
        <v>53</v>
      </c>
      <c r="F1824">
        <v>2</v>
      </c>
      <c r="G1824">
        <v>49102.86</v>
      </c>
      <c r="H1824">
        <v>98205.72</v>
      </c>
      <c r="I1824" t="s">
        <v>13</v>
      </c>
      <c r="J1824" t="s">
        <v>24</v>
      </c>
    </row>
    <row r="1825" spans="1:10" x14ac:dyDescent="0.35">
      <c r="A1825" t="s">
        <v>3820</v>
      </c>
      <c r="B1825" t="s">
        <v>3812</v>
      </c>
      <c r="C1825" t="str">
        <f>TEXT(Table1[[#This Row],[Order_Date]],"mmm")</f>
        <v>Nov</v>
      </c>
      <c r="D1825" t="s">
        <v>2653</v>
      </c>
      <c r="E1825" t="s">
        <v>53</v>
      </c>
      <c r="F1825">
        <v>5</v>
      </c>
      <c r="G1825">
        <v>27956.69</v>
      </c>
      <c r="H1825">
        <v>139783.45000000001</v>
      </c>
      <c r="I1825" t="s">
        <v>23</v>
      </c>
      <c r="J1825" t="s">
        <v>35</v>
      </c>
    </row>
    <row r="1826" spans="1:10" x14ac:dyDescent="0.35">
      <c r="A1826" t="s">
        <v>3821</v>
      </c>
      <c r="B1826" t="s">
        <v>3812</v>
      </c>
      <c r="C1826" t="str">
        <f>TEXT(Table1[[#This Row],[Order_Date]],"mmm")</f>
        <v>Nov</v>
      </c>
      <c r="D1826" t="s">
        <v>3822</v>
      </c>
      <c r="E1826" t="s">
        <v>47</v>
      </c>
      <c r="F1826">
        <v>5</v>
      </c>
      <c r="G1826">
        <v>35043.06</v>
      </c>
      <c r="H1826">
        <v>175215.3</v>
      </c>
      <c r="I1826" t="s">
        <v>42</v>
      </c>
      <c r="J1826" t="s">
        <v>19</v>
      </c>
    </row>
    <row r="1827" spans="1:10" x14ac:dyDescent="0.35">
      <c r="A1827" t="s">
        <v>3823</v>
      </c>
      <c r="B1827" t="s">
        <v>3812</v>
      </c>
      <c r="C1827" t="str">
        <f>TEXT(Table1[[#This Row],[Order_Date]],"mmm")</f>
        <v>Nov</v>
      </c>
      <c r="D1827" t="s">
        <v>3824</v>
      </c>
      <c r="E1827" t="s">
        <v>47</v>
      </c>
      <c r="F1827">
        <v>3</v>
      </c>
      <c r="G1827">
        <v>13135.6</v>
      </c>
      <c r="H1827">
        <v>39406.800000000003</v>
      </c>
      <c r="I1827" t="s">
        <v>42</v>
      </c>
      <c r="J1827" t="s">
        <v>24</v>
      </c>
    </row>
    <row r="1828" spans="1:10" x14ac:dyDescent="0.35">
      <c r="A1828" t="s">
        <v>3825</v>
      </c>
      <c r="B1828" t="s">
        <v>3812</v>
      </c>
      <c r="C1828" t="str">
        <f>TEXT(Table1[[#This Row],[Order_Date]],"mmm")</f>
        <v>Nov</v>
      </c>
      <c r="D1828" t="s">
        <v>720</v>
      </c>
      <c r="E1828" t="s">
        <v>22</v>
      </c>
      <c r="F1828">
        <v>2</v>
      </c>
      <c r="G1828">
        <v>13599.96</v>
      </c>
      <c r="H1828">
        <v>27199.919999999998</v>
      </c>
      <c r="I1828" t="s">
        <v>18</v>
      </c>
      <c r="J1828" t="s">
        <v>14</v>
      </c>
    </row>
    <row r="1829" spans="1:10" x14ac:dyDescent="0.35">
      <c r="A1829" t="s">
        <v>3826</v>
      </c>
      <c r="B1829" t="s">
        <v>3827</v>
      </c>
      <c r="C1829" t="str">
        <f>TEXT(Table1[[#This Row],[Order_Date]],"mmm")</f>
        <v>Dec</v>
      </c>
      <c r="D1829" t="s">
        <v>3828</v>
      </c>
      <c r="E1829" t="s">
        <v>47</v>
      </c>
      <c r="F1829">
        <v>4</v>
      </c>
      <c r="G1829">
        <v>30842.799999999999</v>
      </c>
      <c r="H1829">
        <v>123371.2</v>
      </c>
      <c r="I1829" t="s">
        <v>23</v>
      </c>
      <c r="J1829" t="s">
        <v>24</v>
      </c>
    </row>
    <row r="1830" spans="1:10" x14ac:dyDescent="0.35">
      <c r="A1830" t="s">
        <v>3829</v>
      </c>
      <c r="B1830" t="s">
        <v>3827</v>
      </c>
      <c r="C1830" t="str">
        <f>TEXT(Table1[[#This Row],[Order_Date]],"mmm")</f>
        <v>Dec</v>
      </c>
      <c r="D1830" t="s">
        <v>3830</v>
      </c>
      <c r="E1830" t="s">
        <v>22</v>
      </c>
      <c r="F1830">
        <v>1</v>
      </c>
      <c r="G1830">
        <v>32077.040000000001</v>
      </c>
      <c r="H1830">
        <v>32077.040000000001</v>
      </c>
      <c r="I1830" t="s">
        <v>23</v>
      </c>
      <c r="J1830" t="s">
        <v>24</v>
      </c>
    </row>
    <row r="1831" spans="1:10" x14ac:dyDescent="0.35">
      <c r="A1831" t="s">
        <v>3831</v>
      </c>
      <c r="B1831" t="s">
        <v>3827</v>
      </c>
      <c r="C1831" t="str">
        <f>TEXT(Table1[[#This Row],[Order_Date]],"mmm")</f>
        <v>Dec</v>
      </c>
      <c r="D1831" t="s">
        <v>3832</v>
      </c>
      <c r="E1831" t="s">
        <v>22</v>
      </c>
      <c r="F1831">
        <v>4</v>
      </c>
      <c r="G1831">
        <v>44311.62</v>
      </c>
      <c r="H1831">
        <v>177246.48</v>
      </c>
      <c r="I1831" t="s">
        <v>23</v>
      </c>
      <c r="J1831" t="s">
        <v>24</v>
      </c>
    </row>
    <row r="1832" spans="1:10" x14ac:dyDescent="0.35">
      <c r="A1832" t="s">
        <v>3833</v>
      </c>
      <c r="B1832" t="s">
        <v>3827</v>
      </c>
      <c r="C1832" t="str">
        <f>TEXT(Table1[[#This Row],[Order_Date]],"mmm")</f>
        <v>Dec</v>
      </c>
      <c r="D1832" t="s">
        <v>3834</v>
      </c>
      <c r="E1832" t="s">
        <v>72</v>
      </c>
      <c r="F1832">
        <v>2</v>
      </c>
      <c r="G1832">
        <v>35487.230000000003</v>
      </c>
      <c r="H1832">
        <v>70974.460000000006</v>
      </c>
      <c r="I1832" t="s">
        <v>23</v>
      </c>
      <c r="J1832" t="s">
        <v>35</v>
      </c>
    </row>
    <row r="1833" spans="1:10" x14ac:dyDescent="0.35">
      <c r="A1833" t="s">
        <v>3835</v>
      </c>
      <c r="B1833" t="s">
        <v>3827</v>
      </c>
      <c r="C1833" t="str">
        <f>TEXT(Table1[[#This Row],[Order_Date]],"mmm")</f>
        <v>Dec</v>
      </c>
      <c r="D1833" t="s">
        <v>3836</v>
      </c>
      <c r="E1833" t="s">
        <v>12</v>
      </c>
      <c r="F1833">
        <v>1</v>
      </c>
      <c r="G1833">
        <v>41988.63</v>
      </c>
      <c r="H1833">
        <v>41988.63</v>
      </c>
      <c r="I1833" t="s">
        <v>13</v>
      </c>
      <c r="J1833" t="s">
        <v>14</v>
      </c>
    </row>
    <row r="1834" spans="1:10" x14ac:dyDescent="0.35">
      <c r="A1834" t="s">
        <v>3837</v>
      </c>
      <c r="B1834" t="s">
        <v>3827</v>
      </c>
      <c r="C1834" t="str">
        <f>TEXT(Table1[[#This Row],[Order_Date]],"mmm")</f>
        <v>Dec</v>
      </c>
      <c r="D1834" t="s">
        <v>3838</v>
      </c>
      <c r="E1834" t="s">
        <v>56</v>
      </c>
      <c r="F1834">
        <v>2</v>
      </c>
      <c r="G1834">
        <v>49088.88</v>
      </c>
      <c r="H1834">
        <v>98177.76</v>
      </c>
      <c r="I1834" t="s">
        <v>18</v>
      </c>
      <c r="J1834" t="s">
        <v>19</v>
      </c>
    </row>
    <row r="1835" spans="1:10" x14ac:dyDescent="0.35">
      <c r="A1835" t="s">
        <v>3839</v>
      </c>
      <c r="B1835" t="s">
        <v>3827</v>
      </c>
      <c r="C1835" t="str">
        <f>TEXT(Table1[[#This Row],[Order_Date]],"mmm")</f>
        <v>Dec</v>
      </c>
      <c r="D1835" t="s">
        <v>3840</v>
      </c>
      <c r="E1835" t="s">
        <v>12</v>
      </c>
      <c r="F1835">
        <v>3</v>
      </c>
      <c r="G1835">
        <v>24923.19</v>
      </c>
      <c r="H1835">
        <v>74769.570000000007</v>
      </c>
      <c r="I1835" t="s">
        <v>23</v>
      </c>
      <c r="J1835" t="s">
        <v>14</v>
      </c>
    </row>
    <row r="1836" spans="1:10" x14ac:dyDescent="0.35">
      <c r="A1836" t="s">
        <v>3841</v>
      </c>
      <c r="B1836" t="s">
        <v>3842</v>
      </c>
      <c r="C1836" t="str">
        <f>TEXT(Table1[[#This Row],[Order_Date]],"mmm")</f>
        <v>Dec</v>
      </c>
      <c r="D1836" t="s">
        <v>2794</v>
      </c>
      <c r="E1836" t="s">
        <v>12</v>
      </c>
      <c r="F1836">
        <v>4</v>
      </c>
      <c r="G1836">
        <v>3367.32</v>
      </c>
      <c r="H1836">
        <v>13469.28</v>
      </c>
      <c r="I1836" t="s">
        <v>13</v>
      </c>
      <c r="J1836" t="s">
        <v>19</v>
      </c>
    </row>
    <row r="1837" spans="1:10" x14ac:dyDescent="0.35">
      <c r="A1837" t="s">
        <v>3843</v>
      </c>
      <c r="B1837" t="s">
        <v>3842</v>
      </c>
      <c r="C1837" t="str">
        <f>TEXT(Table1[[#This Row],[Order_Date]],"mmm")</f>
        <v>Dec</v>
      </c>
      <c r="D1837" t="s">
        <v>3844</v>
      </c>
      <c r="E1837" t="s">
        <v>53</v>
      </c>
      <c r="F1837">
        <v>5</v>
      </c>
      <c r="G1837">
        <v>19256.990000000002</v>
      </c>
      <c r="H1837">
        <v>96284.95</v>
      </c>
      <c r="I1837" t="s">
        <v>13</v>
      </c>
      <c r="J1837" t="s">
        <v>19</v>
      </c>
    </row>
    <row r="1838" spans="1:10" x14ac:dyDescent="0.35">
      <c r="A1838" t="s">
        <v>3845</v>
      </c>
      <c r="B1838" t="s">
        <v>3842</v>
      </c>
      <c r="C1838" t="str">
        <f>TEXT(Table1[[#This Row],[Order_Date]],"mmm")</f>
        <v>Dec</v>
      </c>
      <c r="D1838" t="s">
        <v>3846</v>
      </c>
      <c r="E1838" t="s">
        <v>22</v>
      </c>
      <c r="F1838">
        <v>4</v>
      </c>
      <c r="G1838">
        <v>20743.490000000002</v>
      </c>
      <c r="H1838">
        <v>82973.960000000006</v>
      </c>
      <c r="I1838" t="s">
        <v>23</v>
      </c>
      <c r="J1838" t="s">
        <v>19</v>
      </c>
    </row>
    <row r="1839" spans="1:10" x14ac:dyDescent="0.35">
      <c r="A1839" t="s">
        <v>3847</v>
      </c>
      <c r="B1839" t="s">
        <v>3842</v>
      </c>
      <c r="C1839" t="str">
        <f>TEXT(Table1[[#This Row],[Order_Date]],"mmm")</f>
        <v>Dec</v>
      </c>
      <c r="D1839" t="s">
        <v>2633</v>
      </c>
      <c r="E1839" t="s">
        <v>38</v>
      </c>
      <c r="F1839">
        <v>5</v>
      </c>
      <c r="G1839">
        <v>13691.05</v>
      </c>
      <c r="H1839">
        <v>68455.25</v>
      </c>
      <c r="I1839" t="s">
        <v>23</v>
      </c>
      <c r="J1839" t="s">
        <v>24</v>
      </c>
    </row>
    <row r="1840" spans="1:10" x14ac:dyDescent="0.35">
      <c r="A1840" t="s">
        <v>3848</v>
      </c>
      <c r="B1840" t="s">
        <v>3842</v>
      </c>
      <c r="C1840" t="str">
        <f>TEXT(Table1[[#This Row],[Order_Date]],"mmm")</f>
        <v>Dec</v>
      </c>
      <c r="D1840" t="s">
        <v>3849</v>
      </c>
      <c r="E1840" t="s">
        <v>56</v>
      </c>
      <c r="F1840">
        <v>1</v>
      </c>
      <c r="G1840">
        <v>29386.06</v>
      </c>
      <c r="H1840">
        <v>29386.06</v>
      </c>
      <c r="I1840" t="s">
        <v>42</v>
      </c>
      <c r="J1840" t="s">
        <v>35</v>
      </c>
    </row>
    <row r="1841" spans="1:10" x14ac:dyDescent="0.35">
      <c r="A1841" t="s">
        <v>3850</v>
      </c>
      <c r="B1841" t="s">
        <v>3842</v>
      </c>
      <c r="C1841" t="str">
        <f>TEXT(Table1[[#This Row],[Order_Date]],"mmm")</f>
        <v>Dec</v>
      </c>
      <c r="D1841" t="s">
        <v>425</v>
      </c>
      <c r="E1841" t="s">
        <v>53</v>
      </c>
      <c r="F1841">
        <v>4</v>
      </c>
      <c r="G1841">
        <v>33611.42</v>
      </c>
      <c r="H1841">
        <v>134445.68</v>
      </c>
      <c r="I1841" t="s">
        <v>23</v>
      </c>
      <c r="J1841" t="s">
        <v>19</v>
      </c>
    </row>
    <row r="1842" spans="1:10" x14ac:dyDescent="0.35">
      <c r="A1842" t="s">
        <v>3851</v>
      </c>
      <c r="B1842" t="s">
        <v>3852</v>
      </c>
      <c r="C1842" t="str">
        <f>TEXT(Table1[[#This Row],[Order_Date]],"mmm")</f>
        <v>Dec</v>
      </c>
      <c r="D1842" t="s">
        <v>3109</v>
      </c>
      <c r="E1842" t="s">
        <v>38</v>
      </c>
      <c r="F1842">
        <v>1</v>
      </c>
      <c r="G1842">
        <v>1558.43</v>
      </c>
      <c r="H1842">
        <v>1558.43</v>
      </c>
      <c r="I1842" t="s">
        <v>42</v>
      </c>
      <c r="J1842" t="s">
        <v>24</v>
      </c>
    </row>
    <row r="1843" spans="1:10" x14ac:dyDescent="0.35">
      <c r="A1843" t="s">
        <v>3853</v>
      </c>
      <c r="B1843" t="s">
        <v>3852</v>
      </c>
      <c r="C1843" t="str">
        <f>TEXT(Table1[[#This Row],[Order_Date]],"mmm")</f>
        <v>Dec</v>
      </c>
      <c r="D1843" t="s">
        <v>1477</v>
      </c>
      <c r="E1843" t="s">
        <v>38</v>
      </c>
      <c r="F1843">
        <v>1</v>
      </c>
      <c r="G1843">
        <v>40226.36</v>
      </c>
      <c r="H1843">
        <v>40226.36</v>
      </c>
      <c r="I1843" t="s">
        <v>23</v>
      </c>
      <c r="J1843" t="s">
        <v>19</v>
      </c>
    </row>
    <row r="1844" spans="1:10" x14ac:dyDescent="0.35">
      <c r="A1844" t="s">
        <v>3854</v>
      </c>
      <c r="B1844" t="s">
        <v>3852</v>
      </c>
      <c r="C1844" t="str">
        <f>TEXT(Table1[[#This Row],[Order_Date]],"mmm")</f>
        <v>Dec</v>
      </c>
      <c r="D1844" t="s">
        <v>3855</v>
      </c>
      <c r="E1844" t="s">
        <v>53</v>
      </c>
      <c r="F1844">
        <v>5</v>
      </c>
      <c r="G1844">
        <v>49385.3</v>
      </c>
      <c r="H1844">
        <v>246926.5</v>
      </c>
      <c r="I1844" t="s">
        <v>13</v>
      </c>
      <c r="J1844" t="s">
        <v>14</v>
      </c>
    </row>
    <row r="1845" spans="1:10" x14ac:dyDescent="0.35">
      <c r="A1845" t="s">
        <v>3856</v>
      </c>
      <c r="B1845" t="s">
        <v>3852</v>
      </c>
      <c r="C1845" t="str">
        <f>TEXT(Table1[[#This Row],[Order_Date]],"mmm")</f>
        <v>Dec</v>
      </c>
      <c r="D1845" t="s">
        <v>3857</v>
      </c>
      <c r="E1845" t="s">
        <v>17</v>
      </c>
      <c r="F1845">
        <v>2</v>
      </c>
      <c r="G1845">
        <v>24170.66</v>
      </c>
      <c r="H1845">
        <v>48341.32</v>
      </c>
      <c r="I1845" t="s">
        <v>42</v>
      </c>
      <c r="J1845" t="s">
        <v>14</v>
      </c>
    </row>
    <row r="1846" spans="1:10" x14ac:dyDescent="0.35">
      <c r="A1846" t="s">
        <v>3858</v>
      </c>
      <c r="B1846" t="s">
        <v>3852</v>
      </c>
      <c r="C1846" t="str">
        <f>TEXT(Table1[[#This Row],[Order_Date]],"mmm")</f>
        <v>Dec</v>
      </c>
      <c r="D1846" t="s">
        <v>1935</v>
      </c>
      <c r="E1846" t="s">
        <v>32</v>
      </c>
      <c r="F1846">
        <v>1</v>
      </c>
      <c r="G1846">
        <v>49338.65</v>
      </c>
      <c r="H1846">
        <v>49338.65</v>
      </c>
      <c r="I1846" t="s">
        <v>23</v>
      </c>
      <c r="J1846" t="s">
        <v>19</v>
      </c>
    </row>
    <row r="1847" spans="1:10" x14ac:dyDescent="0.35">
      <c r="A1847" t="s">
        <v>3859</v>
      </c>
      <c r="B1847" t="s">
        <v>3852</v>
      </c>
      <c r="C1847" t="str">
        <f>TEXT(Table1[[#This Row],[Order_Date]],"mmm")</f>
        <v>Dec</v>
      </c>
      <c r="D1847" t="s">
        <v>3860</v>
      </c>
      <c r="E1847" t="s">
        <v>75</v>
      </c>
      <c r="F1847">
        <v>2</v>
      </c>
      <c r="G1847">
        <v>8400.85</v>
      </c>
      <c r="H1847">
        <v>16801.7</v>
      </c>
      <c r="I1847" t="s">
        <v>42</v>
      </c>
      <c r="J1847" t="s">
        <v>14</v>
      </c>
    </row>
    <row r="1848" spans="1:10" x14ac:dyDescent="0.35">
      <c r="A1848" t="s">
        <v>3861</v>
      </c>
      <c r="B1848" t="s">
        <v>3852</v>
      </c>
      <c r="C1848" t="str">
        <f>TEXT(Table1[[#This Row],[Order_Date]],"mmm")</f>
        <v>Dec</v>
      </c>
      <c r="D1848" t="s">
        <v>3862</v>
      </c>
      <c r="E1848" t="s">
        <v>47</v>
      </c>
      <c r="F1848">
        <v>4</v>
      </c>
      <c r="G1848">
        <v>20376.169999999998</v>
      </c>
      <c r="H1848">
        <v>81504.679999999993</v>
      </c>
      <c r="I1848" t="s">
        <v>42</v>
      </c>
      <c r="J1848" t="s">
        <v>19</v>
      </c>
    </row>
    <row r="1849" spans="1:10" x14ac:dyDescent="0.35">
      <c r="A1849" t="s">
        <v>3863</v>
      </c>
      <c r="B1849" t="s">
        <v>3864</v>
      </c>
      <c r="C1849" t="str">
        <f>TEXT(Table1[[#This Row],[Order_Date]],"mmm")</f>
        <v>Dec</v>
      </c>
      <c r="D1849" t="s">
        <v>3865</v>
      </c>
      <c r="E1849" t="s">
        <v>17</v>
      </c>
      <c r="F1849">
        <v>1</v>
      </c>
      <c r="G1849">
        <v>10090.02</v>
      </c>
      <c r="H1849">
        <v>10090.02</v>
      </c>
      <c r="I1849" t="s">
        <v>13</v>
      </c>
      <c r="J1849" t="s">
        <v>14</v>
      </c>
    </row>
    <row r="1850" spans="1:10" x14ac:dyDescent="0.35">
      <c r="A1850" t="s">
        <v>3866</v>
      </c>
      <c r="B1850" t="s">
        <v>3864</v>
      </c>
      <c r="C1850" t="str">
        <f>TEXT(Table1[[#This Row],[Order_Date]],"mmm")</f>
        <v>Dec</v>
      </c>
      <c r="D1850" t="s">
        <v>3867</v>
      </c>
      <c r="E1850" t="s">
        <v>53</v>
      </c>
      <c r="F1850">
        <v>3</v>
      </c>
      <c r="G1850">
        <v>24324.55</v>
      </c>
      <c r="H1850">
        <v>72973.649999999994</v>
      </c>
      <c r="I1850" t="s">
        <v>13</v>
      </c>
      <c r="J1850" t="s">
        <v>35</v>
      </c>
    </row>
    <row r="1851" spans="1:10" x14ac:dyDescent="0.35">
      <c r="A1851" t="s">
        <v>3868</v>
      </c>
      <c r="B1851" t="s">
        <v>3864</v>
      </c>
      <c r="C1851" t="str">
        <f>TEXT(Table1[[#This Row],[Order_Date]],"mmm")</f>
        <v>Dec</v>
      </c>
      <c r="D1851" t="s">
        <v>3869</v>
      </c>
      <c r="E1851" t="s">
        <v>53</v>
      </c>
      <c r="F1851">
        <v>1</v>
      </c>
      <c r="G1851">
        <v>26097.54</v>
      </c>
      <c r="H1851">
        <v>26097.54</v>
      </c>
      <c r="I1851" t="s">
        <v>18</v>
      </c>
      <c r="J1851" t="s">
        <v>24</v>
      </c>
    </row>
    <row r="1852" spans="1:10" x14ac:dyDescent="0.35">
      <c r="A1852" t="s">
        <v>3870</v>
      </c>
      <c r="B1852" t="s">
        <v>3864</v>
      </c>
      <c r="C1852" t="str">
        <f>TEXT(Table1[[#This Row],[Order_Date]],"mmm")</f>
        <v>Dec</v>
      </c>
      <c r="D1852" t="s">
        <v>3871</v>
      </c>
      <c r="E1852" t="s">
        <v>22</v>
      </c>
      <c r="F1852">
        <v>1</v>
      </c>
      <c r="G1852">
        <v>17768.18</v>
      </c>
      <c r="H1852">
        <v>17768.18</v>
      </c>
      <c r="I1852" t="s">
        <v>42</v>
      </c>
      <c r="J1852" t="s">
        <v>14</v>
      </c>
    </row>
    <row r="1853" spans="1:10" x14ac:dyDescent="0.35">
      <c r="A1853" t="s">
        <v>3872</v>
      </c>
      <c r="B1853" t="s">
        <v>3873</v>
      </c>
      <c r="C1853" t="str">
        <f>TEXT(Table1[[#This Row],[Order_Date]],"mmm")</f>
        <v>Dec</v>
      </c>
      <c r="D1853" t="s">
        <v>3874</v>
      </c>
      <c r="E1853" t="s">
        <v>75</v>
      </c>
      <c r="F1853">
        <v>4</v>
      </c>
      <c r="G1853">
        <v>11231.86</v>
      </c>
      <c r="H1853">
        <v>44927.44</v>
      </c>
      <c r="I1853" t="s">
        <v>18</v>
      </c>
      <c r="J1853" t="s">
        <v>19</v>
      </c>
    </row>
    <row r="1854" spans="1:10" x14ac:dyDescent="0.35">
      <c r="A1854" t="s">
        <v>3875</v>
      </c>
      <c r="B1854" t="s">
        <v>3873</v>
      </c>
      <c r="C1854" t="str">
        <f>TEXT(Table1[[#This Row],[Order_Date]],"mmm")</f>
        <v>Dec</v>
      </c>
      <c r="D1854" t="s">
        <v>3876</v>
      </c>
      <c r="E1854" t="s">
        <v>12</v>
      </c>
      <c r="F1854">
        <v>4</v>
      </c>
      <c r="G1854">
        <v>8451.4699999999993</v>
      </c>
      <c r="H1854">
        <v>33805.879999999997</v>
      </c>
      <c r="I1854" t="s">
        <v>13</v>
      </c>
      <c r="J1854" t="s">
        <v>14</v>
      </c>
    </row>
    <row r="1855" spans="1:10" x14ac:dyDescent="0.35">
      <c r="A1855" t="s">
        <v>3877</v>
      </c>
      <c r="B1855" t="s">
        <v>3873</v>
      </c>
      <c r="C1855" t="str">
        <f>TEXT(Table1[[#This Row],[Order_Date]],"mmm")</f>
        <v>Dec</v>
      </c>
      <c r="D1855" t="s">
        <v>3878</v>
      </c>
      <c r="E1855" t="s">
        <v>56</v>
      </c>
      <c r="F1855">
        <v>5</v>
      </c>
      <c r="G1855">
        <v>21444.07</v>
      </c>
      <c r="H1855">
        <v>107220.35</v>
      </c>
      <c r="I1855" t="s">
        <v>13</v>
      </c>
      <c r="J1855" t="s">
        <v>19</v>
      </c>
    </row>
    <row r="1856" spans="1:10" x14ac:dyDescent="0.35">
      <c r="A1856" t="s">
        <v>3879</v>
      </c>
      <c r="B1856" t="s">
        <v>3873</v>
      </c>
      <c r="C1856" t="str">
        <f>TEXT(Table1[[#This Row],[Order_Date]],"mmm")</f>
        <v>Dec</v>
      </c>
      <c r="D1856" t="s">
        <v>3880</v>
      </c>
      <c r="E1856" t="s">
        <v>17</v>
      </c>
      <c r="F1856">
        <v>3</v>
      </c>
      <c r="G1856">
        <v>3346.76</v>
      </c>
      <c r="H1856">
        <v>10040.280000000001</v>
      </c>
      <c r="I1856" t="s">
        <v>13</v>
      </c>
      <c r="J1856" t="s">
        <v>24</v>
      </c>
    </row>
    <row r="1857" spans="1:10" x14ac:dyDescent="0.35">
      <c r="A1857" t="s">
        <v>3881</v>
      </c>
      <c r="B1857" t="s">
        <v>3882</v>
      </c>
      <c r="C1857" t="str">
        <f>TEXT(Table1[[#This Row],[Order_Date]],"mmm")</f>
        <v>Dec</v>
      </c>
      <c r="D1857" t="s">
        <v>3883</v>
      </c>
      <c r="E1857" t="s">
        <v>22</v>
      </c>
      <c r="F1857">
        <v>4</v>
      </c>
      <c r="G1857">
        <v>25669.37</v>
      </c>
      <c r="H1857">
        <v>102677.48</v>
      </c>
      <c r="I1857" t="s">
        <v>23</v>
      </c>
      <c r="J1857" t="s">
        <v>19</v>
      </c>
    </row>
    <row r="1858" spans="1:10" x14ac:dyDescent="0.35">
      <c r="A1858" t="s">
        <v>3884</v>
      </c>
      <c r="B1858" t="s">
        <v>3882</v>
      </c>
      <c r="C1858" t="str">
        <f>TEXT(Table1[[#This Row],[Order_Date]],"mmm")</f>
        <v>Dec</v>
      </c>
      <c r="D1858" t="s">
        <v>3885</v>
      </c>
      <c r="E1858" t="s">
        <v>22</v>
      </c>
      <c r="F1858">
        <v>5</v>
      </c>
      <c r="G1858">
        <v>27884.04</v>
      </c>
      <c r="H1858">
        <v>139420.20000000001</v>
      </c>
      <c r="I1858" t="s">
        <v>23</v>
      </c>
      <c r="J1858" t="s">
        <v>35</v>
      </c>
    </row>
    <row r="1859" spans="1:10" x14ac:dyDescent="0.35">
      <c r="A1859" t="s">
        <v>3886</v>
      </c>
      <c r="B1859" t="s">
        <v>3882</v>
      </c>
      <c r="C1859" t="str">
        <f>TEXT(Table1[[#This Row],[Order_Date]],"mmm")</f>
        <v>Dec</v>
      </c>
      <c r="D1859" t="s">
        <v>3887</v>
      </c>
      <c r="E1859" t="s">
        <v>32</v>
      </c>
      <c r="F1859">
        <v>3</v>
      </c>
      <c r="G1859">
        <v>33500.46</v>
      </c>
      <c r="H1859">
        <v>100501.38</v>
      </c>
      <c r="I1859" t="s">
        <v>23</v>
      </c>
      <c r="J1859" t="s">
        <v>19</v>
      </c>
    </row>
    <row r="1860" spans="1:10" x14ac:dyDescent="0.35">
      <c r="A1860" t="s">
        <v>3888</v>
      </c>
      <c r="B1860" t="s">
        <v>3882</v>
      </c>
      <c r="C1860" t="str">
        <f>TEXT(Table1[[#This Row],[Order_Date]],"mmm")</f>
        <v>Dec</v>
      </c>
      <c r="D1860" t="s">
        <v>3889</v>
      </c>
      <c r="E1860" t="s">
        <v>75</v>
      </c>
      <c r="F1860">
        <v>4</v>
      </c>
      <c r="G1860">
        <v>8130.58</v>
      </c>
      <c r="H1860">
        <v>32522.32</v>
      </c>
      <c r="I1860" t="s">
        <v>23</v>
      </c>
      <c r="J1860" t="s">
        <v>24</v>
      </c>
    </row>
    <row r="1861" spans="1:10" x14ac:dyDescent="0.35">
      <c r="A1861" t="s">
        <v>3890</v>
      </c>
      <c r="B1861" t="s">
        <v>3882</v>
      </c>
      <c r="C1861" t="str">
        <f>TEXT(Table1[[#This Row],[Order_Date]],"mmm")</f>
        <v>Dec</v>
      </c>
      <c r="D1861" t="s">
        <v>3891</v>
      </c>
      <c r="E1861" t="s">
        <v>12</v>
      </c>
      <c r="F1861">
        <v>4</v>
      </c>
      <c r="G1861">
        <v>2611.4699999999998</v>
      </c>
      <c r="H1861">
        <v>10445.879999999999</v>
      </c>
      <c r="I1861" t="s">
        <v>18</v>
      </c>
      <c r="J1861" t="s">
        <v>35</v>
      </c>
    </row>
    <row r="1862" spans="1:10" x14ac:dyDescent="0.35">
      <c r="A1862" t="s">
        <v>3892</v>
      </c>
      <c r="B1862" t="s">
        <v>3882</v>
      </c>
      <c r="C1862" t="str">
        <f>TEXT(Table1[[#This Row],[Order_Date]],"mmm")</f>
        <v>Dec</v>
      </c>
      <c r="D1862" t="s">
        <v>3893</v>
      </c>
      <c r="E1862" t="s">
        <v>75</v>
      </c>
      <c r="F1862">
        <v>5</v>
      </c>
      <c r="G1862">
        <v>15378.54</v>
      </c>
      <c r="H1862">
        <v>76892.7</v>
      </c>
      <c r="I1862" t="s">
        <v>42</v>
      </c>
      <c r="J1862" t="s">
        <v>24</v>
      </c>
    </row>
    <row r="1863" spans="1:10" x14ac:dyDescent="0.35">
      <c r="A1863" t="s">
        <v>3894</v>
      </c>
      <c r="B1863" t="s">
        <v>3882</v>
      </c>
      <c r="C1863" t="str">
        <f>TEXT(Table1[[#This Row],[Order_Date]],"mmm")</f>
        <v>Dec</v>
      </c>
      <c r="D1863" t="s">
        <v>2183</v>
      </c>
      <c r="E1863" t="s">
        <v>56</v>
      </c>
      <c r="F1863">
        <v>2</v>
      </c>
      <c r="G1863">
        <v>1385.17</v>
      </c>
      <c r="H1863">
        <v>2770.34</v>
      </c>
      <c r="I1863" t="s">
        <v>42</v>
      </c>
      <c r="J1863" t="s">
        <v>14</v>
      </c>
    </row>
    <row r="1864" spans="1:10" x14ac:dyDescent="0.35">
      <c r="A1864" t="s">
        <v>3895</v>
      </c>
      <c r="B1864" t="s">
        <v>3882</v>
      </c>
      <c r="C1864" t="str">
        <f>TEXT(Table1[[#This Row],[Order_Date]],"mmm")</f>
        <v>Dec</v>
      </c>
      <c r="D1864" t="s">
        <v>3896</v>
      </c>
      <c r="E1864" t="s">
        <v>38</v>
      </c>
      <c r="F1864">
        <v>1</v>
      </c>
      <c r="G1864">
        <v>37738.07</v>
      </c>
      <c r="H1864">
        <v>37738.07</v>
      </c>
      <c r="I1864" t="s">
        <v>18</v>
      </c>
      <c r="J1864" t="s">
        <v>35</v>
      </c>
    </row>
    <row r="1865" spans="1:10" x14ac:dyDescent="0.35">
      <c r="A1865" t="s">
        <v>3897</v>
      </c>
      <c r="B1865" t="s">
        <v>3898</v>
      </c>
      <c r="C1865" t="str">
        <f>TEXT(Table1[[#This Row],[Order_Date]],"mmm")</f>
        <v>Dec</v>
      </c>
      <c r="D1865" t="s">
        <v>3899</v>
      </c>
      <c r="E1865" t="s">
        <v>32</v>
      </c>
      <c r="F1865">
        <v>1</v>
      </c>
      <c r="G1865">
        <v>20602.830000000002</v>
      </c>
      <c r="H1865">
        <v>20602.830000000002</v>
      </c>
      <c r="I1865" t="s">
        <v>18</v>
      </c>
      <c r="J1865" t="s">
        <v>14</v>
      </c>
    </row>
    <row r="1866" spans="1:10" x14ac:dyDescent="0.35">
      <c r="A1866" t="s">
        <v>3900</v>
      </c>
      <c r="B1866" t="s">
        <v>3898</v>
      </c>
      <c r="C1866" t="str">
        <f>TEXT(Table1[[#This Row],[Order_Date]],"mmm")</f>
        <v>Dec</v>
      </c>
      <c r="D1866" t="s">
        <v>3901</v>
      </c>
      <c r="E1866" t="s">
        <v>47</v>
      </c>
      <c r="F1866">
        <v>2</v>
      </c>
      <c r="G1866">
        <v>47936.7</v>
      </c>
      <c r="H1866">
        <v>95873.4</v>
      </c>
      <c r="I1866" t="s">
        <v>13</v>
      </c>
      <c r="J1866" t="s">
        <v>35</v>
      </c>
    </row>
    <row r="1867" spans="1:10" x14ac:dyDescent="0.35">
      <c r="A1867" t="s">
        <v>3902</v>
      </c>
      <c r="B1867" t="s">
        <v>3898</v>
      </c>
      <c r="C1867" t="str">
        <f>TEXT(Table1[[#This Row],[Order_Date]],"mmm")</f>
        <v>Dec</v>
      </c>
      <c r="D1867" t="s">
        <v>3903</v>
      </c>
      <c r="E1867" t="s">
        <v>38</v>
      </c>
      <c r="F1867">
        <v>1</v>
      </c>
      <c r="G1867">
        <v>21229.27</v>
      </c>
      <c r="H1867">
        <v>21229.27</v>
      </c>
      <c r="I1867" t="s">
        <v>18</v>
      </c>
      <c r="J1867" t="s">
        <v>14</v>
      </c>
    </row>
    <row r="1868" spans="1:10" x14ac:dyDescent="0.35">
      <c r="A1868" t="s">
        <v>3904</v>
      </c>
      <c r="B1868" t="s">
        <v>3898</v>
      </c>
      <c r="C1868" t="str">
        <f>TEXT(Table1[[#This Row],[Order_Date]],"mmm")</f>
        <v>Dec</v>
      </c>
      <c r="D1868" t="s">
        <v>3905</v>
      </c>
      <c r="E1868" t="s">
        <v>56</v>
      </c>
      <c r="F1868">
        <v>3</v>
      </c>
      <c r="G1868">
        <v>17148.5</v>
      </c>
      <c r="H1868">
        <v>51445.5</v>
      </c>
      <c r="I1868" t="s">
        <v>42</v>
      </c>
      <c r="J1868" t="s">
        <v>19</v>
      </c>
    </row>
    <row r="1869" spans="1:10" x14ac:dyDescent="0.35">
      <c r="A1869" t="s">
        <v>3906</v>
      </c>
      <c r="B1869" t="s">
        <v>3898</v>
      </c>
      <c r="C1869" t="str">
        <f>TEXT(Table1[[#This Row],[Order_Date]],"mmm")</f>
        <v>Dec</v>
      </c>
      <c r="D1869" t="s">
        <v>3907</v>
      </c>
      <c r="E1869" t="s">
        <v>56</v>
      </c>
      <c r="F1869">
        <v>5</v>
      </c>
      <c r="G1869">
        <v>40731.78</v>
      </c>
      <c r="H1869">
        <v>203658.9</v>
      </c>
      <c r="I1869" t="s">
        <v>18</v>
      </c>
      <c r="J1869" t="s">
        <v>14</v>
      </c>
    </row>
    <row r="1870" spans="1:10" x14ac:dyDescent="0.35">
      <c r="A1870" t="s">
        <v>3908</v>
      </c>
      <c r="B1870" t="s">
        <v>3898</v>
      </c>
      <c r="C1870" t="str">
        <f>TEXT(Table1[[#This Row],[Order_Date]],"mmm")</f>
        <v>Dec</v>
      </c>
      <c r="D1870" t="s">
        <v>3909</v>
      </c>
      <c r="E1870" t="s">
        <v>22</v>
      </c>
      <c r="F1870">
        <v>4</v>
      </c>
      <c r="G1870">
        <v>19140.259999999998</v>
      </c>
      <c r="H1870">
        <v>76561.039999999994</v>
      </c>
      <c r="I1870" t="s">
        <v>23</v>
      </c>
      <c r="J1870" t="s">
        <v>35</v>
      </c>
    </row>
    <row r="1871" spans="1:10" x14ac:dyDescent="0.35">
      <c r="A1871" t="s">
        <v>3910</v>
      </c>
      <c r="B1871" t="s">
        <v>3911</v>
      </c>
      <c r="C1871" t="str">
        <f>TEXT(Table1[[#This Row],[Order_Date]],"mmm")</f>
        <v>Dec</v>
      </c>
      <c r="D1871" t="s">
        <v>3912</v>
      </c>
      <c r="E1871" t="s">
        <v>38</v>
      </c>
      <c r="F1871">
        <v>4</v>
      </c>
      <c r="G1871">
        <v>41536.769999999997</v>
      </c>
      <c r="H1871">
        <v>166147.07999999999</v>
      </c>
      <c r="I1871" t="s">
        <v>18</v>
      </c>
      <c r="J1871" t="s">
        <v>24</v>
      </c>
    </row>
    <row r="1872" spans="1:10" x14ac:dyDescent="0.35">
      <c r="A1872" t="s">
        <v>3913</v>
      </c>
      <c r="B1872" t="s">
        <v>3911</v>
      </c>
      <c r="C1872" t="str">
        <f>TEXT(Table1[[#This Row],[Order_Date]],"mmm")</f>
        <v>Dec</v>
      </c>
      <c r="D1872" t="s">
        <v>2153</v>
      </c>
      <c r="E1872" t="s">
        <v>72</v>
      </c>
      <c r="F1872">
        <v>4</v>
      </c>
      <c r="G1872">
        <v>48744.34</v>
      </c>
      <c r="H1872">
        <v>194977.36</v>
      </c>
      <c r="I1872" t="s">
        <v>23</v>
      </c>
      <c r="J1872" t="s">
        <v>14</v>
      </c>
    </row>
    <row r="1873" spans="1:10" x14ac:dyDescent="0.35">
      <c r="A1873" t="s">
        <v>3914</v>
      </c>
      <c r="B1873" t="s">
        <v>3911</v>
      </c>
      <c r="C1873" t="str">
        <f>TEXT(Table1[[#This Row],[Order_Date]],"mmm")</f>
        <v>Dec</v>
      </c>
      <c r="D1873" t="s">
        <v>3915</v>
      </c>
      <c r="E1873" t="s">
        <v>47</v>
      </c>
      <c r="F1873">
        <v>4</v>
      </c>
      <c r="G1873">
        <v>8336.58</v>
      </c>
      <c r="H1873">
        <v>33346.32</v>
      </c>
      <c r="I1873" t="s">
        <v>42</v>
      </c>
      <c r="J1873" t="s">
        <v>19</v>
      </c>
    </row>
    <row r="1874" spans="1:10" x14ac:dyDescent="0.35">
      <c r="A1874" t="s">
        <v>3916</v>
      </c>
      <c r="B1874" t="s">
        <v>3911</v>
      </c>
      <c r="C1874" t="str">
        <f>TEXT(Table1[[#This Row],[Order_Date]],"mmm")</f>
        <v>Dec</v>
      </c>
      <c r="D1874" t="s">
        <v>3917</v>
      </c>
      <c r="E1874" t="s">
        <v>32</v>
      </c>
      <c r="F1874">
        <v>3</v>
      </c>
      <c r="G1874">
        <v>47781</v>
      </c>
      <c r="H1874">
        <v>143343</v>
      </c>
      <c r="I1874" t="s">
        <v>42</v>
      </c>
      <c r="J1874" t="s">
        <v>24</v>
      </c>
    </row>
    <row r="1875" spans="1:10" x14ac:dyDescent="0.35">
      <c r="A1875" t="s">
        <v>3918</v>
      </c>
      <c r="B1875" t="s">
        <v>3911</v>
      </c>
      <c r="C1875" t="str">
        <f>TEXT(Table1[[#This Row],[Order_Date]],"mmm")</f>
        <v>Dec</v>
      </c>
      <c r="D1875" t="s">
        <v>3919</v>
      </c>
      <c r="E1875" t="s">
        <v>56</v>
      </c>
      <c r="F1875">
        <v>3</v>
      </c>
      <c r="G1875">
        <v>47804.77</v>
      </c>
      <c r="H1875">
        <v>143414.31</v>
      </c>
      <c r="I1875" t="s">
        <v>18</v>
      </c>
      <c r="J1875" t="s">
        <v>24</v>
      </c>
    </row>
    <row r="1876" spans="1:10" x14ac:dyDescent="0.35">
      <c r="A1876" t="s">
        <v>3920</v>
      </c>
      <c r="B1876" t="s">
        <v>3921</v>
      </c>
      <c r="C1876" t="str">
        <f>TEXT(Table1[[#This Row],[Order_Date]],"mmm")</f>
        <v>Dec</v>
      </c>
      <c r="D1876" t="s">
        <v>3922</v>
      </c>
      <c r="E1876" t="s">
        <v>75</v>
      </c>
      <c r="F1876">
        <v>2</v>
      </c>
      <c r="G1876">
        <v>17126.13</v>
      </c>
      <c r="H1876">
        <v>34252.26</v>
      </c>
      <c r="I1876" t="s">
        <v>13</v>
      </c>
      <c r="J1876" t="s">
        <v>14</v>
      </c>
    </row>
    <row r="1877" spans="1:10" x14ac:dyDescent="0.35">
      <c r="A1877" t="s">
        <v>3923</v>
      </c>
      <c r="B1877" t="s">
        <v>3921</v>
      </c>
      <c r="C1877" t="str">
        <f>TEXT(Table1[[#This Row],[Order_Date]],"mmm")</f>
        <v>Dec</v>
      </c>
      <c r="D1877" t="s">
        <v>3487</v>
      </c>
      <c r="E1877" t="s">
        <v>22</v>
      </c>
      <c r="F1877">
        <v>4</v>
      </c>
      <c r="G1877">
        <v>26422.97</v>
      </c>
      <c r="H1877">
        <v>105691.88</v>
      </c>
      <c r="I1877" t="s">
        <v>18</v>
      </c>
      <c r="J1877" t="s">
        <v>19</v>
      </c>
    </row>
    <row r="1878" spans="1:10" x14ac:dyDescent="0.35">
      <c r="A1878" t="s">
        <v>3924</v>
      </c>
      <c r="B1878" t="s">
        <v>3921</v>
      </c>
      <c r="C1878" t="str">
        <f>TEXT(Table1[[#This Row],[Order_Date]],"mmm")</f>
        <v>Dec</v>
      </c>
      <c r="D1878" t="s">
        <v>3925</v>
      </c>
      <c r="E1878" t="s">
        <v>17</v>
      </c>
      <c r="F1878">
        <v>2</v>
      </c>
      <c r="G1878">
        <v>29329.86</v>
      </c>
      <c r="H1878">
        <v>58659.72</v>
      </c>
      <c r="I1878" t="s">
        <v>42</v>
      </c>
      <c r="J1878" t="s">
        <v>19</v>
      </c>
    </row>
    <row r="1879" spans="1:10" x14ac:dyDescent="0.35">
      <c r="A1879" t="s">
        <v>3926</v>
      </c>
      <c r="B1879" t="s">
        <v>3921</v>
      </c>
      <c r="C1879" t="str">
        <f>TEXT(Table1[[#This Row],[Order_Date]],"mmm")</f>
        <v>Dec</v>
      </c>
      <c r="D1879" t="s">
        <v>3927</v>
      </c>
      <c r="E1879" t="s">
        <v>17</v>
      </c>
      <c r="F1879">
        <v>3</v>
      </c>
      <c r="G1879">
        <v>49937.01</v>
      </c>
      <c r="H1879">
        <v>149811.03</v>
      </c>
      <c r="I1879" t="s">
        <v>13</v>
      </c>
      <c r="J1879" t="s">
        <v>14</v>
      </c>
    </row>
    <row r="1880" spans="1:10" x14ac:dyDescent="0.35">
      <c r="A1880" t="s">
        <v>3928</v>
      </c>
      <c r="B1880" t="s">
        <v>3921</v>
      </c>
      <c r="C1880" t="str">
        <f>TEXT(Table1[[#This Row],[Order_Date]],"mmm")</f>
        <v>Dec</v>
      </c>
      <c r="D1880" t="s">
        <v>3929</v>
      </c>
      <c r="E1880" t="s">
        <v>12</v>
      </c>
      <c r="F1880">
        <v>5</v>
      </c>
      <c r="G1880">
        <v>31117.599999999999</v>
      </c>
      <c r="H1880">
        <v>155588</v>
      </c>
      <c r="I1880" t="s">
        <v>42</v>
      </c>
      <c r="J1880" t="s">
        <v>14</v>
      </c>
    </row>
    <row r="1881" spans="1:10" x14ac:dyDescent="0.35">
      <c r="A1881" t="s">
        <v>3930</v>
      </c>
      <c r="B1881" t="s">
        <v>3931</v>
      </c>
      <c r="C1881" t="str">
        <f>TEXT(Table1[[#This Row],[Order_Date]],"mmm")</f>
        <v>Dec</v>
      </c>
      <c r="D1881" t="s">
        <v>515</v>
      </c>
      <c r="E1881" t="s">
        <v>32</v>
      </c>
      <c r="F1881">
        <v>1</v>
      </c>
      <c r="G1881">
        <v>15101.83</v>
      </c>
      <c r="H1881">
        <v>15101.83</v>
      </c>
      <c r="I1881" t="s">
        <v>23</v>
      </c>
      <c r="J1881" t="s">
        <v>14</v>
      </c>
    </row>
    <row r="1882" spans="1:10" x14ac:dyDescent="0.35">
      <c r="A1882" t="s">
        <v>3932</v>
      </c>
      <c r="B1882" t="s">
        <v>3931</v>
      </c>
      <c r="C1882" t="str">
        <f>TEXT(Table1[[#This Row],[Order_Date]],"mmm")</f>
        <v>Dec</v>
      </c>
      <c r="D1882" t="s">
        <v>3933</v>
      </c>
      <c r="E1882" t="s">
        <v>38</v>
      </c>
      <c r="F1882">
        <v>4</v>
      </c>
      <c r="G1882">
        <v>38594.1</v>
      </c>
      <c r="H1882">
        <v>154376.4</v>
      </c>
      <c r="I1882" t="s">
        <v>13</v>
      </c>
      <c r="J1882" t="s">
        <v>19</v>
      </c>
    </row>
    <row r="1883" spans="1:10" x14ac:dyDescent="0.35">
      <c r="A1883" t="s">
        <v>3934</v>
      </c>
      <c r="B1883" t="s">
        <v>3931</v>
      </c>
      <c r="C1883" t="str">
        <f>TEXT(Table1[[#This Row],[Order_Date]],"mmm")</f>
        <v>Dec</v>
      </c>
      <c r="D1883" t="s">
        <v>3935</v>
      </c>
      <c r="E1883" t="s">
        <v>53</v>
      </c>
      <c r="F1883">
        <v>2</v>
      </c>
      <c r="G1883">
        <v>29961.98</v>
      </c>
      <c r="H1883">
        <v>59923.96</v>
      </c>
      <c r="I1883" t="s">
        <v>42</v>
      </c>
      <c r="J1883" t="s">
        <v>24</v>
      </c>
    </row>
    <row r="1884" spans="1:10" x14ac:dyDescent="0.35">
      <c r="A1884" t="s">
        <v>3936</v>
      </c>
      <c r="B1884" t="s">
        <v>3931</v>
      </c>
      <c r="C1884" t="str">
        <f>TEXT(Table1[[#This Row],[Order_Date]],"mmm")</f>
        <v>Dec</v>
      </c>
      <c r="D1884" t="s">
        <v>3937</v>
      </c>
      <c r="E1884" t="s">
        <v>56</v>
      </c>
      <c r="F1884">
        <v>2</v>
      </c>
      <c r="G1884">
        <v>3743.39</v>
      </c>
      <c r="H1884">
        <v>7486.78</v>
      </c>
      <c r="I1884" t="s">
        <v>18</v>
      </c>
      <c r="J1884" t="s">
        <v>14</v>
      </c>
    </row>
    <row r="1885" spans="1:10" x14ac:dyDescent="0.35">
      <c r="A1885" t="s">
        <v>3938</v>
      </c>
      <c r="B1885" t="s">
        <v>3931</v>
      </c>
      <c r="C1885" t="str">
        <f>TEXT(Table1[[#This Row],[Order_Date]],"mmm")</f>
        <v>Dec</v>
      </c>
      <c r="D1885" t="s">
        <v>3939</v>
      </c>
      <c r="E1885" t="s">
        <v>53</v>
      </c>
      <c r="F1885">
        <v>5</v>
      </c>
      <c r="G1885">
        <v>27952.560000000001</v>
      </c>
      <c r="H1885">
        <v>139762.79999999999</v>
      </c>
      <c r="I1885" t="s">
        <v>23</v>
      </c>
      <c r="J1885" t="s">
        <v>14</v>
      </c>
    </row>
    <row r="1886" spans="1:10" x14ac:dyDescent="0.35">
      <c r="A1886" t="s">
        <v>3940</v>
      </c>
      <c r="B1886" t="s">
        <v>3941</v>
      </c>
      <c r="C1886" t="str">
        <f>TEXT(Table1[[#This Row],[Order_Date]],"mmm")</f>
        <v>Dec</v>
      </c>
      <c r="D1886" t="s">
        <v>2351</v>
      </c>
      <c r="E1886" t="s">
        <v>72</v>
      </c>
      <c r="F1886">
        <v>5</v>
      </c>
      <c r="G1886">
        <v>16482.97</v>
      </c>
      <c r="H1886">
        <v>82414.850000000006</v>
      </c>
      <c r="I1886" t="s">
        <v>13</v>
      </c>
      <c r="J1886" t="s">
        <v>24</v>
      </c>
    </row>
    <row r="1887" spans="1:10" x14ac:dyDescent="0.35">
      <c r="A1887" t="s">
        <v>3942</v>
      </c>
      <c r="B1887" t="s">
        <v>3941</v>
      </c>
      <c r="C1887" t="str">
        <f>TEXT(Table1[[#This Row],[Order_Date]],"mmm")</f>
        <v>Dec</v>
      </c>
      <c r="D1887" t="s">
        <v>494</v>
      </c>
      <c r="E1887" t="s">
        <v>22</v>
      </c>
      <c r="F1887">
        <v>3</v>
      </c>
      <c r="G1887">
        <v>38352.21</v>
      </c>
      <c r="H1887">
        <v>115056.63</v>
      </c>
      <c r="I1887" t="s">
        <v>13</v>
      </c>
      <c r="J1887" t="s">
        <v>35</v>
      </c>
    </row>
    <row r="1888" spans="1:10" x14ac:dyDescent="0.35">
      <c r="A1888" t="s">
        <v>3943</v>
      </c>
      <c r="B1888" t="s">
        <v>3941</v>
      </c>
      <c r="C1888" t="str">
        <f>TEXT(Table1[[#This Row],[Order_Date]],"mmm")</f>
        <v>Dec</v>
      </c>
      <c r="D1888" t="s">
        <v>3944</v>
      </c>
      <c r="E1888" t="s">
        <v>22</v>
      </c>
      <c r="F1888">
        <v>2</v>
      </c>
      <c r="G1888">
        <v>46828.45</v>
      </c>
      <c r="H1888">
        <v>93656.9</v>
      </c>
      <c r="I1888" t="s">
        <v>13</v>
      </c>
      <c r="J1888" t="s">
        <v>24</v>
      </c>
    </row>
    <row r="1889" spans="1:10" x14ac:dyDescent="0.35">
      <c r="A1889" t="s">
        <v>3945</v>
      </c>
      <c r="B1889" t="s">
        <v>3941</v>
      </c>
      <c r="C1889" t="str">
        <f>TEXT(Table1[[#This Row],[Order_Date]],"mmm")</f>
        <v>Dec</v>
      </c>
      <c r="D1889" t="s">
        <v>3946</v>
      </c>
      <c r="E1889" t="s">
        <v>53</v>
      </c>
      <c r="F1889">
        <v>4</v>
      </c>
      <c r="G1889">
        <v>18510.43</v>
      </c>
      <c r="H1889">
        <v>74041.72</v>
      </c>
      <c r="I1889" t="s">
        <v>23</v>
      </c>
      <c r="J1889" t="s">
        <v>14</v>
      </c>
    </row>
    <row r="1890" spans="1:10" x14ac:dyDescent="0.35">
      <c r="A1890" t="s">
        <v>3947</v>
      </c>
      <c r="B1890" t="s">
        <v>3948</v>
      </c>
      <c r="C1890" t="str">
        <f>TEXT(Table1[[#This Row],[Order_Date]],"mmm")</f>
        <v>Dec</v>
      </c>
      <c r="D1890" t="s">
        <v>3949</v>
      </c>
      <c r="E1890" t="s">
        <v>12</v>
      </c>
      <c r="F1890">
        <v>2</v>
      </c>
      <c r="G1890">
        <v>29037.51</v>
      </c>
      <c r="H1890">
        <v>58075.02</v>
      </c>
      <c r="I1890" t="s">
        <v>23</v>
      </c>
      <c r="J1890" t="s">
        <v>19</v>
      </c>
    </row>
    <row r="1891" spans="1:10" x14ac:dyDescent="0.35">
      <c r="A1891" t="s">
        <v>3950</v>
      </c>
      <c r="B1891" t="s">
        <v>3948</v>
      </c>
      <c r="C1891" t="str">
        <f>TEXT(Table1[[#This Row],[Order_Date]],"mmm")</f>
        <v>Dec</v>
      </c>
      <c r="D1891" t="s">
        <v>101</v>
      </c>
      <c r="E1891" t="s">
        <v>38</v>
      </c>
      <c r="F1891">
        <v>4</v>
      </c>
      <c r="G1891">
        <v>1030.3599999999999</v>
      </c>
      <c r="H1891">
        <v>4121.4399999999996</v>
      </c>
      <c r="I1891" t="s">
        <v>18</v>
      </c>
      <c r="J1891" t="s">
        <v>24</v>
      </c>
    </row>
    <row r="1892" spans="1:10" x14ac:dyDescent="0.35">
      <c r="A1892" t="s">
        <v>3951</v>
      </c>
      <c r="B1892" t="s">
        <v>3948</v>
      </c>
      <c r="C1892" t="str">
        <f>TEXT(Table1[[#This Row],[Order_Date]],"mmm")</f>
        <v>Dec</v>
      </c>
      <c r="D1892" t="s">
        <v>3952</v>
      </c>
      <c r="E1892" t="s">
        <v>38</v>
      </c>
      <c r="F1892">
        <v>1</v>
      </c>
      <c r="G1892">
        <v>14067.36</v>
      </c>
      <c r="H1892">
        <v>14067.36</v>
      </c>
      <c r="I1892" t="s">
        <v>23</v>
      </c>
      <c r="J1892" t="s">
        <v>24</v>
      </c>
    </row>
    <row r="1893" spans="1:10" x14ac:dyDescent="0.35">
      <c r="A1893" t="s">
        <v>3953</v>
      </c>
      <c r="B1893" t="s">
        <v>3948</v>
      </c>
      <c r="C1893" t="str">
        <f>TEXT(Table1[[#This Row],[Order_Date]],"mmm")</f>
        <v>Dec</v>
      </c>
      <c r="D1893" t="s">
        <v>3954</v>
      </c>
      <c r="E1893" t="s">
        <v>72</v>
      </c>
      <c r="F1893">
        <v>2</v>
      </c>
      <c r="G1893">
        <v>15184.89</v>
      </c>
      <c r="H1893">
        <v>30369.78</v>
      </c>
      <c r="I1893" t="s">
        <v>13</v>
      </c>
      <c r="J1893" t="s">
        <v>35</v>
      </c>
    </row>
    <row r="1894" spans="1:10" x14ac:dyDescent="0.35">
      <c r="A1894" t="s">
        <v>3955</v>
      </c>
      <c r="B1894" t="s">
        <v>3948</v>
      </c>
      <c r="C1894" t="str">
        <f>TEXT(Table1[[#This Row],[Order_Date]],"mmm")</f>
        <v>Dec</v>
      </c>
      <c r="D1894" t="s">
        <v>2624</v>
      </c>
      <c r="E1894" t="s">
        <v>47</v>
      </c>
      <c r="F1894">
        <v>2</v>
      </c>
      <c r="G1894">
        <v>26397.67</v>
      </c>
      <c r="H1894">
        <v>52795.34</v>
      </c>
      <c r="I1894" t="s">
        <v>23</v>
      </c>
      <c r="J1894" t="s">
        <v>24</v>
      </c>
    </row>
    <row r="1895" spans="1:10" x14ac:dyDescent="0.35">
      <c r="A1895" t="s">
        <v>3956</v>
      </c>
      <c r="B1895" t="s">
        <v>3948</v>
      </c>
      <c r="C1895" t="str">
        <f>TEXT(Table1[[#This Row],[Order_Date]],"mmm")</f>
        <v>Dec</v>
      </c>
      <c r="D1895" t="s">
        <v>1550</v>
      </c>
      <c r="E1895" t="s">
        <v>56</v>
      </c>
      <c r="F1895">
        <v>1</v>
      </c>
      <c r="G1895">
        <v>23190.02</v>
      </c>
      <c r="H1895">
        <v>23190.02</v>
      </c>
      <c r="I1895" t="s">
        <v>13</v>
      </c>
      <c r="J1895" t="s">
        <v>14</v>
      </c>
    </row>
    <row r="1896" spans="1:10" x14ac:dyDescent="0.35">
      <c r="A1896" t="s">
        <v>3957</v>
      </c>
      <c r="B1896" t="s">
        <v>3948</v>
      </c>
      <c r="C1896" t="str">
        <f>TEXT(Table1[[#This Row],[Order_Date]],"mmm")</f>
        <v>Dec</v>
      </c>
      <c r="D1896" t="s">
        <v>3958</v>
      </c>
      <c r="E1896" t="s">
        <v>75</v>
      </c>
      <c r="F1896">
        <v>3</v>
      </c>
      <c r="G1896">
        <v>4024.78</v>
      </c>
      <c r="H1896">
        <v>12074.34</v>
      </c>
      <c r="I1896" t="s">
        <v>18</v>
      </c>
      <c r="J1896" t="s">
        <v>35</v>
      </c>
    </row>
    <row r="1897" spans="1:10" x14ac:dyDescent="0.35">
      <c r="A1897" t="s">
        <v>3959</v>
      </c>
      <c r="B1897" t="s">
        <v>3960</v>
      </c>
      <c r="C1897" t="str">
        <f>TEXT(Table1[[#This Row],[Order_Date]],"mmm")</f>
        <v>Dec</v>
      </c>
      <c r="D1897" t="s">
        <v>3961</v>
      </c>
      <c r="E1897" t="s">
        <v>56</v>
      </c>
      <c r="F1897">
        <v>1</v>
      </c>
      <c r="G1897">
        <v>3323.57</v>
      </c>
      <c r="H1897">
        <v>3323.57</v>
      </c>
      <c r="I1897" t="s">
        <v>42</v>
      </c>
      <c r="J1897" t="s">
        <v>14</v>
      </c>
    </row>
    <row r="1898" spans="1:10" x14ac:dyDescent="0.35">
      <c r="A1898" t="s">
        <v>3962</v>
      </c>
      <c r="B1898" t="s">
        <v>3960</v>
      </c>
      <c r="C1898" t="str">
        <f>TEXT(Table1[[#This Row],[Order_Date]],"mmm")</f>
        <v>Dec</v>
      </c>
      <c r="D1898" t="s">
        <v>520</v>
      </c>
      <c r="E1898" t="s">
        <v>72</v>
      </c>
      <c r="F1898">
        <v>4</v>
      </c>
      <c r="G1898">
        <v>34777.21</v>
      </c>
      <c r="H1898">
        <v>139108.84</v>
      </c>
      <c r="I1898" t="s">
        <v>42</v>
      </c>
      <c r="J1898" t="s">
        <v>24</v>
      </c>
    </row>
    <row r="1899" spans="1:10" x14ac:dyDescent="0.35">
      <c r="A1899" t="s">
        <v>3963</v>
      </c>
      <c r="B1899" t="s">
        <v>3960</v>
      </c>
      <c r="C1899" t="str">
        <f>TEXT(Table1[[#This Row],[Order_Date]],"mmm")</f>
        <v>Dec</v>
      </c>
      <c r="D1899" t="s">
        <v>3964</v>
      </c>
      <c r="E1899" t="s">
        <v>32</v>
      </c>
      <c r="F1899">
        <v>3</v>
      </c>
      <c r="G1899">
        <v>4588.1099999999997</v>
      </c>
      <c r="H1899">
        <v>13764.33</v>
      </c>
      <c r="I1899" t="s">
        <v>42</v>
      </c>
      <c r="J1899" t="s">
        <v>14</v>
      </c>
    </row>
    <row r="1900" spans="1:10" x14ac:dyDescent="0.35">
      <c r="A1900" t="s">
        <v>3965</v>
      </c>
      <c r="B1900" t="s">
        <v>3960</v>
      </c>
      <c r="C1900" t="str">
        <f>TEXT(Table1[[#This Row],[Order_Date]],"mmm")</f>
        <v>Dec</v>
      </c>
      <c r="D1900" t="s">
        <v>2637</v>
      </c>
      <c r="E1900" t="s">
        <v>47</v>
      </c>
      <c r="F1900">
        <v>1</v>
      </c>
      <c r="G1900">
        <v>29386.18</v>
      </c>
      <c r="H1900">
        <v>29386.18</v>
      </c>
      <c r="I1900" t="s">
        <v>23</v>
      </c>
      <c r="J1900" t="s">
        <v>35</v>
      </c>
    </row>
    <row r="1901" spans="1:10" x14ac:dyDescent="0.35">
      <c r="A1901" t="s">
        <v>3966</v>
      </c>
      <c r="B1901" t="s">
        <v>3960</v>
      </c>
      <c r="C1901" t="str">
        <f>TEXT(Table1[[#This Row],[Order_Date]],"mmm")</f>
        <v>Dec</v>
      </c>
      <c r="D1901" t="s">
        <v>3967</v>
      </c>
      <c r="E1901" t="s">
        <v>72</v>
      </c>
      <c r="F1901">
        <v>5</v>
      </c>
      <c r="G1901">
        <v>42882.6</v>
      </c>
      <c r="H1901">
        <v>214413</v>
      </c>
      <c r="I1901" t="s">
        <v>18</v>
      </c>
      <c r="J1901" t="s">
        <v>35</v>
      </c>
    </row>
    <row r="1902" spans="1:10" x14ac:dyDescent="0.35">
      <c r="A1902" t="s">
        <v>3968</v>
      </c>
      <c r="B1902" t="s">
        <v>3960</v>
      </c>
      <c r="C1902" t="str">
        <f>TEXT(Table1[[#This Row],[Order_Date]],"mmm")</f>
        <v>Dec</v>
      </c>
      <c r="D1902" t="s">
        <v>3969</v>
      </c>
      <c r="E1902" t="s">
        <v>75</v>
      </c>
      <c r="F1902">
        <v>3</v>
      </c>
      <c r="G1902">
        <v>35771.089999999997</v>
      </c>
      <c r="H1902">
        <v>107313.27</v>
      </c>
      <c r="I1902" t="s">
        <v>18</v>
      </c>
      <c r="J1902" t="s">
        <v>14</v>
      </c>
    </row>
    <row r="1903" spans="1:10" x14ac:dyDescent="0.35">
      <c r="A1903" t="s">
        <v>3970</v>
      </c>
      <c r="B1903" t="s">
        <v>3971</v>
      </c>
      <c r="C1903" t="str">
        <f>TEXT(Table1[[#This Row],[Order_Date]],"mmm")</f>
        <v>Dec</v>
      </c>
      <c r="D1903" t="s">
        <v>1001</v>
      </c>
      <c r="E1903" t="s">
        <v>47</v>
      </c>
      <c r="F1903">
        <v>3</v>
      </c>
      <c r="G1903">
        <v>37002.870000000003</v>
      </c>
      <c r="H1903">
        <v>111008.61</v>
      </c>
      <c r="I1903" t="s">
        <v>42</v>
      </c>
      <c r="J1903" t="s">
        <v>24</v>
      </c>
    </row>
    <row r="1904" spans="1:10" x14ac:dyDescent="0.35">
      <c r="A1904" t="s">
        <v>3972</v>
      </c>
      <c r="B1904" t="s">
        <v>3971</v>
      </c>
      <c r="C1904" t="str">
        <f>TEXT(Table1[[#This Row],[Order_Date]],"mmm")</f>
        <v>Dec</v>
      </c>
      <c r="D1904" t="s">
        <v>3973</v>
      </c>
      <c r="E1904" t="s">
        <v>75</v>
      </c>
      <c r="F1904">
        <v>4</v>
      </c>
      <c r="G1904">
        <v>24442.25</v>
      </c>
      <c r="H1904">
        <v>97769</v>
      </c>
      <c r="I1904" t="s">
        <v>42</v>
      </c>
      <c r="J1904" t="s">
        <v>24</v>
      </c>
    </row>
    <row r="1905" spans="1:10" x14ac:dyDescent="0.35">
      <c r="A1905" t="s">
        <v>3974</v>
      </c>
      <c r="B1905" t="s">
        <v>3971</v>
      </c>
      <c r="C1905" t="str">
        <f>TEXT(Table1[[#This Row],[Order_Date]],"mmm")</f>
        <v>Dec</v>
      </c>
      <c r="D1905" t="s">
        <v>2085</v>
      </c>
      <c r="E1905" t="s">
        <v>56</v>
      </c>
      <c r="F1905">
        <v>5</v>
      </c>
      <c r="G1905">
        <v>45503.16</v>
      </c>
      <c r="H1905">
        <v>227515.8</v>
      </c>
      <c r="I1905" t="s">
        <v>42</v>
      </c>
      <c r="J1905" t="s">
        <v>35</v>
      </c>
    </row>
    <row r="1906" spans="1:10" x14ac:dyDescent="0.35">
      <c r="A1906" t="s">
        <v>3975</v>
      </c>
      <c r="B1906" t="s">
        <v>3971</v>
      </c>
      <c r="C1906" t="str">
        <f>TEXT(Table1[[#This Row],[Order_Date]],"mmm")</f>
        <v>Dec</v>
      </c>
      <c r="D1906" t="s">
        <v>3976</v>
      </c>
      <c r="E1906" t="s">
        <v>38</v>
      </c>
      <c r="F1906">
        <v>2</v>
      </c>
      <c r="G1906">
        <v>17290.86</v>
      </c>
      <c r="H1906">
        <v>34581.72</v>
      </c>
      <c r="I1906" t="s">
        <v>13</v>
      </c>
      <c r="J1906" t="s">
        <v>35</v>
      </c>
    </row>
    <row r="1907" spans="1:10" x14ac:dyDescent="0.35">
      <c r="A1907" t="s">
        <v>3977</v>
      </c>
      <c r="B1907" t="s">
        <v>3971</v>
      </c>
      <c r="C1907" t="str">
        <f>TEXT(Table1[[#This Row],[Order_Date]],"mmm")</f>
        <v>Dec</v>
      </c>
      <c r="D1907" t="s">
        <v>3978</v>
      </c>
      <c r="E1907" t="s">
        <v>22</v>
      </c>
      <c r="F1907">
        <v>4</v>
      </c>
      <c r="G1907">
        <v>8853.48</v>
      </c>
      <c r="H1907">
        <v>35413.919999999998</v>
      </c>
      <c r="I1907" t="s">
        <v>23</v>
      </c>
      <c r="J1907" t="s">
        <v>24</v>
      </c>
    </row>
    <row r="1908" spans="1:10" x14ac:dyDescent="0.35">
      <c r="A1908" t="s">
        <v>3979</v>
      </c>
      <c r="B1908" t="s">
        <v>3971</v>
      </c>
      <c r="C1908" t="str">
        <f>TEXT(Table1[[#This Row],[Order_Date]],"mmm")</f>
        <v>Dec</v>
      </c>
      <c r="D1908" t="s">
        <v>3980</v>
      </c>
      <c r="E1908" t="s">
        <v>56</v>
      </c>
      <c r="F1908">
        <v>2</v>
      </c>
      <c r="G1908">
        <v>26815.18</v>
      </c>
      <c r="H1908">
        <v>53630.36</v>
      </c>
      <c r="I1908" t="s">
        <v>13</v>
      </c>
      <c r="J1908" t="s">
        <v>35</v>
      </c>
    </row>
    <row r="1909" spans="1:10" x14ac:dyDescent="0.35">
      <c r="A1909" t="s">
        <v>3981</v>
      </c>
      <c r="B1909" t="s">
        <v>3971</v>
      </c>
      <c r="C1909" t="str">
        <f>TEXT(Table1[[#This Row],[Order_Date]],"mmm")</f>
        <v>Dec</v>
      </c>
      <c r="D1909" t="s">
        <v>3982</v>
      </c>
      <c r="E1909" t="s">
        <v>72</v>
      </c>
      <c r="F1909">
        <v>5</v>
      </c>
      <c r="G1909">
        <v>38570.58</v>
      </c>
      <c r="H1909">
        <v>192852.9</v>
      </c>
      <c r="I1909" t="s">
        <v>42</v>
      </c>
      <c r="J1909" t="s">
        <v>14</v>
      </c>
    </row>
    <row r="1910" spans="1:10" x14ac:dyDescent="0.35">
      <c r="A1910" t="s">
        <v>3983</v>
      </c>
      <c r="B1910" t="s">
        <v>3984</v>
      </c>
      <c r="C1910" t="str">
        <f>TEXT(Table1[[#This Row],[Order_Date]],"mmm")</f>
        <v>Dec</v>
      </c>
      <c r="D1910" t="s">
        <v>3985</v>
      </c>
      <c r="E1910" t="s">
        <v>56</v>
      </c>
      <c r="F1910">
        <v>5</v>
      </c>
      <c r="G1910">
        <v>41898.19</v>
      </c>
      <c r="H1910">
        <v>209490.95</v>
      </c>
      <c r="I1910" t="s">
        <v>13</v>
      </c>
      <c r="J1910" t="s">
        <v>14</v>
      </c>
    </row>
    <row r="1911" spans="1:10" x14ac:dyDescent="0.35">
      <c r="A1911" t="s">
        <v>3986</v>
      </c>
      <c r="B1911" t="s">
        <v>3984</v>
      </c>
      <c r="C1911" t="str">
        <f>TEXT(Table1[[#This Row],[Order_Date]],"mmm")</f>
        <v>Dec</v>
      </c>
      <c r="D1911" t="s">
        <v>3987</v>
      </c>
      <c r="E1911" t="s">
        <v>17</v>
      </c>
      <c r="F1911">
        <v>5</v>
      </c>
      <c r="G1911">
        <v>14695.53</v>
      </c>
      <c r="H1911">
        <v>73477.649999999994</v>
      </c>
      <c r="I1911" t="s">
        <v>42</v>
      </c>
      <c r="J1911" t="s">
        <v>24</v>
      </c>
    </row>
    <row r="1912" spans="1:10" x14ac:dyDescent="0.35">
      <c r="A1912" t="s">
        <v>3988</v>
      </c>
      <c r="B1912" t="s">
        <v>3984</v>
      </c>
      <c r="C1912" t="str">
        <f>TEXT(Table1[[#This Row],[Order_Date]],"mmm")</f>
        <v>Dec</v>
      </c>
      <c r="D1912" t="s">
        <v>3989</v>
      </c>
      <c r="E1912" t="s">
        <v>17</v>
      </c>
      <c r="F1912">
        <v>1</v>
      </c>
      <c r="G1912">
        <v>25387.94</v>
      </c>
      <c r="H1912">
        <v>25387.94</v>
      </c>
      <c r="I1912" t="s">
        <v>13</v>
      </c>
      <c r="J1912" t="s">
        <v>19</v>
      </c>
    </row>
    <row r="1913" spans="1:10" x14ac:dyDescent="0.35">
      <c r="A1913" t="s">
        <v>3990</v>
      </c>
      <c r="B1913" t="s">
        <v>3984</v>
      </c>
      <c r="C1913" t="str">
        <f>TEXT(Table1[[#This Row],[Order_Date]],"mmm")</f>
        <v>Dec</v>
      </c>
      <c r="D1913" t="s">
        <v>2943</v>
      </c>
      <c r="E1913" t="s">
        <v>53</v>
      </c>
      <c r="F1913">
        <v>3</v>
      </c>
      <c r="G1913">
        <v>29147.99</v>
      </c>
      <c r="H1913">
        <v>87443.97</v>
      </c>
      <c r="I1913" t="s">
        <v>18</v>
      </c>
      <c r="J1913" t="s">
        <v>35</v>
      </c>
    </row>
    <row r="1914" spans="1:10" x14ac:dyDescent="0.35">
      <c r="A1914" t="s">
        <v>3991</v>
      </c>
      <c r="B1914" t="s">
        <v>3984</v>
      </c>
      <c r="C1914" t="str">
        <f>TEXT(Table1[[#This Row],[Order_Date]],"mmm")</f>
        <v>Dec</v>
      </c>
      <c r="D1914" t="s">
        <v>1845</v>
      </c>
      <c r="E1914" t="s">
        <v>17</v>
      </c>
      <c r="F1914">
        <v>1</v>
      </c>
      <c r="G1914">
        <v>39324.93</v>
      </c>
      <c r="H1914">
        <v>39324.93</v>
      </c>
      <c r="I1914" t="s">
        <v>18</v>
      </c>
      <c r="J1914" t="s">
        <v>14</v>
      </c>
    </row>
    <row r="1915" spans="1:10" x14ac:dyDescent="0.35">
      <c r="A1915" t="s">
        <v>3992</v>
      </c>
      <c r="B1915" t="s">
        <v>3993</v>
      </c>
      <c r="C1915" t="str">
        <f>TEXT(Table1[[#This Row],[Order_Date]],"mmm")</f>
        <v>Dec</v>
      </c>
      <c r="D1915" t="s">
        <v>3994</v>
      </c>
      <c r="E1915" t="s">
        <v>53</v>
      </c>
      <c r="F1915">
        <v>3</v>
      </c>
      <c r="G1915">
        <v>7824.73</v>
      </c>
      <c r="H1915">
        <v>23474.19</v>
      </c>
      <c r="I1915" t="s">
        <v>13</v>
      </c>
      <c r="J1915" t="s">
        <v>14</v>
      </c>
    </row>
    <row r="1916" spans="1:10" x14ac:dyDescent="0.35">
      <c r="A1916" t="s">
        <v>3995</v>
      </c>
      <c r="B1916" t="s">
        <v>3993</v>
      </c>
      <c r="C1916" t="str">
        <f>TEXT(Table1[[#This Row],[Order_Date]],"mmm")</f>
        <v>Dec</v>
      </c>
      <c r="D1916" t="s">
        <v>3996</v>
      </c>
      <c r="E1916" t="s">
        <v>32</v>
      </c>
      <c r="F1916">
        <v>1</v>
      </c>
      <c r="G1916">
        <v>41850.32</v>
      </c>
      <c r="H1916">
        <v>41850.32</v>
      </c>
      <c r="I1916" t="s">
        <v>23</v>
      </c>
      <c r="J1916" t="s">
        <v>35</v>
      </c>
    </row>
    <row r="1917" spans="1:10" x14ac:dyDescent="0.35">
      <c r="A1917" t="s">
        <v>3997</v>
      </c>
      <c r="B1917" t="s">
        <v>3993</v>
      </c>
      <c r="C1917" t="str">
        <f>TEXT(Table1[[#This Row],[Order_Date]],"mmm")</f>
        <v>Dec</v>
      </c>
      <c r="D1917" t="s">
        <v>3998</v>
      </c>
      <c r="E1917" t="s">
        <v>53</v>
      </c>
      <c r="F1917">
        <v>2</v>
      </c>
      <c r="G1917">
        <v>9840.2900000000009</v>
      </c>
      <c r="H1917">
        <v>19680.580000000002</v>
      </c>
      <c r="I1917" t="s">
        <v>42</v>
      </c>
      <c r="J1917" t="s">
        <v>24</v>
      </c>
    </row>
    <row r="1918" spans="1:10" x14ac:dyDescent="0.35">
      <c r="A1918" t="s">
        <v>3999</v>
      </c>
      <c r="B1918" t="s">
        <v>3993</v>
      </c>
      <c r="C1918" t="str">
        <f>TEXT(Table1[[#This Row],[Order_Date]],"mmm")</f>
        <v>Dec</v>
      </c>
      <c r="D1918" t="s">
        <v>802</v>
      </c>
      <c r="E1918" t="s">
        <v>12</v>
      </c>
      <c r="F1918">
        <v>4</v>
      </c>
      <c r="G1918">
        <v>39463.24</v>
      </c>
      <c r="H1918">
        <v>157852.96</v>
      </c>
      <c r="I1918" t="s">
        <v>23</v>
      </c>
      <c r="J1918" t="s">
        <v>35</v>
      </c>
    </row>
    <row r="1919" spans="1:10" x14ac:dyDescent="0.35">
      <c r="A1919" t="s">
        <v>4000</v>
      </c>
      <c r="B1919" t="s">
        <v>3993</v>
      </c>
      <c r="C1919" t="str">
        <f>TEXT(Table1[[#This Row],[Order_Date]],"mmm")</f>
        <v>Dec</v>
      </c>
      <c r="D1919" t="s">
        <v>4001</v>
      </c>
      <c r="E1919" t="s">
        <v>12</v>
      </c>
      <c r="F1919">
        <v>3</v>
      </c>
      <c r="G1919">
        <v>26695.73</v>
      </c>
      <c r="H1919">
        <v>80087.19</v>
      </c>
      <c r="I1919" t="s">
        <v>42</v>
      </c>
      <c r="J1919" t="s">
        <v>19</v>
      </c>
    </row>
    <row r="1920" spans="1:10" x14ac:dyDescent="0.35">
      <c r="A1920" t="s">
        <v>4002</v>
      </c>
      <c r="B1920" t="s">
        <v>3993</v>
      </c>
      <c r="C1920" t="str">
        <f>TEXT(Table1[[#This Row],[Order_Date]],"mmm")</f>
        <v>Dec</v>
      </c>
      <c r="D1920" t="s">
        <v>1484</v>
      </c>
      <c r="E1920" t="s">
        <v>47</v>
      </c>
      <c r="F1920">
        <v>3</v>
      </c>
      <c r="G1920">
        <v>27230.79</v>
      </c>
      <c r="H1920">
        <v>81692.37</v>
      </c>
      <c r="I1920" t="s">
        <v>13</v>
      </c>
      <c r="J1920" t="s">
        <v>35</v>
      </c>
    </row>
    <row r="1921" spans="1:10" x14ac:dyDescent="0.35">
      <c r="A1921" t="s">
        <v>4003</v>
      </c>
      <c r="B1921" t="s">
        <v>3993</v>
      </c>
      <c r="C1921" t="str">
        <f>TEXT(Table1[[#This Row],[Order_Date]],"mmm")</f>
        <v>Dec</v>
      </c>
      <c r="D1921" t="s">
        <v>4004</v>
      </c>
      <c r="E1921" t="s">
        <v>17</v>
      </c>
      <c r="F1921">
        <v>5</v>
      </c>
      <c r="G1921">
        <v>1120.52</v>
      </c>
      <c r="H1921">
        <v>5602.6</v>
      </c>
      <c r="I1921" t="s">
        <v>18</v>
      </c>
      <c r="J1921" t="s">
        <v>35</v>
      </c>
    </row>
    <row r="1922" spans="1:10" x14ac:dyDescent="0.35">
      <c r="A1922" t="s">
        <v>4005</v>
      </c>
      <c r="B1922" t="s">
        <v>4006</v>
      </c>
      <c r="C1922" t="str">
        <f>TEXT(Table1[[#This Row],[Order_Date]],"mmm")</f>
        <v>Dec</v>
      </c>
      <c r="D1922" t="s">
        <v>4007</v>
      </c>
      <c r="E1922" t="s">
        <v>12</v>
      </c>
      <c r="F1922">
        <v>4</v>
      </c>
      <c r="G1922">
        <v>49541.39</v>
      </c>
      <c r="H1922">
        <v>198165.56</v>
      </c>
      <c r="I1922" t="s">
        <v>23</v>
      </c>
      <c r="J1922" t="s">
        <v>35</v>
      </c>
    </row>
    <row r="1923" spans="1:10" x14ac:dyDescent="0.35">
      <c r="A1923" t="s">
        <v>4008</v>
      </c>
      <c r="B1923" t="s">
        <v>4006</v>
      </c>
      <c r="C1923" t="str">
        <f>TEXT(Table1[[#This Row],[Order_Date]],"mmm")</f>
        <v>Dec</v>
      </c>
      <c r="D1923" t="s">
        <v>4009</v>
      </c>
      <c r="E1923" t="s">
        <v>47</v>
      </c>
      <c r="F1923">
        <v>3</v>
      </c>
      <c r="G1923">
        <v>27658.31</v>
      </c>
      <c r="H1923">
        <v>82974.929999999993</v>
      </c>
      <c r="I1923" t="s">
        <v>13</v>
      </c>
      <c r="J1923" t="s">
        <v>19</v>
      </c>
    </row>
    <row r="1924" spans="1:10" x14ac:dyDescent="0.35">
      <c r="A1924" t="s">
        <v>4010</v>
      </c>
      <c r="B1924" t="s">
        <v>4006</v>
      </c>
      <c r="C1924" t="str">
        <f>TEXT(Table1[[#This Row],[Order_Date]],"mmm")</f>
        <v>Dec</v>
      </c>
      <c r="D1924" t="s">
        <v>4011</v>
      </c>
      <c r="E1924" t="s">
        <v>47</v>
      </c>
      <c r="F1924">
        <v>1</v>
      </c>
      <c r="G1924">
        <v>19783.28</v>
      </c>
      <c r="H1924">
        <v>19783.28</v>
      </c>
      <c r="I1924" t="s">
        <v>18</v>
      </c>
      <c r="J1924" t="s">
        <v>19</v>
      </c>
    </row>
    <row r="1925" spans="1:10" x14ac:dyDescent="0.35">
      <c r="A1925" t="s">
        <v>4012</v>
      </c>
      <c r="B1925" t="s">
        <v>4006</v>
      </c>
      <c r="C1925" t="str">
        <f>TEXT(Table1[[#This Row],[Order_Date]],"mmm")</f>
        <v>Dec</v>
      </c>
      <c r="D1925" t="s">
        <v>4013</v>
      </c>
      <c r="E1925" t="s">
        <v>32</v>
      </c>
      <c r="F1925">
        <v>1</v>
      </c>
      <c r="G1925">
        <v>49919.14</v>
      </c>
      <c r="H1925">
        <v>49919.14</v>
      </c>
      <c r="I1925" t="s">
        <v>18</v>
      </c>
      <c r="J1925" t="s">
        <v>24</v>
      </c>
    </row>
    <row r="1926" spans="1:10" x14ac:dyDescent="0.35">
      <c r="A1926" t="s">
        <v>4014</v>
      </c>
      <c r="B1926" t="s">
        <v>4006</v>
      </c>
      <c r="C1926" t="str">
        <f>TEXT(Table1[[#This Row],[Order_Date]],"mmm")</f>
        <v>Dec</v>
      </c>
      <c r="D1926" t="s">
        <v>1656</v>
      </c>
      <c r="E1926" t="s">
        <v>47</v>
      </c>
      <c r="F1926">
        <v>5</v>
      </c>
      <c r="G1926">
        <v>12247.89</v>
      </c>
      <c r="H1926">
        <v>61239.45</v>
      </c>
      <c r="I1926" t="s">
        <v>13</v>
      </c>
      <c r="J1926" t="s">
        <v>19</v>
      </c>
    </row>
    <row r="1927" spans="1:10" x14ac:dyDescent="0.35">
      <c r="A1927" t="s">
        <v>4015</v>
      </c>
      <c r="B1927" t="s">
        <v>4016</v>
      </c>
      <c r="C1927" t="str">
        <f>TEXT(Table1[[#This Row],[Order_Date]],"mmm")</f>
        <v>Dec</v>
      </c>
      <c r="D1927" t="s">
        <v>4017</v>
      </c>
      <c r="E1927" t="s">
        <v>12</v>
      </c>
      <c r="F1927">
        <v>2</v>
      </c>
      <c r="G1927">
        <v>38781.269999999997</v>
      </c>
      <c r="H1927">
        <v>77562.539999999994</v>
      </c>
      <c r="I1927" t="s">
        <v>23</v>
      </c>
      <c r="J1927" t="s">
        <v>14</v>
      </c>
    </row>
    <row r="1928" spans="1:10" x14ac:dyDescent="0.35">
      <c r="A1928" t="s">
        <v>4018</v>
      </c>
      <c r="B1928" t="s">
        <v>4016</v>
      </c>
      <c r="C1928" t="str">
        <f>TEXT(Table1[[#This Row],[Order_Date]],"mmm")</f>
        <v>Dec</v>
      </c>
      <c r="D1928" t="s">
        <v>4019</v>
      </c>
      <c r="E1928" t="s">
        <v>32</v>
      </c>
      <c r="F1928">
        <v>4</v>
      </c>
      <c r="G1928">
        <v>8666.7900000000009</v>
      </c>
      <c r="H1928">
        <v>34667.160000000003</v>
      </c>
      <c r="I1928" t="s">
        <v>13</v>
      </c>
      <c r="J1928" t="s">
        <v>14</v>
      </c>
    </row>
    <row r="1929" spans="1:10" x14ac:dyDescent="0.35">
      <c r="A1929" t="s">
        <v>4020</v>
      </c>
      <c r="B1929" t="s">
        <v>4016</v>
      </c>
      <c r="C1929" t="str">
        <f>TEXT(Table1[[#This Row],[Order_Date]],"mmm")</f>
        <v>Dec</v>
      </c>
      <c r="D1929" t="s">
        <v>4021</v>
      </c>
      <c r="E1929" t="s">
        <v>38</v>
      </c>
      <c r="F1929">
        <v>4</v>
      </c>
      <c r="G1929">
        <v>10556.33</v>
      </c>
      <c r="H1929">
        <v>42225.32</v>
      </c>
      <c r="I1929" t="s">
        <v>18</v>
      </c>
      <c r="J1929" t="s">
        <v>24</v>
      </c>
    </row>
    <row r="1930" spans="1:10" x14ac:dyDescent="0.35">
      <c r="A1930" t="s">
        <v>4022</v>
      </c>
      <c r="B1930" t="s">
        <v>4016</v>
      </c>
      <c r="C1930" t="str">
        <f>TEXT(Table1[[#This Row],[Order_Date]],"mmm")</f>
        <v>Dec</v>
      </c>
      <c r="D1930" t="s">
        <v>4023</v>
      </c>
      <c r="E1930" t="s">
        <v>75</v>
      </c>
      <c r="F1930">
        <v>2</v>
      </c>
      <c r="G1930">
        <v>7834.45</v>
      </c>
      <c r="H1930">
        <v>15668.9</v>
      </c>
      <c r="I1930" t="s">
        <v>18</v>
      </c>
      <c r="J1930" t="s">
        <v>35</v>
      </c>
    </row>
    <row r="1931" spans="1:10" x14ac:dyDescent="0.35">
      <c r="A1931" t="s">
        <v>4024</v>
      </c>
      <c r="B1931" t="s">
        <v>4016</v>
      </c>
      <c r="C1931" t="str">
        <f>TEXT(Table1[[#This Row],[Order_Date]],"mmm")</f>
        <v>Dec</v>
      </c>
      <c r="D1931" t="s">
        <v>4025</v>
      </c>
      <c r="E1931" t="s">
        <v>56</v>
      </c>
      <c r="F1931">
        <v>5</v>
      </c>
      <c r="G1931">
        <v>33273.68</v>
      </c>
      <c r="H1931">
        <v>166368.4</v>
      </c>
      <c r="I1931" t="s">
        <v>18</v>
      </c>
      <c r="J1931" t="s">
        <v>19</v>
      </c>
    </row>
    <row r="1932" spans="1:10" x14ac:dyDescent="0.35">
      <c r="A1932" t="s">
        <v>4026</v>
      </c>
      <c r="B1932" t="s">
        <v>4016</v>
      </c>
      <c r="C1932" t="str">
        <f>TEXT(Table1[[#This Row],[Order_Date]],"mmm")</f>
        <v>Dec</v>
      </c>
      <c r="D1932" t="s">
        <v>4027</v>
      </c>
      <c r="E1932" t="s">
        <v>17</v>
      </c>
      <c r="F1932">
        <v>4</v>
      </c>
      <c r="G1932">
        <v>12412.07</v>
      </c>
      <c r="H1932">
        <v>49648.28</v>
      </c>
      <c r="I1932" t="s">
        <v>23</v>
      </c>
      <c r="J1932" t="s">
        <v>24</v>
      </c>
    </row>
    <row r="1933" spans="1:10" x14ac:dyDescent="0.35">
      <c r="A1933" t="s">
        <v>4028</v>
      </c>
      <c r="B1933" t="s">
        <v>4016</v>
      </c>
      <c r="C1933" t="str">
        <f>TEXT(Table1[[#This Row],[Order_Date]],"mmm")</f>
        <v>Dec</v>
      </c>
      <c r="D1933" t="s">
        <v>4029</v>
      </c>
      <c r="E1933" t="s">
        <v>32</v>
      </c>
      <c r="F1933">
        <v>5</v>
      </c>
      <c r="G1933">
        <v>31849.56</v>
      </c>
      <c r="H1933">
        <v>159247.79999999999</v>
      </c>
      <c r="I1933" t="s">
        <v>13</v>
      </c>
      <c r="J1933" t="s">
        <v>19</v>
      </c>
    </row>
    <row r="1934" spans="1:10" x14ac:dyDescent="0.35">
      <c r="A1934" t="s">
        <v>4030</v>
      </c>
      <c r="B1934" t="s">
        <v>4031</v>
      </c>
      <c r="C1934" t="str">
        <f>TEXT(Table1[[#This Row],[Order_Date]],"mmm")</f>
        <v>Dec</v>
      </c>
      <c r="D1934" t="s">
        <v>4032</v>
      </c>
      <c r="E1934" t="s">
        <v>72</v>
      </c>
      <c r="F1934">
        <v>1</v>
      </c>
      <c r="G1934">
        <v>32025.24</v>
      </c>
      <c r="H1934">
        <v>32025.24</v>
      </c>
      <c r="I1934" t="s">
        <v>42</v>
      </c>
      <c r="J1934" t="s">
        <v>24</v>
      </c>
    </row>
    <row r="1935" spans="1:10" x14ac:dyDescent="0.35">
      <c r="A1935" t="s">
        <v>4033</v>
      </c>
      <c r="B1935" t="s">
        <v>4031</v>
      </c>
      <c r="C1935" t="str">
        <f>TEXT(Table1[[#This Row],[Order_Date]],"mmm")</f>
        <v>Dec</v>
      </c>
      <c r="D1935" t="s">
        <v>4034</v>
      </c>
      <c r="E1935" t="s">
        <v>12</v>
      </c>
      <c r="F1935">
        <v>2</v>
      </c>
      <c r="G1935">
        <v>17043.11</v>
      </c>
      <c r="H1935">
        <v>34086.22</v>
      </c>
      <c r="I1935" t="s">
        <v>23</v>
      </c>
      <c r="J1935" t="s">
        <v>24</v>
      </c>
    </row>
    <row r="1936" spans="1:10" x14ac:dyDescent="0.35">
      <c r="A1936" t="s">
        <v>4035</v>
      </c>
      <c r="B1936" t="s">
        <v>4031</v>
      </c>
      <c r="C1936" t="str">
        <f>TEXT(Table1[[#This Row],[Order_Date]],"mmm")</f>
        <v>Dec</v>
      </c>
      <c r="D1936" t="s">
        <v>4036</v>
      </c>
      <c r="E1936" t="s">
        <v>38</v>
      </c>
      <c r="F1936">
        <v>3</v>
      </c>
      <c r="G1936">
        <v>1679.4</v>
      </c>
      <c r="H1936">
        <v>5038.2</v>
      </c>
      <c r="I1936" t="s">
        <v>13</v>
      </c>
      <c r="J1936" t="s">
        <v>19</v>
      </c>
    </row>
    <row r="1937" spans="1:10" x14ac:dyDescent="0.35">
      <c r="A1937" t="s">
        <v>4037</v>
      </c>
      <c r="B1937" t="s">
        <v>4031</v>
      </c>
      <c r="C1937" t="str">
        <f>TEXT(Table1[[#This Row],[Order_Date]],"mmm")</f>
        <v>Dec</v>
      </c>
      <c r="D1937" t="s">
        <v>1210</v>
      </c>
      <c r="E1937" t="s">
        <v>75</v>
      </c>
      <c r="F1937">
        <v>1</v>
      </c>
      <c r="G1937">
        <v>32322.1</v>
      </c>
      <c r="H1937">
        <v>32322.1</v>
      </c>
      <c r="I1937" t="s">
        <v>13</v>
      </c>
      <c r="J1937" t="s">
        <v>24</v>
      </c>
    </row>
    <row r="1938" spans="1:10" x14ac:dyDescent="0.35">
      <c r="A1938" t="s">
        <v>4038</v>
      </c>
      <c r="B1938" t="s">
        <v>4031</v>
      </c>
      <c r="C1938" t="str">
        <f>TEXT(Table1[[#This Row],[Order_Date]],"mmm")</f>
        <v>Dec</v>
      </c>
      <c r="D1938" t="s">
        <v>4039</v>
      </c>
      <c r="E1938" t="s">
        <v>56</v>
      </c>
      <c r="F1938">
        <v>1</v>
      </c>
      <c r="G1938">
        <v>22123.8</v>
      </c>
      <c r="H1938">
        <v>22123.8</v>
      </c>
      <c r="I1938" t="s">
        <v>18</v>
      </c>
      <c r="J1938" t="s">
        <v>35</v>
      </c>
    </row>
    <row r="1939" spans="1:10" x14ac:dyDescent="0.35">
      <c r="A1939" t="s">
        <v>4040</v>
      </c>
      <c r="B1939" t="s">
        <v>4031</v>
      </c>
      <c r="C1939" t="str">
        <f>TEXT(Table1[[#This Row],[Order_Date]],"mmm")</f>
        <v>Dec</v>
      </c>
      <c r="D1939" t="s">
        <v>4041</v>
      </c>
      <c r="E1939" t="s">
        <v>38</v>
      </c>
      <c r="F1939">
        <v>5</v>
      </c>
      <c r="G1939">
        <v>26617.040000000001</v>
      </c>
      <c r="H1939">
        <v>133085.20000000001</v>
      </c>
      <c r="I1939" t="s">
        <v>13</v>
      </c>
      <c r="J1939" t="s">
        <v>24</v>
      </c>
    </row>
    <row r="1940" spans="1:10" x14ac:dyDescent="0.35">
      <c r="A1940" t="s">
        <v>4042</v>
      </c>
      <c r="B1940" t="s">
        <v>4031</v>
      </c>
      <c r="C1940" t="str">
        <f>TEXT(Table1[[#This Row],[Order_Date]],"mmm")</f>
        <v>Dec</v>
      </c>
      <c r="D1940" t="s">
        <v>4043</v>
      </c>
      <c r="E1940" t="s">
        <v>32</v>
      </c>
      <c r="F1940">
        <v>1</v>
      </c>
      <c r="G1940">
        <v>7816.95</v>
      </c>
      <c r="H1940">
        <v>7816.95</v>
      </c>
      <c r="I1940" t="s">
        <v>42</v>
      </c>
      <c r="J1940" t="s">
        <v>19</v>
      </c>
    </row>
    <row r="1941" spans="1:10" x14ac:dyDescent="0.35">
      <c r="A1941" t="s">
        <v>4044</v>
      </c>
      <c r="B1941" t="s">
        <v>4045</v>
      </c>
      <c r="C1941" t="str">
        <f>TEXT(Table1[[#This Row],[Order_Date]],"mmm")</f>
        <v>Dec</v>
      </c>
      <c r="D1941" t="s">
        <v>4046</v>
      </c>
      <c r="E1941" t="s">
        <v>38</v>
      </c>
      <c r="F1941">
        <v>3</v>
      </c>
      <c r="G1941">
        <v>23182.87</v>
      </c>
      <c r="H1941">
        <v>69548.61</v>
      </c>
      <c r="I1941" t="s">
        <v>42</v>
      </c>
      <c r="J1941" t="s">
        <v>14</v>
      </c>
    </row>
    <row r="1942" spans="1:10" x14ac:dyDescent="0.35">
      <c r="A1942" t="s">
        <v>4047</v>
      </c>
      <c r="B1942" t="s">
        <v>4045</v>
      </c>
      <c r="C1942" t="str">
        <f>TEXT(Table1[[#This Row],[Order_Date]],"mmm")</f>
        <v>Dec</v>
      </c>
      <c r="D1942" t="s">
        <v>944</v>
      </c>
      <c r="E1942" t="s">
        <v>47</v>
      </c>
      <c r="F1942">
        <v>2</v>
      </c>
      <c r="G1942">
        <v>4205.74</v>
      </c>
      <c r="H1942">
        <v>8411.48</v>
      </c>
      <c r="I1942" t="s">
        <v>13</v>
      </c>
      <c r="J1942" t="s">
        <v>35</v>
      </c>
    </row>
    <row r="1943" spans="1:10" x14ac:dyDescent="0.35">
      <c r="A1943" t="s">
        <v>4048</v>
      </c>
      <c r="B1943" t="s">
        <v>4045</v>
      </c>
      <c r="C1943" t="str">
        <f>TEXT(Table1[[#This Row],[Order_Date]],"mmm")</f>
        <v>Dec</v>
      </c>
      <c r="D1943" t="s">
        <v>4049</v>
      </c>
      <c r="E1943" t="s">
        <v>32</v>
      </c>
      <c r="F1943">
        <v>3</v>
      </c>
      <c r="G1943">
        <v>32914.01</v>
      </c>
      <c r="H1943">
        <v>98742.03</v>
      </c>
      <c r="I1943" t="s">
        <v>23</v>
      </c>
      <c r="J1943" t="s">
        <v>24</v>
      </c>
    </row>
    <row r="1944" spans="1:10" x14ac:dyDescent="0.35">
      <c r="A1944" t="s">
        <v>4050</v>
      </c>
      <c r="B1944" t="s">
        <v>4045</v>
      </c>
      <c r="C1944" t="str">
        <f>TEXT(Table1[[#This Row],[Order_Date]],"mmm")</f>
        <v>Dec</v>
      </c>
      <c r="D1944" t="s">
        <v>4051</v>
      </c>
      <c r="E1944" t="s">
        <v>75</v>
      </c>
      <c r="F1944">
        <v>1</v>
      </c>
      <c r="G1944">
        <v>2927.64</v>
      </c>
      <c r="H1944">
        <v>2927.64</v>
      </c>
      <c r="I1944" t="s">
        <v>42</v>
      </c>
      <c r="J1944" t="s">
        <v>35</v>
      </c>
    </row>
    <row r="1945" spans="1:10" x14ac:dyDescent="0.35">
      <c r="A1945" t="s">
        <v>4052</v>
      </c>
      <c r="B1945" t="s">
        <v>4045</v>
      </c>
      <c r="C1945" t="str">
        <f>TEXT(Table1[[#This Row],[Order_Date]],"mmm")</f>
        <v>Dec</v>
      </c>
      <c r="D1945" t="s">
        <v>4053</v>
      </c>
      <c r="E1945" t="s">
        <v>72</v>
      </c>
      <c r="F1945">
        <v>5</v>
      </c>
      <c r="G1945">
        <v>49691.49</v>
      </c>
      <c r="H1945">
        <v>248457.45</v>
      </c>
      <c r="I1945" t="s">
        <v>18</v>
      </c>
      <c r="J1945" t="s">
        <v>19</v>
      </c>
    </row>
    <row r="1946" spans="1:10" x14ac:dyDescent="0.35">
      <c r="A1946" t="s">
        <v>4054</v>
      </c>
      <c r="B1946" t="s">
        <v>4045</v>
      </c>
      <c r="C1946" t="str">
        <f>TEXT(Table1[[#This Row],[Order_Date]],"mmm")</f>
        <v>Dec</v>
      </c>
      <c r="D1946" t="s">
        <v>4055</v>
      </c>
      <c r="E1946" t="s">
        <v>53</v>
      </c>
      <c r="F1946">
        <v>5</v>
      </c>
      <c r="G1946">
        <v>23814.38</v>
      </c>
      <c r="H1946">
        <v>119071.9</v>
      </c>
      <c r="I1946" t="s">
        <v>42</v>
      </c>
      <c r="J1946" t="s">
        <v>19</v>
      </c>
    </row>
    <row r="1947" spans="1:10" x14ac:dyDescent="0.35">
      <c r="A1947" t="s">
        <v>4056</v>
      </c>
      <c r="B1947" t="s">
        <v>4045</v>
      </c>
      <c r="C1947" t="str">
        <f>TEXT(Table1[[#This Row],[Order_Date]],"mmm")</f>
        <v>Dec</v>
      </c>
      <c r="D1947" t="s">
        <v>4057</v>
      </c>
      <c r="E1947" t="s">
        <v>32</v>
      </c>
      <c r="F1947">
        <v>5</v>
      </c>
      <c r="G1947">
        <v>44958.1</v>
      </c>
      <c r="H1947">
        <v>224790.5</v>
      </c>
      <c r="I1947" t="s">
        <v>23</v>
      </c>
      <c r="J1947" t="s">
        <v>19</v>
      </c>
    </row>
    <row r="1948" spans="1:10" x14ac:dyDescent="0.35">
      <c r="A1948" t="s">
        <v>4058</v>
      </c>
      <c r="B1948" t="s">
        <v>4045</v>
      </c>
      <c r="C1948" t="str">
        <f>TEXT(Table1[[#This Row],[Order_Date]],"mmm")</f>
        <v>Dec</v>
      </c>
      <c r="D1948" t="s">
        <v>4059</v>
      </c>
      <c r="E1948" t="s">
        <v>32</v>
      </c>
      <c r="F1948">
        <v>2</v>
      </c>
      <c r="G1948">
        <v>13880.48</v>
      </c>
      <c r="H1948">
        <v>27760.959999999999</v>
      </c>
      <c r="I1948" t="s">
        <v>18</v>
      </c>
      <c r="J1948" t="s">
        <v>24</v>
      </c>
    </row>
    <row r="1949" spans="1:10" x14ac:dyDescent="0.35">
      <c r="A1949" t="s">
        <v>4060</v>
      </c>
      <c r="B1949" t="s">
        <v>4061</v>
      </c>
      <c r="C1949" t="str">
        <f>TEXT(Table1[[#This Row],[Order_Date]],"mmm")</f>
        <v>Dec</v>
      </c>
      <c r="D1949" t="s">
        <v>4062</v>
      </c>
      <c r="E1949" t="s">
        <v>17</v>
      </c>
      <c r="F1949">
        <v>2</v>
      </c>
      <c r="G1949">
        <v>49771.62</v>
      </c>
      <c r="H1949">
        <v>99543.24</v>
      </c>
      <c r="I1949" t="s">
        <v>23</v>
      </c>
      <c r="J1949" t="s">
        <v>14</v>
      </c>
    </row>
    <row r="1950" spans="1:10" x14ac:dyDescent="0.35">
      <c r="A1950" t="s">
        <v>4063</v>
      </c>
      <c r="B1950" t="s">
        <v>4061</v>
      </c>
      <c r="C1950" t="str">
        <f>TEXT(Table1[[#This Row],[Order_Date]],"mmm")</f>
        <v>Dec</v>
      </c>
      <c r="D1950" t="s">
        <v>4064</v>
      </c>
      <c r="E1950" t="s">
        <v>32</v>
      </c>
      <c r="F1950">
        <v>4</v>
      </c>
      <c r="G1950">
        <v>7123.82</v>
      </c>
      <c r="H1950">
        <v>28495.279999999999</v>
      </c>
      <c r="I1950" t="s">
        <v>18</v>
      </c>
      <c r="J1950" t="s">
        <v>24</v>
      </c>
    </row>
    <row r="1951" spans="1:10" x14ac:dyDescent="0.35">
      <c r="A1951" t="s">
        <v>4065</v>
      </c>
      <c r="B1951" t="s">
        <v>4061</v>
      </c>
      <c r="C1951" t="str">
        <f>TEXT(Table1[[#This Row],[Order_Date]],"mmm")</f>
        <v>Dec</v>
      </c>
      <c r="D1951" t="s">
        <v>4066</v>
      </c>
      <c r="E1951" t="s">
        <v>22</v>
      </c>
      <c r="F1951">
        <v>3</v>
      </c>
      <c r="G1951">
        <v>23184.73</v>
      </c>
      <c r="H1951">
        <v>69554.19</v>
      </c>
      <c r="I1951" t="s">
        <v>42</v>
      </c>
      <c r="J1951" t="s">
        <v>14</v>
      </c>
    </row>
    <row r="1952" spans="1:10" x14ac:dyDescent="0.35">
      <c r="A1952" t="s">
        <v>4067</v>
      </c>
      <c r="B1952" t="s">
        <v>4061</v>
      </c>
      <c r="C1952" t="str">
        <f>TEXT(Table1[[#This Row],[Order_Date]],"mmm")</f>
        <v>Dec</v>
      </c>
      <c r="D1952" t="s">
        <v>4068</v>
      </c>
      <c r="E1952" t="s">
        <v>32</v>
      </c>
      <c r="F1952">
        <v>5</v>
      </c>
      <c r="G1952">
        <v>21342.43</v>
      </c>
      <c r="H1952">
        <v>106712.15</v>
      </c>
      <c r="I1952" t="s">
        <v>18</v>
      </c>
      <c r="J1952" t="s">
        <v>14</v>
      </c>
    </row>
    <row r="1953" spans="1:10" x14ac:dyDescent="0.35">
      <c r="A1953" t="s">
        <v>4069</v>
      </c>
      <c r="B1953" t="s">
        <v>4070</v>
      </c>
      <c r="C1953" t="str">
        <f>TEXT(Table1[[#This Row],[Order_Date]],"mmm")</f>
        <v>Dec</v>
      </c>
      <c r="D1953" t="s">
        <v>4071</v>
      </c>
      <c r="E1953" t="s">
        <v>53</v>
      </c>
      <c r="F1953">
        <v>1</v>
      </c>
      <c r="G1953">
        <v>696.35</v>
      </c>
      <c r="H1953">
        <v>696.35</v>
      </c>
      <c r="I1953" t="s">
        <v>18</v>
      </c>
      <c r="J1953" t="s">
        <v>19</v>
      </c>
    </row>
    <row r="1954" spans="1:10" x14ac:dyDescent="0.35">
      <c r="A1954" t="s">
        <v>4072</v>
      </c>
      <c r="B1954" t="s">
        <v>4070</v>
      </c>
      <c r="C1954" t="str">
        <f>TEXT(Table1[[#This Row],[Order_Date]],"mmm")</f>
        <v>Dec</v>
      </c>
      <c r="D1954" t="s">
        <v>4073</v>
      </c>
      <c r="E1954" t="s">
        <v>17</v>
      </c>
      <c r="F1954">
        <v>4</v>
      </c>
      <c r="G1954">
        <v>21152.21</v>
      </c>
      <c r="H1954">
        <v>84608.84</v>
      </c>
      <c r="I1954" t="s">
        <v>23</v>
      </c>
      <c r="J1954" t="s">
        <v>35</v>
      </c>
    </row>
    <row r="1955" spans="1:10" x14ac:dyDescent="0.35">
      <c r="A1955" t="s">
        <v>4074</v>
      </c>
      <c r="B1955" t="s">
        <v>4070</v>
      </c>
      <c r="C1955" t="str">
        <f>TEXT(Table1[[#This Row],[Order_Date]],"mmm")</f>
        <v>Dec</v>
      </c>
      <c r="D1955" t="s">
        <v>386</v>
      </c>
      <c r="E1955" t="s">
        <v>53</v>
      </c>
      <c r="F1955">
        <v>4</v>
      </c>
      <c r="G1955">
        <v>12141.42</v>
      </c>
      <c r="H1955">
        <v>48565.68</v>
      </c>
      <c r="I1955" t="s">
        <v>42</v>
      </c>
      <c r="J1955" t="s">
        <v>19</v>
      </c>
    </row>
    <row r="1956" spans="1:10" x14ac:dyDescent="0.35">
      <c r="A1956" t="s">
        <v>4075</v>
      </c>
      <c r="B1956" t="s">
        <v>4070</v>
      </c>
      <c r="C1956" t="str">
        <f>TEXT(Table1[[#This Row],[Order_Date]],"mmm")</f>
        <v>Dec</v>
      </c>
      <c r="D1956" t="s">
        <v>4076</v>
      </c>
      <c r="E1956" t="s">
        <v>12</v>
      </c>
      <c r="F1956">
        <v>4</v>
      </c>
      <c r="G1956">
        <v>8420.4699999999993</v>
      </c>
      <c r="H1956">
        <v>33681.879999999997</v>
      </c>
      <c r="I1956" t="s">
        <v>23</v>
      </c>
      <c r="J1956" t="s">
        <v>35</v>
      </c>
    </row>
    <row r="1957" spans="1:10" x14ac:dyDescent="0.35">
      <c r="A1957" t="s">
        <v>4077</v>
      </c>
      <c r="B1957" t="s">
        <v>4078</v>
      </c>
      <c r="C1957" t="str">
        <f>TEXT(Table1[[#This Row],[Order_Date]],"mmm")</f>
        <v>Dec</v>
      </c>
      <c r="D1957" t="s">
        <v>4046</v>
      </c>
      <c r="E1957" t="s">
        <v>53</v>
      </c>
      <c r="F1957">
        <v>2</v>
      </c>
      <c r="G1957">
        <v>13883.44</v>
      </c>
      <c r="H1957">
        <v>27766.880000000001</v>
      </c>
      <c r="I1957" t="s">
        <v>18</v>
      </c>
      <c r="J1957" t="s">
        <v>14</v>
      </c>
    </row>
    <row r="1958" spans="1:10" x14ac:dyDescent="0.35">
      <c r="A1958" t="s">
        <v>4079</v>
      </c>
      <c r="B1958" t="s">
        <v>4078</v>
      </c>
      <c r="C1958" t="str">
        <f>TEXT(Table1[[#This Row],[Order_Date]],"mmm")</f>
        <v>Dec</v>
      </c>
      <c r="D1958" t="s">
        <v>4080</v>
      </c>
      <c r="E1958" t="s">
        <v>53</v>
      </c>
      <c r="F1958">
        <v>5</v>
      </c>
      <c r="G1958">
        <v>46999.42</v>
      </c>
      <c r="H1958">
        <v>234997.1</v>
      </c>
      <c r="I1958" t="s">
        <v>18</v>
      </c>
      <c r="J1958" t="s">
        <v>14</v>
      </c>
    </row>
    <row r="1959" spans="1:10" x14ac:dyDescent="0.35">
      <c r="A1959" t="s">
        <v>4081</v>
      </c>
      <c r="B1959" t="s">
        <v>4078</v>
      </c>
      <c r="C1959" t="str">
        <f>TEXT(Table1[[#This Row],[Order_Date]],"mmm")</f>
        <v>Dec</v>
      </c>
      <c r="D1959" t="s">
        <v>4082</v>
      </c>
      <c r="E1959" t="s">
        <v>47</v>
      </c>
      <c r="F1959">
        <v>5</v>
      </c>
      <c r="G1959">
        <v>11679.83</v>
      </c>
      <c r="H1959">
        <v>58399.15</v>
      </c>
      <c r="I1959" t="s">
        <v>23</v>
      </c>
      <c r="J1959" t="s">
        <v>14</v>
      </c>
    </row>
    <row r="1960" spans="1:10" x14ac:dyDescent="0.35">
      <c r="A1960" t="s">
        <v>4083</v>
      </c>
      <c r="B1960" t="s">
        <v>4078</v>
      </c>
      <c r="C1960" t="str">
        <f>TEXT(Table1[[#This Row],[Order_Date]],"mmm")</f>
        <v>Dec</v>
      </c>
      <c r="D1960" t="s">
        <v>1007</v>
      </c>
      <c r="E1960" t="s">
        <v>12</v>
      </c>
      <c r="F1960">
        <v>5</v>
      </c>
      <c r="G1960">
        <v>1391.9</v>
      </c>
      <c r="H1960">
        <v>6959.5</v>
      </c>
      <c r="I1960" t="s">
        <v>23</v>
      </c>
      <c r="J1960" t="s">
        <v>35</v>
      </c>
    </row>
    <row r="1961" spans="1:10" x14ac:dyDescent="0.35">
      <c r="A1961" t="s">
        <v>4084</v>
      </c>
      <c r="B1961" t="s">
        <v>4078</v>
      </c>
      <c r="C1961" t="str">
        <f>TEXT(Table1[[#This Row],[Order_Date]],"mmm")</f>
        <v>Dec</v>
      </c>
      <c r="D1961" t="s">
        <v>4085</v>
      </c>
      <c r="E1961" t="s">
        <v>32</v>
      </c>
      <c r="F1961">
        <v>4</v>
      </c>
      <c r="G1961">
        <v>29856.93</v>
      </c>
      <c r="H1961">
        <v>119427.72</v>
      </c>
      <c r="I1961" t="s">
        <v>23</v>
      </c>
      <c r="J1961" t="s">
        <v>19</v>
      </c>
    </row>
    <row r="1962" spans="1:10" x14ac:dyDescent="0.35">
      <c r="A1962" t="s">
        <v>4086</v>
      </c>
      <c r="B1962" t="s">
        <v>4078</v>
      </c>
      <c r="C1962" t="str">
        <f>TEXT(Table1[[#This Row],[Order_Date]],"mmm")</f>
        <v>Dec</v>
      </c>
      <c r="D1962" t="s">
        <v>4087</v>
      </c>
      <c r="E1962" t="s">
        <v>38</v>
      </c>
      <c r="F1962">
        <v>1</v>
      </c>
      <c r="G1962">
        <v>1203.95</v>
      </c>
      <c r="H1962">
        <v>1203.95</v>
      </c>
      <c r="I1962" t="s">
        <v>42</v>
      </c>
      <c r="J1962" t="s">
        <v>24</v>
      </c>
    </row>
    <row r="1963" spans="1:10" x14ac:dyDescent="0.35">
      <c r="A1963" t="s">
        <v>4088</v>
      </c>
      <c r="B1963" t="s">
        <v>4089</v>
      </c>
      <c r="C1963" t="str">
        <f>TEXT(Table1[[#This Row],[Order_Date]],"mmm")</f>
        <v>Dec</v>
      </c>
      <c r="D1963" t="s">
        <v>583</v>
      </c>
      <c r="E1963" t="s">
        <v>32</v>
      </c>
      <c r="F1963">
        <v>5</v>
      </c>
      <c r="G1963">
        <v>30741.69</v>
      </c>
      <c r="H1963">
        <v>153708.45000000001</v>
      </c>
      <c r="I1963" t="s">
        <v>23</v>
      </c>
      <c r="J1963" t="s">
        <v>19</v>
      </c>
    </row>
    <row r="1964" spans="1:10" x14ac:dyDescent="0.35">
      <c r="A1964" t="s">
        <v>4090</v>
      </c>
      <c r="B1964" t="s">
        <v>4089</v>
      </c>
      <c r="C1964" t="str">
        <f>TEXT(Table1[[#This Row],[Order_Date]],"mmm")</f>
        <v>Dec</v>
      </c>
      <c r="D1964" t="s">
        <v>4091</v>
      </c>
      <c r="E1964" t="s">
        <v>56</v>
      </c>
      <c r="F1964">
        <v>5</v>
      </c>
      <c r="G1964">
        <v>25376.54</v>
      </c>
      <c r="H1964">
        <v>126882.7</v>
      </c>
      <c r="I1964" t="s">
        <v>18</v>
      </c>
      <c r="J1964" t="s">
        <v>14</v>
      </c>
    </row>
    <row r="1965" spans="1:10" x14ac:dyDescent="0.35">
      <c r="A1965" t="s">
        <v>4092</v>
      </c>
      <c r="B1965" t="s">
        <v>4089</v>
      </c>
      <c r="C1965" t="str">
        <f>TEXT(Table1[[#This Row],[Order_Date]],"mmm")</f>
        <v>Dec</v>
      </c>
      <c r="D1965" t="s">
        <v>4093</v>
      </c>
      <c r="E1965" t="s">
        <v>32</v>
      </c>
      <c r="F1965">
        <v>2</v>
      </c>
      <c r="G1965">
        <v>27285.22</v>
      </c>
      <c r="H1965">
        <v>54570.44</v>
      </c>
      <c r="I1965" t="s">
        <v>23</v>
      </c>
      <c r="J1965" t="s">
        <v>14</v>
      </c>
    </row>
    <row r="1966" spans="1:10" x14ac:dyDescent="0.35">
      <c r="A1966" t="s">
        <v>4094</v>
      </c>
      <c r="B1966" t="s">
        <v>4089</v>
      </c>
      <c r="C1966" t="str">
        <f>TEXT(Table1[[#This Row],[Order_Date]],"mmm")</f>
        <v>Dec</v>
      </c>
      <c r="D1966" t="s">
        <v>1245</v>
      </c>
      <c r="E1966" t="s">
        <v>17</v>
      </c>
      <c r="F1966">
        <v>4</v>
      </c>
      <c r="G1966">
        <v>19016.84</v>
      </c>
      <c r="H1966">
        <v>76067.360000000001</v>
      </c>
      <c r="I1966" t="s">
        <v>18</v>
      </c>
      <c r="J1966" t="s">
        <v>14</v>
      </c>
    </row>
    <row r="1967" spans="1:10" x14ac:dyDescent="0.35">
      <c r="A1967" t="s">
        <v>4095</v>
      </c>
      <c r="B1967" t="s">
        <v>4089</v>
      </c>
      <c r="C1967" t="str">
        <f>TEXT(Table1[[#This Row],[Order_Date]],"mmm")</f>
        <v>Dec</v>
      </c>
      <c r="D1967" t="s">
        <v>4096</v>
      </c>
      <c r="E1967" t="s">
        <v>38</v>
      </c>
      <c r="F1967">
        <v>3</v>
      </c>
      <c r="G1967">
        <v>3194.57</v>
      </c>
      <c r="H1967">
        <v>9583.7099999999991</v>
      </c>
      <c r="I1967" t="s">
        <v>42</v>
      </c>
      <c r="J1967" t="s">
        <v>14</v>
      </c>
    </row>
    <row r="1968" spans="1:10" x14ac:dyDescent="0.35">
      <c r="A1968" t="s">
        <v>4097</v>
      </c>
      <c r="B1968" t="s">
        <v>4089</v>
      </c>
      <c r="C1968" t="str">
        <f>TEXT(Table1[[#This Row],[Order_Date]],"mmm")</f>
        <v>Dec</v>
      </c>
      <c r="D1968" t="s">
        <v>4098</v>
      </c>
      <c r="E1968" t="s">
        <v>56</v>
      </c>
      <c r="F1968">
        <v>5</v>
      </c>
      <c r="G1968">
        <v>13732.66</v>
      </c>
      <c r="H1968">
        <v>68663.3</v>
      </c>
      <c r="I1968" t="s">
        <v>42</v>
      </c>
      <c r="J1968" t="s">
        <v>24</v>
      </c>
    </row>
    <row r="1969" spans="1:10" x14ac:dyDescent="0.35">
      <c r="A1969" t="s">
        <v>4099</v>
      </c>
      <c r="B1969" t="s">
        <v>4100</v>
      </c>
      <c r="C1969" t="str">
        <f>TEXT(Table1[[#This Row],[Order_Date]],"mmm")</f>
        <v>Dec</v>
      </c>
      <c r="D1969" t="s">
        <v>4101</v>
      </c>
      <c r="E1969" t="s">
        <v>75</v>
      </c>
      <c r="F1969">
        <v>3</v>
      </c>
      <c r="G1969">
        <v>46444.9</v>
      </c>
      <c r="H1969">
        <v>139334.70000000001</v>
      </c>
      <c r="I1969" t="s">
        <v>42</v>
      </c>
      <c r="J1969" t="s">
        <v>19</v>
      </c>
    </row>
    <row r="1970" spans="1:10" x14ac:dyDescent="0.35">
      <c r="A1970" t="s">
        <v>4102</v>
      </c>
      <c r="B1970" t="s">
        <v>4100</v>
      </c>
      <c r="C1970" t="str">
        <f>TEXT(Table1[[#This Row],[Order_Date]],"mmm")</f>
        <v>Dec</v>
      </c>
      <c r="D1970" t="s">
        <v>4103</v>
      </c>
      <c r="E1970" t="s">
        <v>53</v>
      </c>
      <c r="F1970">
        <v>2</v>
      </c>
      <c r="G1970">
        <v>26146.87</v>
      </c>
      <c r="H1970">
        <v>52293.74</v>
      </c>
      <c r="I1970" t="s">
        <v>18</v>
      </c>
      <c r="J1970" t="s">
        <v>14</v>
      </c>
    </row>
    <row r="1971" spans="1:10" x14ac:dyDescent="0.35">
      <c r="A1971" t="s">
        <v>4104</v>
      </c>
      <c r="B1971" t="s">
        <v>4100</v>
      </c>
      <c r="C1971" t="str">
        <f>TEXT(Table1[[#This Row],[Order_Date]],"mmm")</f>
        <v>Dec</v>
      </c>
      <c r="D1971" t="s">
        <v>1732</v>
      </c>
      <c r="E1971" t="s">
        <v>38</v>
      </c>
      <c r="F1971">
        <v>4</v>
      </c>
      <c r="G1971">
        <v>29347.25</v>
      </c>
      <c r="H1971">
        <v>117389</v>
      </c>
      <c r="I1971" t="s">
        <v>42</v>
      </c>
      <c r="J1971" t="s">
        <v>19</v>
      </c>
    </row>
    <row r="1972" spans="1:10" x14ac:dyDescent="0.35">
      <c r="A1972" t="s">
        <v>4105</v>
      </c>
      <c r="B1972" t="s">
        <v>4106</v>
      </c>
      <c r="C1972" t="str">
        <f>TEXT(Table1[[#This Row],[Order_Date]],"mmm")</f>
        <v>Dec</v>
      </c>
      <c r="D1972" t="s">
        <v>4107</v>
      </c>
      <c r="E1972" t="s">
        <v>75</v>
      </c>
      <c r="F1972">
        <v>3</v>
      </c>
      <c r="G1972">
        <v>36410.36</v>
      </c>
      <c r="H1972">
        <v>109231.08</v>
      </c>
      <c r="I1972" t="s">
        <v>42</v>
      </c>
      <c r="J1972" t="s">
        <v>19</v>
      </c>
    </row>
    <row r="1973" spans="1:10" x14ac:dyDescent="0.35">
      <c r="A1973" t="s">
        <v>4108</v>
      </c>
      <c r="B1973" t="s">
        <v>4106</v>
      </c>
      <c r="C1973" t="str">
        <f>TEXT(Table1[[#This Row],[Order_Date]],"mmm")</f>
        <v>Dec</v>
      </c>
      <c r="D1973" t="s">
        <v>4109</v>
      </c>
      <c r="E1973" t="s">
        <v>53</v>
      </c>
      <c r="F1973">
        <v>5</v>
      </c>
      <c r="G1973">
        <v>30385.13</v>
      </c>
      <c r="H1973">
        <v>151925.65</v>
      </c>
      <c r="I1973" t="s">
        <v>23</v>
      </c>
      <c r="J1973" t="s">
        <v>19</v>
      </c>
    </row>
    <row r="1974" spans="1:10" x14ac:dyDescent="0.35">
      <c r="A1974" t="s">
        <v>4110</v>
      </c>
      <c r="B1974" t="s">
        <v>4106</v>
      </c>
      <c r="C1974" t="str">
        <f>TEXT(Table1[[#This Row],[Order_Date]],"mmm")</f>
        <v>Dec</v>
      </c>
      <c r="D1974" t="s">
        <v>4111</v>
      </c>
      <c r="E1974" t="s">
        <v>17</v>
      </c>
      <c r="F1974">
        <v>1</v>
      </c>
      <c r="G1974">
        <v>10283.01</v>
      </c>
      <c r="H1974">
        <v>10283.01</v>
      </c>
      <c r="I1974" t="s">
        <v>13</v>
      </c>
      <c r="J1974" t="s">
        <v>14</v>
      </c>
    </row>
    <row r="1975" spans="1:10" x14ac:dyDescent="0.35">
      <c r="A1975" t="s">
        <v>4112</v>
      </c>
      <c r="B1975" t="s">
        <v>4106</v>
      </c>
      <c r="C1975" t="str">
        <f>TEXT(Table1[[#This Row],[Order_Date]],"mmm")</f>
        <v>Dec</v>
      </c>
      <c r="D1975" t="s">
        <v>864</v>
      </c>
      <c r="E1975" t="s">
        <v>53</v>
      </c>
      <c r="F1975">
        <v>4</v>
      </c>
      <c r="G1975">
        <v>26202.94</v>
      </c>
      <c r="H1975">
        <v>104811.76</v>
      </c>
      <c r="I1975" t="s">
        <v>23</v>
      </c>
      <c r="J1975" t="s">
        <v>14</v>
      </c>
    </row>
    <row r="1976" spans="1:10" x14ac:dyDescent="0.35">
      <c r="A1976" t="s">
        <v>4113</v>
      </c>
      <c r="B1976" t="s">
        <v>4106</v>
      </c>
      <c r="C1976" t="str">
        <f>TEXT(Table1[[#This Row],[Order_Date]],"mmm")</f>
        <v>Dec</v>
      </c>
      <c r="D1976" t="s">
        <v>4114</v>
      </c>
      <c r="E1976" t="s">
        <v>53</v>
      </c>
      <c r="F1976">
        <v>1</v>
      </c>
      <c r="G1976">
        <v>7384.8</v>
      </c>
      <c r="H1976">
        <v>7384.8</v>
      </c>
      <c r="I1976" t="s">
        <v>18</v>
      </c>
      <c r="J1976" t="s">
        <v>24</v>
      </c>
    </row>
    <row r="1977" spans="1:10" x14ac:dyDescent="0.35">
      <c r="A1977" t="s">
        <v>4115</v>
      </c>
      <c r="B1977" t="s">
        <v>4106</v>
      </c>
      <c r="C1977" t="str">
        <f>TEXT(Table1[[#This Row],[Order_Date]],"mmm")</f>
        <v>Dec</v>
      </c>
      <c r="D1977" t="s">
        <v>4116</v>
      </c>
      <c r="E1977" t="s">
        <v>12</v>
      </c>
      <c r="F1977">
        <v>4</v>
      </c>
      <c r="G1977">
        <v>9621.75</v>
      </c>
      <c r="H1977">
        <v>38487</v>
      </c>
      <c r="I1977" t="s">
        <v>23</v>
      </c>
      <c r="J1977" t="s">
        <v>14</v>
      </c>
    </row>
    <row r="1978" spans="1:10" x14ac:dyDescent="0.35">
      <c r="A1978" t="s">
        <v>4117</v>
      </c>
      <c r="B1978" t="s">
        <v>4106</v>
      </c>
      <c r="C1978" t="str">
        <f>TEXT(Table1[[#This Row],[Order_Date]],"mmm")</f>
        <v>Dec</v>
      </c>
      <c r="D1978" t="s">
        <v>4118</v>
      </c>
      <c r="E1978" t="s">
        <v>17</v>
      </c>
      <c r="F1978">
        <v>3</v>
      </c>
      <c r="G1978">
        <v>13468.92</v>
      </c>
      <c r="H1978">
        <v>40406.76</v>
      </c>
      <c r="I1978" t="s">
        <v>13</v>
      </c>
      <c r="J1978" t="s">
        <v>24</v>
      </c>
    </row>
    <row r="1979" spans="1:10" x14ac:dyDescent="0.35">
      <c r="A1979" t="s">
        <v>4119</v>
      </c>
      <c r="B1979" t="s">
        <v>4106</v>
      </c>
      <c r="C1979" t="str">
        <f>TEXT(Table1[[#This Row],[Order_Date]],"mmm")</f>
        <v>Dec</v>
      </c>
      <c r="D1979" t="s">
        <v>4120</v>
      </c>
      <c r="E1979" t="s">
        <v>22</v>
      </c>
      <c r="F1979">
        <v>4</v>
      </c>
      <c r="G1979">
        <v>15555.72</v>
      </c>
      <c r="H1979">
        <v>62222.879999999997</v>
      </c>
      <c r="I1979" t="s">
        <v>42</v>
      </c>
      <c r="J1979" t="s">
        <v>14</v>
      </c>
    </row>
    <row r="1980" spans="1:10" x14ac:dyDescent="0.35">
      <c r="A1980" t="s">
        <v>4121</v>
      </c>
      <c r="B1980" t="s">
        <v>4122</v>
      </c>
      <c r="C1980" t="str">
        <f>TEXT(Table1[[#This Row],[Order_Date]],"mmm")</f>
        <v>Dec</v>
      </c>
      <c r="D1980" t="s">
        <v>2433</v>
      </c>
      <c r="E1980" t="s">
        <v>72</v>
      </c>
      <c r="F1980">
        <v>5</v>
      </c>
      <c r="G1980">
        <v>27519.8</v>
      </c>
      <c r="H1980">
        <v>137599</v>
      </c>
      <c r="I1980" t="s">
        <v>23</v>
      </c>
      <c r="J1980" t="s">
        <v>35</v>
      </c>
    </row>
    <row r="1981" spans="1:10" x14ac:dyDescent="0.35">
      <c r="A1981" t="s">
        <v>4123</v>
      </c>
      <c r="B1981" t="s">
        <v>4122</v>
      </c>
      <c r="C1981" t="str">
        <f>TEXT(Table1[[#This Row],[Order_Date]],"mmm")</f>
        <v>Dec</v>
      </c>
      <c r="D1981" t="s">
        <v>4124</v>
      </c>
      <c r="E1981" t="s">
        <v>75</v>
      </c>
      <c r="F1981">
        <v>4</v>
      </c>
      <c r="G1981">
        <v>13228.2</v>
      </c>
      <c r="H1981">
        <v>52912.800000000003</v>
      </c>
      <c r="I1981" t="s">
        <v>42</v>
      </c>
      <c r="J1981" t="s">
        <v>24</v>
      </c>
    </row>
    <row r="1982" spans="1:10" x14ac:dyDescent="0.35">
      <c r="A1982" t="s">
        <v>4125</v>
      </c>
      <c r="B1982" t="s">
        <v>4122</v>
      </c>
      <c r="C1982" t="str">
        <f>TEXT(Table1[[#This Row],[Order_Date]],"mmm")</f>
        <v>Dec</v>
      </c>
      <c r="D1982" t="s">
        <v>4126</v>
      </c>
      <c r="E1982" t="s">
        <v>32</v>
      </c>
      <c r="F1982">
        <v>5</v>
      </c>
      <c r="G1982">
        <v>14090.85</v>
      </c>
      <c r="H1982">
        <v>70454.25</v>
      </c>
      <c r="I1982" t="s">
        <v>18</v>
      </c>
      <c r="J1982" t="s">
        <v>14</v>
      </c>
    </row>
    <row r="1983" spans="1:10" x14ac:dyDescent="0.35">
      <c r="A1983" t="s">
        <v>4127</v>
      </c>
      <c r="B1983" t="s">
        <v>4122</v>
      </c>
      <c r="C1983" t="str">
        <f>TEXT(Table1[[#This Row],[Order_Date]],"mmm")</f>
        <v>Dec</v>
      </c>
      <c r="D1983" t="s">
        <v>4128</v>
      </c>
      <c r="E1983" t="s">
        <v>47</v>
      </c>
      <c r="F1983">
        <v>2</v>
      </c>
      <c r="G1983">
        <v>8508.6</v>
      </c>
      <c r="H1983">
        <v>17017.2</v>
      </c>
      <c r="I1983" t="s">
        <v>23</v>
      </c>
      <c r="J1983" t="s">
        <v>14</v>
      </c>
    </row>
    <row r="1984" spans="1:10" x14ac:dyDescent="0.35">
      <c r="A1984" t="s">
        <v>4129</v>
      </c>
      <c r="B1984" t="s">
        <v>4122</v>
      </c>
      <c r="C1984" t="str">
        <f>TEXT(Table1[[#This Row],[Order_Date]],"mmm")</f>
        <v>Dec</v>
      </c>
      <c r="D1984" t="s">
        <v>4130</v>
      </c>
      <c r="E1984" t="s">
        <v>72</v>
      </c>
      <c r="F1984">
        <v>3</v>
      </c>
      <c r="G1984">
        <v>23247.75</v>
      </c>
      <c r="H1984">
        <v>69743.25</v>
      </c>
      <c r="I1984" t="s">
        <v>23</v>
      </c>
      <c r="J1984" t="s">
        <v>19</v>
      </c>
    </row>
    <row r="1985" spans="1:10" x14ac:dyDescent="0.35">
      <c r="A1985" t="s">
        <v>4131</v>
      </c>
      <c r="B1985" t="s">
        <v>4122</v>
      </c>
      <c r="C1985" t="str">
        <f>TEXT(Table1[[#This Row],[Order_Date]],"mmm")</f>
        <v>Dec</v>
      </c>
      <c r="D1985" t="s">
        <v>735</v>
      </c>
      <c r="E1985" t="s">
        <v>75</v>
      </c>
      <c r="F1985">
        <v>5</v>
      </c>
      <c r="G1985">
        <v>28537.88</v>
      </c>
      <c r="H1985">
        <v>142689.4</v>
      </c>
      <c r="I1985" t="s">
        <v>42</v>
      </c>
      <c r="J1985" t="s">
        <v>19</v>
      </c>
    </row>
    <row r="1986" spans="1:10" x14ac:dyDescent="0.35">
      <c r="A1986" t="s">
        <v>4132</v>
      </c>
      <c r="B1986" t="s">
        <v>4133</v>
      </c>
      <c r="C1986" t="str">
        <f>TEXT(Table1[[#This Row],[Order_Date]],"mmm")</f>
        <v>Dec</v>
      </c>
      <c r="D1986" t="s">
        <v>4134</v>
      </c>
      <c r="E1986" t="s">
        <v>38</v>
      </c>
      <c r="F1986">
        <v>1</v>
      </c>
      <c r="G1986">
        <v>8316.2099999999991</v>
      </c>
      <c r="H1986">
        <v>8316.2099999999991</v>
      </c>
      <c r="I1986" t="s">
        <v>18</v>
      </c>
      <c r="J1986" t="s">
        <v>24</v>
      </c>
    </row>
    <row r="1987" spans="1:10" x14ac:dyDescent="0.35">
      <c r="A1987" t="s">
        <v>4135</v>
      </c>
      <c r="B1987" t="s">
        <v>4133</v>
      </c>
      <c r="C1987" t="str">
        <f>TEXT(Table1[[#This Row],[Order_Date]],"mmm")</f>
        <v>Dec</v>
      </c>
      <c r="D1987" t="s">
        <v>4136</v>
      </c>
      <c r="E1987" t="s">
        <v>72</v>
      </c>
      <c r="F1987">
        <v>1</v>
      </c>
      <c r="G1987">
        <v>40477.35</v>
      </c>
      <c r="H1987">
        <v>40477.35</v>
      </c>
      <c r="I1987" t="s">
        <v>18</v>
      </c>
      <c r="J1987" t="s">
        <v>14</v>
      </c>
    </row>
    <row r="1988" spans="1:10" x14ac:dyDescent="0.35">
      <c r="A1988" t="s">
        <v>4137</v>
      </c>
      <c r="B1988" t="s">
        <v>4133</v>
      </c>
      <c r="C1988" t="str">
        <f>TEXT(Table1[[#This Row],[Order_Date]],"mmm")</f>
        <v>Dec</v>
      </c>
      <c r="D1988" t="s">
        <v>1671</v>
      </c>
      <c r="E1988" t="s">
        <v>56</v>
      </c>
      <c r="F1988">
        <v>1</v>
      </c>
      <c r="G1988">
        <v>2793.27</v>
      </c>
      <c r="H1988">
        <v>2793.27</v>
      </c>
      <c r="I1988" t="s">
        <v>18</v>
      </c>
      <c r="J1988" t="s">
        <v>24</v>
      </c>
    </row>
    <row r="1989" spans="1:10" x14ac:dyDescent="0.35">
      <c r="A1989" t="s">
        <v>4138</v>
      </c>
      <c r="B1989" t="s">
        <v>4133</v>
      </c>
      <c r="C1989" t="str">
        <f>TEXT(Table1[[#This Row],[Order_Date]],"mmm")</f>
        <v>Dec</v>
      </c>
      <c r="D1989" t="s">
        <v>4139</v>
      </c>
      <c r="E1989" t="s">
        <v>47</v>
      </c>
      <c r="F1989">
        <v>3</v>
      </c>
      <c r="G1989">
        <v>48453.94</v>
      </c>
      <c r="H1989">
        <v>145361.82</v>
      </c>
      <c r="I1989" t="s">
        <v>18</v>
      </c>
      <c r="J1989" t="s">
        <v>24</v>
      </c>
    </row>
    <row r="1990" spans="1:10" x14ac:dyDescent="0.35">
      <c r="A1990" t="s">
        <v>4140</v>
      </c>
      <c r="B1990" t="s">
        <v>4133</v>
      </c>
      <c r="C1990" t="str">
        <f>TEXT(Table1[[#This Row],[Order_Date]],"mmm")</f>
        <v>Dec</v>
      </c>
      <c r="D1990" t="s">
        <v>1086</v>
      </c>
      <c r="E1990" t="s">
        <v>38</v>
      </c>
      <c r="F1990">
        <v>4</v>
      </c>
      <c r="G1990">
        <v>17324.72</v>
      </c>
      <c r="H1990">
        <v>69298.880000000005</v>
      </c>
      <c r="I1990" t="s">
        <v>23</v>
      </c>
      <c r="J1990" t="s">
        <v>19</v>
      </c>
    </row>
    <row r="1991" spans="1:10" x14ac:dyDescent="0.35">
      <c r="A1991" t="s">
        <v>4141</v>
      </c>
      <c r="B1991" t="s">
        <v>4142</v>
      </c>
      <c r="C1991" t="str">
        <f>TEXT(Table1[[#This Row],[Order_Date]],"mmm")</f>
        <v>Dec</v>
      </c>
      <c r="D1991" t="s">
        <v>4143</v>
      </c>
      <c r="E1991" t="s">
        <v>17</v>
      </c>
      <c r="F1991">
        <v>5</v>
      </c>
      <c r="G1991">
        <v>46386.33</v>
      </c>
      <c r="H1991">
        <v>231931.65</v>
      </c>
      <c r="I1991" t="s">
        <v>42</v>
      </c>
      <c r="J1991" t="s">
        <v>24</v>
      </c>
    </row>
    <row r="1992" spans="1:10" x14ac:dyDescent="0.35">
      <c r="A1992" t="s">
        <v>4144</v>
      </c>
      <c r="B1992" t="s">
        <v>4142</v>
      </c>
      <c r="C1992" t="str">
        <f>TEXT(Table1[[#This Row],[Order_Date]],"mmm")</f>
        <v>Dec</v>
      </c>
      <c r="D1992" t="s">
        <v>4145</v>
      </c>
      <c r="E1992" t="s">
        <v>47</v>
      </c>
      <c r="F1992">
        <v>3</v>
      </c>
      <c r="G1992">
        <v>49374.92</v>
      </c>
      <c r="H1992">
        <v>148124.76</v>
      </c>
      <c r="I1992" t="s">
        <v>18</v>
      </c>
      <c r="J1992" t="s">
        <v>19</v>
      </c>
    </row>
    <row r="1993" spans="1:10" x14ac:dyDescent="0.35">
      <c r="A1993" t="s">
        <v>4146</v>
      </c>
      <c r="B1993" t="s">
        <v>4142</v>
      </c>
      <c r="C1993" t="str">
        <f>TEXT(Table1[[#This Row],[Order_Date]],"mmm")</f>
        <v>Dec</v>
      </c>
      <c r="D1993" t="s">
        <v>1855</v>
      </c>
      <c r="E1993" t="s">
        <v>53</v>
      </c>
      <c r="F1993">
        <v>4</v>
      </c>
      <c r="G1993">
        <v>909.34</v>
      </c>
      <c r="H1993">
        <v>3637.36</v>
      </c>
      <c r="I1993" t="s">
        <v>42</v>
      </c>
      <c r="J1993" t="s">
        <v>24</v>
      </c>
    </row>
    <row r="1994" spans="1:10" x14ac:dyDescent="0.35">
      <c r="A1994" t="s">
        <v>4147</v>
      </c>
      <c r="B1994" t="s">
        <v>4142</v>
      </c>
      <c r="C1994" t="str">
        <f>TEXT(Table1[[#This Row],[Order_Date]],"mmm")</f>
        <v>Dec</v>
      </c>
      <c r="D1994" t="s">
        <v>4148</v>
      </c>
      <c r="E1994" t="s">
        <v>17</v>
      </c>
      <c r="F1994">
        <v>3</v>
      </c>
      <c r="G1994">
        <v>20055.939999999999</v>
      </c>
      <c r="H1994">
        <v>60167.82</v>
      </c>
      <c r="I1994" t="s">
        <v>23</v>
      </c>
      <c r="J1994" t="s">
        <v>14</v>
      </c>
    </row>
    <row r="1995" spans="1:10" x14ac:dyDescent="0.35">
      <c r="A1995" t="s">
        <v>4149</v>
      </c>
      <c r="B1995" t="s">
        <v>4142</v>
      </c>
      <c r="C1995" t="str">
        <f>TEXT(Table1[[#This Row],[Order_Date]],"mmm")</f>
        <v>Dec</v>
      </c>
      <c r="D1995" t="s">
        <v>4150</v>
      </c>
      <c r="E1995" t="s">
        <v>22</v>
      </c>
      <c r="F1995">
        <v>1</v>
      </c>
      <c r="G1995">
        <v>36471.57</v>
      </c>
      <c r="H1995">
        <v>36471.57</v>
      </c>
      <c r="I1995" t="s">
        <v>42</v>
      </c>
      <c r="J1995" t="s">
        <v>19</v>
      </c>
    </row>
    <row r="1996" spans="1:10" x14ac:dyDescent="0.35">
      <c r="A1996" t="s">
        <v>4151</v>
      </c>
      <c r="B1996" t="s">
        <v>4152</v>
      </c>
      <c r="C1996" t="str">
        <f>TEXT(Table1[[#This Row],[Order_Date]],"mmm")</f>
        <v>Dec</v>
      </c>
      <c r="D1996" t="s">
        <v>4153</v>
      </c>
      <c r="E1996" t="s">
        <v>17</v>
      </c>
      <c r="F1996">
        <v>3</v>
      </c>
      <c r="G1996">
        <v>9802.36</v>
      </c>
      <c r="H1996">
        <v>29407.08</v>
      </c>
      <c r="I1996" t="s">
        <v>18</v>
      </c>
      <c r="J1996" t="s">
        <v>24</v>
      </c>
    </row>
    <row r="1997" spans="1:10" x14ac:dyDescent="0.35">
      <c r="A1997" t="s">
        <v>4154</v>
      </c>
      <c r="B1997" t="s">
        <v>4152</v>
      </c>
      <c r="C1997" t="str">
        <f>TEXT(Table1[[#This Row],[Order_Date]],"mmm")</f>
        <v>Dec</v>
      </c>
      <c r="D1997" t="s">
        <v>4155</v>
      </c>
      <c r="E1997" t="s">
        <v>56</v>
      </c>
      <c r="F1997">
        <v>3</v>
      </c>
      <c r="G1997">
        <v>42814.14</v>
      </c>
      <c r="H1997">
        <v>128442.42</v>
      </c>
      <c r="I1997" t="s">
        <v>42</v>
      </c>
      <c r="J1997" t="s">
        <v>24</v>
      </c>
    </row>
    <row r="1998" spans="1:10" x14ac:dyDescent="0.35">
      <c r="A1998" t="s">
        <v>4156</v>
      </c>
      <c r="B1998" t="s">
        <v>4152</v>
      </c>
      <c r="C1998" t="str">
        <f>TEXT(Table1[[#This Row],[Order_Date]],"mmm")</f>
        <v>Dec</v>
      </c>
      <c r="D1998" t="s">
        <v>686</v>
      </c>
      <c r="E1998" t="s">
        <v>17</v>
      </c>
      <c r="F1998">
        <v>4</v>
      </c>
      <c r="G1998">
        <v>49006.239999999998</v>
      </c>
      <c r="H1998">
        <v>196024.95999999999</v>
      </c>
      <c r="I1998" t="s">
        <v>23</v>
      </c>
      <c r="J1998" t="s">
        <v>35</v>
      </c>
    </row>
    <row r="1999" spans="1:10" x14ac:dyDescent="0.35">
      <c r="A1999" t="s">
        <v>4157</v>
      </c>
      <c r="B1999" t="s">
        <v>4158</v>
      </c>
      <c r="C1999" t="str">
        <f>TEXT(Table1[[#This Row],[Order_Date]],"mmm")</f>
        <v>Dec</v>
      </c>
      <c r="D1999" t="s">
        <v>4159</v>
      </c>
      <c r="E1999" t="s">
        <v>32</v>
      </c>
      <c r="F1999">
        <v>1</v>
      </c>
      <c r="G1999">
        <v>46328.05</v>
      </c>
      <c r="H1999">
        <v>46328.05</v>
      </c>
      <c r="I1999" t="s">
        <v>23</v>
      </c>
      <c r="J1999" t="s">
        <v>35</v>
      </c>
    </row>
    <row r="2000" spans="1:10" x14ac:dyDescent="0.35">
      <c r="A2000" t="s">
        <v>4160</v>
      </c>
      <c r="B2000" t="s">
        <v>4158</v>
      </c>
      <c r="C2000" t="str">
        <f>TEXT(Table1[[#This Row],[Order_Date]],"mmm")</f>
        <v>Dec</v>
      </c>
      <c r="D2000" t="s">
        <v>4161</v>
      </c>
      <c r="E2000" t="s">
        <v>56</v>
      </c>
      <c r="F2000">
        <v>3</v>
      </c>
      <c r="G2000">
        <v>16284.5</v>
      </c>
      <c r="H2000">
        <v>48853.5</v>
      </c>
      <c r="I2000" t="s">
        <v>23</v>
      </c>
      <c r="J2000" t="s">
        <v>35</v>
      </c>
    </row>
    <row r="2001" spans="1:10" x14ac:dyDescent="0.35">
      <c r="A2001" t="s">
        <v>4162</v>
      </c>
      <c r="B2001" t="s">
        <v>4158</v>
      </c>
      <c r="C2001" t="str">
        <f>TEXT(Table1[[#This Row],[Order_Date]],"mmm")</f>
        <v>Dec</v>
      </c>
      <c r="D2001" t="s">
        <v>2377</v>
      </c>
      <c r="E2001" t="s">
        <v>53</v>
      </c>
      <c r="F2001">
        <v>5</v>
      </c>
      <c r="G2001">
        <v>4321.88</v>
      </c>
      <c r="H2001">
        <v>21609.4</v>
      </c>
      <c r="I2001" t="s">
        <v>13</v>
      </c>
      <c r="J2001" t="s">
        <v>19</v>
      </c>
    </row>
    <row r="2002" spans="1:10" x14ac:dyDescent="0.35">
      <c r="A2002" t="s">
        <v>4163</v>
      </c>
      <c r="B2002" t="s">
        <v>4158</v>
      </c>
      <c r="C2002" t="str">
        <f>TEXT(Table1[[#This Row],[Order_Date]],"mmm")</f>
        <v>Dec</v>
      </c>
      <c r="D2002" t="s">
        <v>4164</v>
      </c>
      <c r="E2002" t="s">
        <v>32</v>
      </c>
      <c r="F2002">
        <v>1</v>
      </c>
      <c r="G2002">
        <v>14803.92</v>
      </c>
      <c r="H2002">
        <v>14803.92</v>
      </c>
      <c r="I2002" t="s">
        <v>13</v>
      </c>
      <c r="J2002" t="s">
        <v>14</v>
      </c>
    </row>
    <row r="2003" spans="1:10" x14ac:dyDescent="0.35">
      <c r="A2003" t="s">
        <v>4165</v>
      </c>
      <c r="B2003" t="s">
        <v>4158</v>
      </c>
      <c r="C2003" t="str">
        <f>TEXT(Table1[[#This Row],[Order_Date]],"mmm")</f>
        <v>Dec</v>
      </c>
      <c r="D2003" t="s">
        <v>4166</v>
      </c>
      <c r="E2003" t="s">
        <v>72</v>
      </c>
      <c r="F2003">
        <v>4</v>
      </c>
      <c r="G2003">
        <v>6324.69</v>
      </c>
      <c r="H2003">
        <v>25298.76</v>
      </c>
      <c r="I2003" t="s">
        <v>18</v>
      </c>
      <c r="J2003" t="s">
        <v>24</v>
      </c>
    </row>
    <row r="2004" spans="1:10" x14ac:dyDescent="0.35">
      <c r="A2004" t="s">
        <v>4167</v>
      </c>
      <c r="B2004" t="s">
        <v>4158</v>
      </c>
      <c r="C2004" t="str">
        <f>TEXT(Table1[[#This Row],[Order_Date]],"mmm")</f>
        <v>Dec</v>
      </c>
      <c r="D2004" t="s">
        <v>4168</v>
      </c>
      <c r="E2004" t="s">
        <v>32</v>
      </c>
      <c r="F2004">
        <v>3</v>
      </c>
      <c r="G2004">
        <v>25796.67</v>
      </c>
      <c r="H2004">
        <v>77390.009999999995</v>
      </c>
      <c r="I2004" t="s">
        <v>13</v>
      </c>
      <c r="J2004" t="s">
        <v>19</v>
      </c>
    </row>
    <row r="2005" spans="1:10" x14ac:dyDescent="0.35">
      <c r="A2005" t="s">
        <v>4169</v>
      </c>
      <c r="B2005" t="s">
        <v>4158</v>
      </c>
      <c r="C2005" t="str">
        <f>TEXT(Table1[[#This Row],[Order_Date]],"mmm")</f>
        <v>Dec</v>
      </c>
      <c r="D2005" t="s">
        <v>1923</v>
      </c>
      <c r="E2005" t="s">
        <v>53</v>
      </c>
      <c r="F2005">
        <v>1</v>
      </c>
      <c r="G2005">
        <v>33770.629999999997</v>
      </c>
      <c r="H2005">
        <v>33770.629999999997</v>
      </c>
      <c r="I2005" t="s">
        <v>18</v>
      </c>
      <c r="J2005" t="s">
        <v>19</v>
      </c>
    </row>
  </sheetData>
  <pageMargins left="0.75" right="0.75" top="1" bottom="1" header="0.5" footer="0.5"/>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A019C-B5DD-4E08-B814-4BFD07FD0BAE}">
  <dimension ref="B3:D14"/>
  <sheetViews>
    <sheetView workbookViewId="0">
      <selection activeCell="N10" sqref="N10"/>
    </sheetView>
  </sheetViews>
  <sheetFormatPr defaultRowHeight="14.5" x14ac:dyDescent="0.35"/>
  <cols>
    <col min="2" max="2" width="13.1796875" bestFit="1" customWidth="1"/>
    <col min="3" max="3" width="16.08984375" bestFit="1" customWidth="1"/>
    <col min="4" max="4" width="19.7265625" bestFit="1" customWidth="1"/>
    <col min="5" max="5" width="18.6328125" bestFit="1" customWidth="1"/>
  </cols>
  <sheetData>
    <row r="3" spans="2:4" x14ac:dyDescent="0.35">
      <c r="B3" s="1" t="s">
        <v>4172</v>
      </c>
      <c r="C3" t="s">
        <v>4171</v>
      </c>
      <c r="D3" t="s">
        <v>4170</v>
      </c>
    </row>
    <row r="4" spans="2:4" x14ac:dyDescent="0.35">
      <c r="B4" s="2" t="s">
        <v>53</v>
      </c>
      <c r="C4" s="4">
        <v>96</v>
      </c>
      <c r="D4" s="4">
        <v>2348058.31</v>
      </c>
    </row>
    <row r="5" spans="2:4" x14ac:dyDescent="0.35">
      <c r="B5" s="2" t="s">
        <v>12</v>
      </c>
      <c r="C5" s="4">
        <v>120</v>
      </c>
      <c r="D5" s="4">
        <v>3335254.68</v>
      </c>
    </row>
    <row r="6" spans="2:4" x14ac:dyDescent="0.35">
      <c r="B6" s="2" t="s">
        <v>72</v>
      </c>
      <c r="C6" s="4">
        <v>126</v>
      </c>
      <c r="D6" s="4">
        <v>3146236.4399999995</v>
      </c>
    </row>
    <row r="7" spans="2:4" x14ac:dyDescent="0.35">
      <c r="B7" s="2" t="s">
        <v>75</v>
      </c>
      <c r="C7" s="4">
        <v>132</v>
      </c>
      <c r="D7" s="4">
        <v>3202164.4200000004</v>
      </c>
    </row>
    <row r="8" spans="2:4" x14ac:dyDescent="0.35">
      <c r="B8" s="2" t="s">
        <v>22</v>
      </c>
      <c r="C8" s="4">
        <v>137</v>
      </c>
      <c r="D8" s="4">
        <v>3239263.2700000005</v>
      </c>
    </row>
    <row r="9" spans="2:4" x14ac:dyDescent="0.35">
      <c r="B9" s="2" t="s">
        <v>32</v>
      </c>
      <c r="C9" s="4">
        <v>152</v>
      </c>
      <c r="D9" s="4">
        <v>3440106.32</v>
      </c>
    </row>
    <row r="10" spans="2:4" x14ac:dyDescent="0.35">
      <c r="B10" s="2" t="s">
        <v>17</v>
      </c>
      <c r="C10" s="4">
        <v>153</v>
      </c>
      <c r="D10" s="4">
        <v>3867035.1599999997</v>
      </c>
    </row>
    <row r="11" spans="2:4" x14ac:dyDescent="0.35">
      <c r="B11" s="2" t="s">
        <v>47</v>
      </c>
      <c r="C11" s="4">
        <v>159</v>
      </c>
      <c r="D11" s="4">
        <v>4792707.0199999986</v>
      </c>
    </row>
    <row r="12" spans="2:4" x14ac:dyDescent="0.35">
      <c r="B12" s="2" t="s">
        <v>56</v>
      </c>
      <c r="C12" s="4">
        <v>168</v>
      </c>
      <c r="D12" s="4">
        <v>4196158.7699999996</v>
      </c>
    </row>
    <row r="13" spans="2:4" x14ac:dyDescent="0.35">
      <c r="B13" s="2" t="s">
        <v>38</v>
      </c>
      <c r="C13" s="4">
        <v>198</v>
      </c>
      <c r="D13" s="4">
        <v>5063434.8500000006</v>
      </c>
    </row>
    <row r="14" spans="2:4" x14ac:dyDescent="0.35">
      <c r="B14" s="2" t="s">
        <v>4173</v>
      </c>
      <c r="C14" s="4">
        <v>1441</v>
      </c>
      <c r="D14" s="4">
        <v>36630419.239999995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4E142-9575-44E4-A21E-165B453A3C83}">
  <dimension ref="B3:C20"/>
  <sheetViews>
    <sheetView workbookViewId="0">
      <selection activeCell="H3" sqref="H3"/>
    </sheetView>
  </sheetViews>
  <sheetFormatPr defaultRowHeight="14.5" x14ac:dyDescent="0.35"/>
  <cols>
    <col min="2" max="2" width="24.54296875" bestFit="1" customWidth="1"/>
    <col min="3" max="3" width="11.81640625" bestFit="1" customWidth="1"/>
    <col min="4" max="4" width="10.81640625" bestFit="1" customWidth="1"/>
    <col min="5" max="6" width="11.81640625" bestFit="1" customWidth="1"/>
    <col min="7" max="7" width="10.81640625" bestFit="1" customWidth="1"/>
    <col min="8" max="8" width="11.81640625" bestFit="1" customWidth="1"/>
    <col min="9" max="9" width="6.81640625" bestFit="1" customWidth="1"/>
    <col min="10" max="17" width="7.81640625" bestFit="1" customWidth="1"/>
    <col min="18" max="18" width="4.81640625" bestFit="1" customWidth="1"/>
    <col min="19" max="22" width="7.81640625" bestFit="1" customWidth="1"/>
    <col min="23" max="24" width="6.81640625" bestFit="1" customWidth="1"/>
    <col min="25" max="28" width="7.81640625" bestFit="1" customWidth="1"/>
    <col min="29" max="29" width="6.81640625" bestFit="1" customWidth="1"/>
    <col min="30" max="30" width="7.81640625" bestFit="1" customWidth="1"/>
    <col min="31" max="31" width="6.81640625" bestFit="1" customWidth="1"/>
    <col min="32" max="40" width="7.81640625" bestFit="1" customWidth="1"/>
    <col min="41" max="41" width="6.81640625" bestFit="1" customWidth="1"/>
    <col min="42" max="53" width="7.81640625" bestFit="1" customWidth="1"/>
    <col min="54" max="54" width="6.81640625" bestFit="1" customWidth="1"/>
    <col min="55" max="71" width="7.81640625" bestFit="1" customWidth="1"/>
    <col min="72" max="73" width="6.81640625" bestFit="1" customWidth="1"/>
    <col min="74" max="74" width="7.81640625" bestFit="1" customWidth="1"/>
    <col min="75" max="76" width="6.81640625" bestFit="1" customWidth="1"/>
    <col min="77" max="77" width="7.81640625" bestFit="1" customWidth="1"/>
    <col min="78" max="78" width="4.81640625" bestFit="1" customWidth="1"/>
    <col min="79" max="81" width="7.81640625" bestFit="1" customWidth="1"/>
    <col min="82" max="82" width="4.81640625" bestFit="1" customWidth="1"/>
    <col min="83" max="86" width="7.81640625" bestFit="1" customWidth="1"/>
    <col min="87" max="87" width="6.81640625" bestFit="1" customWidth="1"/>
    <col min="88" max="90" width="7.81640625" bestFit="1" customWidth="1"/>
    <col min="91" max="91" width="6.81640625" bestFit="1" customWidth="1"/>
    <col min="92" max="99" width="7.81640625" bestFit="1" customWidth="1"/>
    <col min="100" max="101" width="6.81640625" bestFit="1" customWidth="1"/>
    <col min="102" max="107" width="7.81640625" bestFit="1" customWidth="1"/>
    <col min="108" max="108" width="6.81640625" bestFit="1" customWidth="1"/>
    <col min="109" max="110" width="7.81640625" bestFit="1" customWidth="1"/>
    <col min="111" max="112" width="6.81640625" bestFit="1" customWidth="1"/>
    <col min="113" max="113" width="7.81640625" bestFit="1" customWidth="1"/>
    <col min="114" max="114" width="6.81640625" bestFit="1" customWidth="1"/>
    <col min="115" max="140" width="7.81640625" bestFit="1" customWidth="1"/>
    <col min="141" max="141" width="6.81640625" bestFit="1" customWidth="1"/>
    <col min="142" max="151" width="7.81640625" bestFit="1" customWidth="1"/>
    <col min="152" max="152" width="4.81640625" bestFit="1" customWidth="1"/>
    <col min="153" max="153" width="7.81640625" bestFit="1" customWidth="1"/>
    <col min="154" max="154" width="6.81640625" bestFit="1" customWidth="1"/>
    <col min="155" max="157" width="7.81640625" bestFit="1" customWidth="1"/>
    <col min="158" max="158" width="6.81640625" bestFit="1" customWidth="1"/>
    <col min="159" max="160" width="7.81640625" bestFit="1" customWidth="1"/>
    <col min="161" max="177" width="8.81640625" bestFit="1" customWidth="1"/>
    <col min="178" max="178" width="7.81640625" bestFit="1" customWidth="1"/>
    <col min="179" max="179" width="8.81640625" bestFit="1" customWidth="1"/>
    <col min="180" max="180" width="7.81640625" bestFit="1" customWidth="1"/>
    <col min="181" max="184" width="8.81640625" bestFit="1" customWidth="1"/>
    <col min="185" max="186" width="7.81640625" bestFit="1" customWidth="1"/>
    <col min="187" max="195" width="8.81640625" bestFit="1" customWidth="1"/>
    <col min="196" max="196" width="7.81640625" bestFit="1" customWidth="1"/>
    <col min="197" max="197" width="8.81640625" bestFit="1" customWidth="1"/>
    <col min="198" max="198" width="7.81640625" bestFit="1" customWidth="1"/>
    <col min="199" max="205" width="8.81640625" bestFit="1" customWidth="1"/>
    <col min="206" max="206" width="7.81640625" bestFit="1" customWidth="1"/>
    <col min="207" max="212" width="8.81640625" bestFit="1" customWidth="1"/>
    <col min="213" max="213" width="7.81640625" bestFit="1" customWidth="1"/>
    <col min="214" max="215" width="8.81640625" bestFit="1" customWidth="1"/>
    <col min="216" max="216" width="7.81640625" bestFit="1" customWidth="1"/>
    <col min="217" max="223" width="8.81640625" bestFit="1" customWidth="1"/>
    <col min="224" max="224" width="5.81640625" bestFit="1" customWidth="1"/>
    <col min="225" max="229" width="8.81640625" bestFit="1" customWidth="1"/>
    <col min="230" max="230" width="5.81640625" bestFit="1" customWidth="1"/>
    <col min="231" max="232" width="8.81640625" bestFit="1" customWidth="1"/>
    <col min="233" max="235" width="7.81640625" bestFit="1" customWidth="1"/>
    <col min="236" max="236" width="8.81640625" bestFit="1" customWidth="1"/>
    <col min="237" max="237" width="7.81640625" bestFit="1" customWidth="1"/>
    <col min="238" max="246" width="8.81640625" bestFit="1" customWidth="1"/>
    <col min="247" max="248" width="7.81640625" bestFit="1" customWidth="1"/>
    <col min="249" max="262" width="8.81640625" bestFit="1" customWidth="1"/>
    <col min="263" max="263" width="7.81640625" bestFit="1" customWidth="1"/>
    <col min="264" max="265" width="8.81640625" bestFit="1" customWidth="1"/>
    <col min="266" max="267" width="7.81640625" bestFit="1" customWidth="1"/>
    <col min="268" max="280" width="8.81640625" bestFit="1" customWidth="1"/>
    <col min="281" max="281" width="7.81640625" bestFit="1" customWidth="1"/>
    <col min="282" max="282" width="8.81640625" bestFit="1" customWidth="1"/>
    <col min="283" max="283" width="7.81640625" bestFit="1" customWidth="1"/>
    <col min="284" max="285" width="8.81640625" bestFit="1" customWidth="1"/>
    <col min="286" max="286" width="7.81640625" bestFit="1" customWidth="1"/>
    <col min="287" max="292" width="8.81640625" bestFit="1" customWidth="1"/>
    <col min="293" max="293" width="7.81640625" bestFit="1" customWidth="1"/>
    <col min="294" max="294" width="8.81640625" bestFit="1" customWidth="1"/>
    <col min="295" max="295" width="7.81640625" bestFit="1" customWidth="1"/>
    <col min="296" max="309" width="8.81640625" bestFit="1" customWidth="1"/>
    <col min="310" max="310" width="7.81640625" bestFit="1" customWidth="1"/>
    <col min="311" max="313" width="8.81640625" bestFit="1" customWidth="1"/>
    <col min="314" max="314" width="7.81640625" bestFit="1" customWidth="1"/>
    <col min="315" max="322" width="8.81640625" bestFit="1" customWidth="1"/>
    <col min="323" max="323" width="7.81640625" bestFit="1" customWidth="1"/>
    <col min="324" max="327" width="8.81640625" bestFit="1" customWidth="1"/>
    <col min="328" max="328" width="7.81640625" bestFit="1" customWidth="1"/>
    <col min="329" max="340" width="8.81640625" bestFit="1" customWidth="1"/>
    <col min="341" max="341" width="7.81640625" bestFit="1" customWidth="1"/>
    <col min="342" max="347" width="8.81640625" bestFit="1" customWidth="1"/>
    <col min="348" max="348" width="5.81640625" bestFit="1" customWidth="1"/>
    <col min="349" max="350" width="7.81640625" bestFit="1" customWidth="1"/>
    <col min="351" max="360" width="8.81640625" bestFit="1" customWidth="1"/>
    <col min="361" max="361" width="7.81640625" bestFit="1" customWidth="1"/>
    <col min="362" max="362" width="8.81640625" bestFit="1" customWidth="1"/>
    <col min="363" max="363" width="5.81640625" bestFit="1" customWidth="1"/>
    <col min="364" max="367" width="8.81640625" bestFit="1" customWidth="1"/>
    <col min="368" max="368" width="7.81640625" bestFit="1" customWidth="1"/>
    <col min="369" max="369" width="8.81640625" bestFit="1" customWidth="1"/>
    <col min="370" max="370" width="7.81640625" bestFit="1" customWidth="1"/>
    <col min="371" max="371" width="8.81640625" bestFit="1" customWidth="1"/>
    <col min="372" max="372" width="7.81640625" bestFit="1" customWidth="1"/>
    <col min="373" max="376" width="8.81640625" bestFit="1" customWidth="1"/>
    <col min="377" max="377" width="7.81640625" bestFit="1" customWidth="1"/>
    <col min="378" max="380" width="8.81640625" bestFit="1" customWidth="1"/>
    <col min="381" max="381" width="7.81640625" bestFit="1" customWidth="1"/>
    <col min="382" max="387" width="8.81640625" bestFit="1" customWidth="1"/>
    <col min="388" max="389" width="7.81640625" bestFit="1" customWidth="1"/>
    <col min="390" max="397" width="8.81640625" bestFit="1" customWidth="1"/>
    <col min="398" max="398" width="7.81640625" bestFit="1" customWidth="1"/>
    <col min="399" max="408" width="8.81640625" bestFit="1" customWidth="1"/>
    <col min="409" max="409" width="7.81640625" bestFit="1" customWidth="1"/>
    <col min="410" max="413" width="8.81640625" bestFit="1" customWidth="1"/>
    <col min="414" max="414" width="7.81640625" bestFit="1" customWidth="1"/>
    <col min="415" max="419" width="8.81640625" bestFit="1" customWidth="1"/>
    <col min="420" max="420" width="7.81640625" bestFit="1" customWidth="1"/>
    <col min="421" max="424" width="8.81640625" bestFit="1" customWidth="1"/>
    <col min="425" max="425" width="7.81640625" bestFit="1" customWidth="1"/>
    <col min="426" max="437" width="8.81640625" bestFit="1" customWidth="1"/>
    <col min="438" max="438" width="7.81640625" bestFit="1" customWidth="1"/>
    <col min="439" max="441" width="8.81640625" bestFit="1" customWidth="1"/>
    <col min="442" max="442" width="7.81640625" bestFit="1" customWidth="1"/>
    <col min="443" max="444" width="8.81640625" bestFit="1" customWidth="1"/>
    <col min="445" max="445" width="7.81640625" bestFit="1" customWidth="1"/>
    <col min="446" max="462" width="8.81640625" bestFit="1" customWidth="1"/>
    <col min="463" max="463" width="7.81640625" bestFit="1" customWidth="1"/>
    <col min="464" max="478" width="8.81640625" bestFit="1" customWidth="1"/>
    <col min="479" max="479" width="7.81640625" bestFit="1" customWidth="1"/>
    <col min="480" max="483" width="8.81640625" bestFit="1" customWidth="1"/>
    <col min="484" max="484" width="7.81640625" bestFit="1" customWidth="1"/>
    <col min="485" max="485" width="8.81640625" bestFit="1" customWidth="1"/>
    <col min="486" max="486" width="7.81640625" bestFit="1" customWidth="1"/>
    <col min="487" max="487" width="5.81640625" bestFit="1" customWidth="1"/>
    <col min="488" max="488" width="7.81640625" bestFit="1" customWidth="1"/>
    <col min="489" max="493" width="8.81640625" bestFit="1" customWidth="1"/>
    <col min="494" max="494" width="7.81640625" bestFit="1" customWidth="1"/>
    <col min="495" max="502" width="8.81640625" bestFit="1" customWidth="1"/>
    <col min="503" max="503" width="7.81640625" bestFit="1" customWidth="1"/>
    <col min="504" max="507" width="8.81640625" bestFit="1" customWidth="1"/>
    <col min="508" max="508" width="5.81640625" bestFit="1" customWidth="1"/>
    <col min="509" max="509" width="7.81640625" bestFit="1" customWidth="1"/>
    <col min="510" max="514" width="8.81640625" bestFit="1" customWidth="1"/>
    <col min="515" max="515" width="7.81640625" bestFit="1" customWidth="1"/>
    <col min="516" max="519" width="8.81640625" bestFit="1" customWidth="1"/>
    <col min="520" max="521" width="7.81640625" bestFit="1" customWidth="1"/>
    <col min="522" max="525" width="8.81640625" bestFit="1" customWidth="1"/>
    <col min="526" max="526" width="7.81640625" bestFit="1" customWidth="1"/>
    <col min="527" max="533" width="8.81640625" bestFit="1" customWidth="1"/>
    <col min="534" max="534" width="7.81640625" bestFit="1" customWidth="1"/>
    <col min="535" max="536" width="8.81640625" bestFit="1" customWidth="1"/>
    <col min="537" max="537" width="7.81640625" bestFit="1" customWidth="1"/>
    <col min="538" max="548" width="8.81640625" bestFit="1" customWidth="1"/>
    <col min="549" max="549" width="7.81640625" bestFit="1" customWidth="1"/>
    <col min="550" max="560" width="8.81640625" bestFit="1" customWidth="1"/>
    <col min="561" max="561" width="7.81640625" bestFit="1" customWidth="1"/>
    <col min="562" max="563" width="8.81640625" bestFit="1" customWidth="1"/>
    <col min="564" max="564" width="7.81640625" bestFit="1" customWidth="1"/>
    <col min="565" max="573" width="8.81640625" bestFit="1" customWidth="1"/>
    <col min="574" max="574" width="7.81640625" bestFit="1" customWidth="1"/>
    <col min="575" max="576" width="8.81640625" bestFit="1" customWidth="1"/>
    <col min="577" max="577" width="7.81640625" bestFit="1" customWidth="1"/>
    <col min="578" max="581" width="8.81640625" bestFit="1" customWidth="1"/>
    <col min="582" max="582" width="5.81640625" bestFit="1" customWidth="1"/>
    <col min="583" max="591" width="8.81640625" bestFit="1" customWidth="1"/>
    <col min="592" max="592" width="7.81640625" bestFit="1" customWidth="1"/>
    <col min="593" max="609" width="8.81640625" bestFit="1" customWidth="1"/>
    <col min="610" max="610" width="5.81640625" bestFit="1" customWidth="1"/>
    <col min="611" max="611" width="8.81640625" bestFit="1" customWidth="1"/>
    <col min="612" max="612" width="7.81640625" bestFit="1" customWidth="1"/>
    <col min="613" max="614" width="8.81640625" bestFit="1" customWidth="1"/>
    <col min="615" max="615" width="5.81640625" bestFit="1" customWidth="1"/>
    <col min="616" max="616" width="8.81640625" bestFit="1" customWidth="1"/>
    <col min="617" max="617" width="7.81640625" bestFit="1" customWidth="1"/>
    <col min="618" max="621" width="8.81640625" bestFit="1" customWidth="1"/>
    <col min="622" max="622" width="5.81640625" bestFit="1" customWidth="1"/>
    <col min="623" max="625" width="8.81640625" bestFit="1" customWidth="1"/>
    <col min="626" max="626" width="7.81640625" bestFit="1" customWidth="1"/>
    <col min="627" max="630" width="8.81640625" bestFit="1" customWidth="1"/>
    <col min="631" max="631" width="7.81640625" bestFit="1" customWidth="1"/>
    <col min="632" max="635" width="8.81640625" bestFit="1" customWidth="1"/>
    <col min="636" max="636" width="7.81640625" bestFit="1" customWidth="1"/>
    <col min="637" max="645" width="8.81640625" bestFit="1" customWidth="1"/>
    <col min="646" max="646" width="7.81640625" bestFit="1" customWidth="1"/>
    <col min="647" max="649" width="8.81640625" bestFit="1" customWidth="1"/>
    <col min="650" max="650" width="7.81640625" bestFit="1" customWidth="1"/>
    <col min="651" max="660" width="8.81640625" bestFit="1" customWidth="1"/>
    <col min="661" max="661" width="5.81640625" bestFit="1" customWidth="1"/>
    <col min="662" max="669" width="8.81640625" bestFit="1" customWidth="1"/>
    <col min="670" max="670" width="7.81640625" bestFit="1" customWidth="1"/>
    <col min="671" max="679" width="8.81640625" bestFit="1" customWidth="1"/>
    <col min="680" max="680" width="7.81640625" bestFit="1" customWidth="1"/>
    <col min="681" max="682" width="8.81640625" bestFit="1" customWidth="1"/>
    <col min="683" max="683" width="7.81640625" bestFit="1" customWidth="1"/>
    <col min="684" max="685" width="8.81640625" bestFit="1" customWidth="1"/>
    <col min="686" max="686" width="5.81640625" bestFit="1" customWidth="1"/>
    <col min="687" max="687" width="7.81640625" bestFit="1" customWidth="1"/>
    <col min="688" max="693" width="8.81640625" bestFit="1" customWidth="1"/>
    <col min="694" max="695" width="7.81640625" bestFit="1" customWidth="1"/>
    <col min="696" max="696" width="8.81640625" bestFit="1" customWidth="1"/>
    <col min="697" max="697" width="7.81640625" bestFit="1" customWidth="1"/>
    <col min="698" max="700" width="8.81640625" bestFit="1" customWidth="1"/>
    <col min="701" max="701" width="7.81640625" bestFit="1" customWidth="1"/>
    <col min="702" max="702" width="8.81640625" bestFit="1" customWidth="1"/>
    <col min="703" max="703" width="7.81640625" bestFit="1" customWidth="1"/>
    <col min="704" max="707" width="8.81640625" bestFit="1" customWidth="1"/>
    <col min="708" max="708" width="7.81640625" bestFit="1" customWidth="1"/>
    <col min="709" max="711" width="8.81640625" bestFit="1" customWidth="1"/>
    <col min="712" max="712" width="7.81640625" bestFit="1" customWidth="1"/>
    <col min="713" max="714" width="8.81640625" bestFit="1" customWidth="1"/>
    <col min="715" max="715" width="7.81640625" bestFit="1" customWidth="1"/>
    <col min="716" max="726" width="8.81640625" bestFit="1" customWidth="1"/>
    <col min="727" max="727" width="7.81640625" bestFit="1" customWidth="1"/>
    <col min="728" max="730" width="8.81640625" bestFit="1" customWidth="1"/>
    <col min="731" max="731" width="7.81640625" bestFit="1" customWidth="1"/>
    <col min="732" max="737" width="8.81640625" bestFit="1" customWidth="1"/>
    <col min="738" max="738" width="7.81640625" bestFit="1" customWidth="1"/>
    <col min="739" max="741" width="8.81640625" bestFit="1" customWidth="1"/>
    <col min="742" max="742" width="7.81640625" bestFit="1" customWidth="1"/>
    <col min="743" max="743" width="8.81640625" bestFit="1" customWidth="1"/>
    <col min="744" max="744" width="7.81640625" bestFit="1" customWidth="1"/>
    <col min="745" max="755" width="8.81640625" bestFit="1" customWidth="1"/>
    <col min="756" max="756" width="7.81640625" bestFit="1" customWidth="1"/>
    <col min="757" max="766" width="8.81640625" bestFit="1" customWidth="1"/>
    <col min="767" max="767" width="7.81640625" bestFit="1" customWidth="1"/>
    <col min="768" max="780" width="8.81640625" bestFit="1" customWidth="1"/>
    <col min="781" max="781" width="7.81640625" bestFit="1" customWidth="1"/>
    <col min="782" max="783" width="8.81640625" bestFit="1" customWidth="1"/>
    <col min="784" max="785" width="7.81640625" bestFit="1" customWidth="1"/>
    <col min="786" max="808" width="8.81640625" bestFit="1" customWidth="1"/>
    <col min="809" max="809" width="7.81640625" bestFit="1" customWidth="1"/>
    <col min="810" max="811" width="8.81640625" bestFit="1" customWidth="1"/>
    <col min="812" max="812" width="5.81640625" bestFit="1" customWidth="1"/>
    <col min="813" max="815" width="8.81640625" bestFit="1" customWidth="1"/>
    <col min="816" max="816" width="7.81640625" bestFit="1" customWidth="1"/>
    <col min="817" max="821" width="8.81640625" bestFit="1" customWidth="1"/>
    <col min="822" max="823" width="7.81640625" bestFit="1" customWidth="1"/>
    <col min="824" max="827" width="8.81640625" bestFit="1" customWidth="1"/>
    <col min="828" max="828" width="7.81640625" bestFit="1" customWidth="1"/>
    <col min="829" max="837" width="8.81640625" bestFit="1" customWidth="1"/>
    <col min="838" max="838" width="7.81640625" bestFit="1" customWidth="1"/>
    <col min="839" max="850" width="8.81640625" bestFit="1" customWidth="1"/>
    <col min="851" max="852" width="7.81640625" bestFit="1" customWidth="1"/>
    <col min="853" max="855" width="8.81640625" bestFit="1" customWidth="1"/>
    <col min="856" max="856" width="7.81640625" bestFit="1" customWidth="1"/>
    <col min="857" max="865" width="8.81640625" bestFit="1" customWidth="1"/>
    <col min="866" max="866" width="7.81640625" bestFit="1" customWidth="1"/>
    <col min="867" max="868" width="8.81640625" bestFit="1" customWidth="1"/>
    <col min="869" max="869" width="7.81640625" bestFit="1" customWidth="1"/>
    <col min="870" max="872" width="8.81640625" bestFit="1" customWidth="1"/>
    <col min="873" max="873" width="5.81640625" bestFit="1" customWidth="1"/>
    <col min="874" max="876" width="8.81640625" bestFit="1" customWidth="1"/>
    <col min="877" max="877" width="7.81640625" bestFit="1" customWidth="1"/>
    <col min="878" max="878" width="8.81640625" bestFit="1" customWidth="1"/>
    <col min="879" max="879" width="7.81640625" bestFit="1" customWidth="1"/>
    <col min="880" max="881" width="8.81640625" bestFit="1" customWidth="1"/>
    <col min="882" max="882" width="5.81640625" bestFit="1" customWidth="1"/>
    <col min="883" max="884" width="8.81640625" bestFit="1" customWidth="1"/>
    <col min="885" max="885" width="7.81640625" bestFit="1" customWidth="1"/>
    <col min="886" max="889" width="8.81640625" bestFit="1" customWidth="1"/>
    <col min="890" max="890" width="7.81640625" bestFit="1" customWidth="1"/>
    <col min="891" max="895" width="8.81640625" bestFit="1" customWidth="1"/>
    <col min="896" max="896" width="7.81640625" bestFit="1" customWidth="1"/>
    <col min="897" max="910" width="8.81640625" bestFit="1" customWidth="1"/>
    <col min="911" max="911" width="7.81640625" bestFit="1" customWidth="1"/>
    <col min="912" max="912" width="8.81640625" bestFit="1" customWidth="1"/>
    <col min="913" max="913" width="7.81640625" bestFit="1" customWidth="1"/>
    <col min="914" max="916" width="8.81640625" bestFit="1" customWidth="1"/>
    <col min="917" max="919" width="7.81640625" bestFit="1" customWidth="1"/>
    <col min="920" max="920" width="8.81640625" bestFit="1" customWidth="1"/>
    <col min="921" max="921" width="7.81640625" bestFit="1" customWidth="1"/>
    <col min="922" max="925" width="8.81640625" bestFit="1" customWidth="1"/>
    <col min="926" max="926" width="7.81640625" bestFit="1" customWidth="1"/>
    <col min="927" max="936" width="8.81640625" bestFit="1" customWidth="1"/>
    <col min="937" max="937" width="7.81640625" bestFit="1" customWidth="1"/>
    <col min="938" max="940" width="8.81640625" bestFit="1" customWidth="1"/>
    <col min="941" max="941" width="7.81640625" bestFit="1" customWidth="1"/>
    <col min="942" max="947" width="8.81640625" bestFit="1" customWidth="1"/>
    <col min="948" max="948" width="7.81640625" bestFit="1" customWidth="1"/>
    <col min="949" max="949" width="8.81640625" bestFit="1" customWidth="1"/>
    <col min="950" max="950" width="7.81640625" bestFit="1" customWidth="1"/>
    <col min="951" max="953" width="8.81640625" bestFit="1" customWidth="1"/>
    <col min="954" max="954" width="7.81640625" bestFit="1" customWidth="1"/>
    <col min="955" max="960" width="8.81640625" bestFit="1" customWidth="1"/>
    <col min="961" max="961" width="7.81640625" bestFit="1" customWidth="1"/>
    <col min="962" max="965" width="8.81640625" bestFit="1" customWidth="1"/>
    <col min="966" max="966" width="5.81640625" bestFit="1" customWidth="1"/>
    <col min="967" max="969" width="8.81640625" bestFit="1" customWidth="1"/>
    <col min="970" max="970" width="7.81640625" bestFit="1" customWidth="1"/>
    <col min="971" max="971" width="8.81640625" bestFit="1" customWidth="1"/>
    <col min="972" max="972" width="7.81640625" bestFit="1" customWidth="1"/>
    <col min="973" max="983" width="8.81640625" bestFit="1" customWidth="1"/>
    <col min="984" max="984" width="7.81640625" bestFit="1" customWidth="1"/>
    <col min="985" max="985" width="8.81640625" bestFit="1" customWidth="1"/>
    <col min="986" max="986" width="7.81640625" bestFit="1" customWidth="1"/>
    <col min="987" max="989" width="8.81640625" bestFit="1" customWidth="1"/>
    <col min="990" max="990" width="7.81640625" bestFit="1" customWidth="1"/>
    <col min="991" max="996" width="8.81640625" bestFit="1" customWidth="1"/>
    <col min="997" max="997" width="5.81640625" bestFit="1" customWidth="1"/>
    <col min="998" max="1003" width="8.81640625" bestFit="1" customWidth="1"/>
    <col min="1004" max="1004" width="7.81640625" bestFit="1" customWidth="1"/>
    <col min="1005" max="1008" width="8.81640625" bestFit="1" customWidth="1"/>
    <col min="1009" max="1009" width="5.81640625" bestFit="1" customWidth="1"/>
    <col min="1010" max="1013" width="8.81640625" bestFit="1" customWidth="1"/>
    <col min="1014" max="1014" width="5.81640625" bestFit="1" customWidth="1"/>
    <col min="1015" max="1015" width="7.81640625" bestFit="1" customWidth="1"/>
    <col min="1016" max="1016" width="8.81640625" bestFit="1" customWidth="1"/>
    <col min="1017" max="1017" width="7.81640625" bestFit="1" customWidth="1"/>
    <col min="1018" max="1023" width="8.81640625" bestFit="1" customWidth="1"/>
    <col min="1024" max="1024" width="7.81640625" bestFit="1" customWidth="1"/>
    <col min="1025" max="1025" width="8.81640625" bestFit="1" customWidth="1"/>
    <col min="1026" max="1026" width="7.81640625" bestFit="1" customWidth="1"/>
    <col min="1027" max="1027" width="8.81640625" bestFit="1" customWidth="1"/>
    <col min="1028" max="1028" width="5.81640625" bestFit="1" customWidth="1"/>
    <col min="1029" max="1029" width="8.81640625" bestFit="1" customWidth="1"/>
    <col min="1030" max="1030" width="7.81640625" bestFit="1" customWidth="1"/>
    <col min="1031" max="1043" width="8.81640625" bestFit="1" customWidth="1"/>
    <col min="1044" max="1044" width="7.81640625" bestFit="1" customWidth="1"/>
    <col min="1045" max="1056" width="8.81640625" bestFit="1" customWidth="1"/>
    <col min="1057" max="1058" width="7.81640625" bestFit="1" customWidth="1"/>
    <col min="1059" max="1059" width="5.81640625" bestFit="1" customWidth="1"/>
    <col min="1060" max="1062" width="7.81640625" bestFit="1" customWidth="1"/>
    <col min="1063" max="1064" width="8.81640625" bestFit="1" customWidth="1"/>
    <col min="1065" max="1065" width="7.81640625" bestFit="1" customWidth="1"/>
    <col min="1066" max="1067" width="8.81640625" bestFit="1" customWidth="1"/>
    <col min="1068" max="1068" width="7.81640625" bestFit="1" customWidth="1"/>
    <col min="1069" max="1069" width="5.81640625" bestFit="1" customWidth="1"/>
    <col min="1070" max="1074" width="8.81640625" bestFit="1" customWidth="1"/>
    <col min="1075" max="1075" width="7.81640625" bestFit="1" customWidth="1"/>
    <col min="1076" max="1077" width="8.81640625" bestFit="1" customWidth="1"/>
    <col min="1078" max="1079" width="7.81640625" bestFit="1" customWidth="1"/>
    <col min="1080" max="1084" width="8.81640625" bestFit="1" customWidth="1"/>
    <col min="1085" max="1085" width="7.81640625" bestFit="1" customWidth="1"/>
    <col min="1086" max="1094" width="8.81640625" bestFit="1" customWidth="1"/>
    <col min="1095" max="1095" width="7.81640625" bestFit="1" customWidth="1"/>
    <col min="1096" max="1097" width="8.81640625" bestFit="1" customWidth="1"/>
    <col min="1098" max="1098" width="7.81640625" bestFit="1" customWidth="1"/>
    <col min="1099" max="1099" width="8.81640625" bestFit="1" customWidth="1"/>
    <col min="1100" max="1100" width="7.81640625" bestFit="1" customWidth="1"/>
    <col min="1101" max="1102" width="8.81640625" bestFit="1" customWidth="1"/>
    <col min="1103" max="1103" width="7.81640625" bestFit="1" customWidth="1"/>
    <col min="1104" max="1111" width="8.81640625" bestFit="1" customWidth="1"/>
    <col min="1112" max="1112" width="7.81640625" bestFit="1" customWidth="1"/>
    <col min="1113" max="1116" width="8.81640625" bestFit="1" customWidth="1"/>
    <col min="1117" max="1117" width="7.81640625" bestFit="1" customWidth="1"/>
    <col min="1118" max="1119" width="8.81640625" bestFit="1" customWidth="1"/>
    <col min="1120" max="1120" width="7.81640625" bestFit="1" customWidth="1"/>
    <col min="1121" max="1126" width="8.81640625" bestFit="1" customWidth="1"/>
    <col min="1127" max="1127" width="5.81640625" bestFit="1" customWidth="1"/>
    <col min="1128" max="1135" width="8.81640625" bestFit="1" customWidth="1"/>
    <col min="1136" max="1136" width="7.81640625" bestFit="1" customWidth="1"/>
    <col min="1137" max="1144" width="8.81640625" bestFit="1" customWidth="1"/>
    <col min="1145" max="1145" width="7.81640625" bestFit="1" customWidth="1"/>
    <col min="1146" max="1149" width="8.81640625" bestFit="1" customWidth="1"/>
    <col min="1150" max="1150" width="7.81640625" bestFit="1" customWidth="1"/>
    <col min="1151" max="1154" width="8.81640625" bestFit="1" customWidth="1"/>
    <col min="1155" max="1155" width="7.81640625" bestFit="1" customWidth="1"/>
    <col min="1156" max="1158" width="8.81640625" bestFit="1" customWidth="1"/>
    <col min="1159" max="1159" width="7.81640625" bestFit="1" customWidth="1"/>
    <col min="1160" max="1168" width="8.81640625" bestFit="1" customWidth="1"/>
    <col min="1169" max="1169" width="7.81640625" bestFit="1" customWidth="1"/>
    <col min="1170" max="1172" width="8.81640625" bestFit="1" customWidth="1"/>
    <col min="1173" max="1173" width="7.81640625" bestFit="1" customWidth="1"/>
    <col min="1174" max="1178" width="8.81640625" bestFit="1" customWidth="1"/>
    <col min="1179" max="1179" width="7.81640625" bestFit="1" customWidth="1"/>
    <col min="1180" max="1180" width="8.81640625" bestFit="1" customWidth="1"/>
    <col min="1181" max="1182" width="7.81640625" bestFit="1" customWidth="1"/>
    <col min="1183" max="1189" width="8.81640625" bestFit="1" customWidth="1"/>
    <col min="1190" max="1191" width="7.81640625" bestFit="1" customWidth="1"/>
    <col min="1192" max="1198" width="8.81640625" bestFit="1" customWidth="1"/>
    <col min="1199" max="1199" width="7.81640625" bestFit="1" customWidth="1"/>
    <col min="1200" max="1201" width="8.81640625" bestFit="1" customWidth="1"/>
    <col min="1202" max="1202" width="7.81640625" bestFit="1" customWidth="1"/>
    <col min="1203" max="1203" width="8.81640625" bestFit="1" customWidth="1"/>
    <col min="1204" max="1204" width="7.81640625" bestFit="1" customWidth="1"/>
    <col min="1205" max="1210" width="8.81640625" bestFit="1" customWidth="1"/>
    <col min="1211" max="1211" width="7.81640625" bestFit="1" customWidth="1"/>
    <col min="1212" max="1222" width="8.81640625" bestFit="1" customWidth="1"/>
    <col min="1223" max="1223" width="7.81640625" bestFit="1" customWidth="1"/>
    <col min="1224" max="1227" width="8.81640625" bestFit="1" customWidth="1"/>
    <col min="1228" max="1228" width="7.81640625" bestFit="1" customWidth="1"/>
    <col min="1229" max="1233" width="8.81640625" bestFit="1" customWidth="1"/>
    <col min="1234" max="1234" width="7.81640625" bestFit="1" customWidth="1"/>
    <col min="1235" max="1247" width="8.81640625" bestFit="1" customWidth="1"/>
    <col min="1248" max="1248" width="7.81640625" bestFit="1" customWidth="1"/>
    <col min="1249" max="1253" width="8.81640625" bestFit="1" customWidth="1"/>
    <col min="1254" max="1254" width="7.81640625" bestFit="1" customWidth="1"/>
    <col min="1255" max="1258" width="8.81640625" bestFit="1" customWidth="1"/>
    <col min="1259" max="1259" width="7.81640625" bestFit="1" customWidth="1"/>
    <col min="1260" max="1262" width="8.81640625" bestFit="1" customWidth="1"/>
    <col min="1263" max="1263" width="7.81640625" bestFit="1" customWidth="1"/>
    <col min="1264" max="1264" width="8.81640625" bestFit="1" customWidth="1"/>
    <col min="1265" max="1265" width="7.81640625" bestFit="1" customWidth="1"/>
    <col min="1266" max="1276" width="8.81640625" bestFit="1" customWidth="1"/>
    <col min="1277" max="1277" width="7.81640625" bestFit="1" customWidth="1"/>
    <col min="1278" max="1285" width="8.81640625" bestFit="1" customWidth="1"/>
    <col min="1286" max="1286" width="7.81640625" bestFit="1" customWidth="1"/>
    <col min="1287" max="1287" width="8.81640625" bestFit="1" customWidth="1"/>
    <col min="1288" max="1288" width="7.81640625" bestFit="1" customWidth="1"/>
    <col min="1289" max="1289" width="8.81640625" bestFit="1" customWidth="1"/>
    <col min="1290" max="1290" width="7.81640625" bestFit="1" customWidth="1"/>
    <col min="1291" max="1291" width="8.81640625" bestFit="1" customWidth="1"/>
    <col min="1292" max="1292" width="7.81640625" bestFit="1" customWidth="1"/>
    <col min="1293" max="1298" width="8.81640625" bestFit="1" customWidth="1"/>
    <col min="1299" max="1299" width="7.81640625" bestFit="1" customWidth="1"/>
    <col min="1300" max="1301" width="8.81640625" bestFit="1" customWidth="1"/>
    <col min="1302" max="1302" width="7.81640625" bestFit="1" customWidth="1"/>
    <col min="1303" max="1316" width="8.81640625" bestFit="1" customWidth="1"/>
    <col min="1317" max="1317" width="7.81640625" bestFit="1" customWidth="1"/>
    <col min="1318" max="1334" width="8.81640625" bestFit="1" customWidth="1"/>
    <col min="1335" max="1335" width="7.81640625" bestFit="1" customWidth="1"/>
    <col min="1336" max="1337" width="8.81640625" bestFit="1" customWidth="1"/>
    <col min="1338" max="1338" width="7.81640625" bestFit="1" customWidth="1"/>
    <col min="1339" max="1343" width="8.81640625" bestFit="1" customWidth="1"/>
    <col min="1344" max="1344" width="7.81640625" bestFit="1" customWidth="1"/>
    <col min="1345" max="1351" width="8.81640625" bestFit="1" customWidth="1"/>
    <col min="1352" max="1352" width="7.81640625" bestFit="1" customWidth="1"/>
    <col min="1353" max="1353" width="8.81640625" bestFit="1" customWidth="1"/>
    <col min="1354" max="1354" width="7.81640625" bestFit="1" customWidth="1"/>
    <col min="1355" max="1368" width="8.81640625" bestFit="1" customWidth="1"/>
    <col min="1369" max="1369" width="5.81640625" bestFit="1" customWidth="1"/>
    <col min="1370" max="1371" width="7.81640625" bestFit="1" customWidth="1"/>
    <col min="1372" max="1379" width="8.81640625" bestFit="1" customWidth="1"/>
    <col min="1380" max="1380" width="7.81640625" bestFit="1" customWidth="1"/>
    <col min="1381" max="1381" width="8.81640625" bestFit="1" customWidth="1"/>
    <col min="1382" max="1382" width="5.81640625" bestFit="1" customWidth="1"/>
    <col min="1383" max="1388" width="8.81640625" bestFit="1" customWidth="1"/>
    <col min="1389" max="1389" width="7.81640625" bestFit="1" customWidth="1"/>
    <col min="1390" max="1390" width="8.81640625" bestFit="1" customWidth="1"/>
    <col min="1391" max="1391" width="7.81640625" bestFit="1" customWidth="1"/>
    <col min="1392" max="1392" width="8.81640625" bestFit="1" customWidth="1"/>
    <col min="1393" max="1397" width="9.81640625" bestFit="1" customWidth="1"/>
    <col min="1398" max="1398" width="6.81640625" bestFit="1" customWidth="1"/>
    <col min="1399" max="1407" width="9.81640625" bestFit="1" customWidth="1"/>
    <col min="1408" max="1409" width="8.81640625" bestFit="1" customWidth="1"/>
    <col min="1410" max="1413" width="9.81640625" bestFit="1" customWidth="1"/>
    <col min="1414" max="1414" width="8.81640625" bestFit="1" customWidth="1"/>
    <col min="1415" max="1416" width="9.81640625" bestFit="1" customWidth="1"/>
    <col min="1417" max="1417" width="8.81640625" bestFit="1" customWidth="1"/>
    <col min="1418" max="1425" width="9.81640625" bestFit="1" customWidth="1"/>
    <col min="1426" max="1427" width="8.81640625" bestFit="1" customWidth="1"/>
    <col min="1428" max="1433" width="9.81640625" bestFit="1" customWidth="1"/>
    <col min="1434" max="1434" width="8.81640625" bestFit="1" customWidth="1"/>
    <col min="1435" max="1443" width="9.81640625" bestFit="1" customWidth="1"/>
    <col min="1444" max="1444" width="8.81640625" bestFit="1" customWidth="1"/>
    <col min="1445" max="1454" width="9.81640625" bestFit="1" customWidth="1"/>
    <col min="1455" max="1455" width="8.81640625" bestFit="1" customWidth="1"/>
    <col min="1456" max="1458" width="9.81640625" bestFit="1" customWidth="1"/>
    <col min="1459" max="1459" width="6.81640625" bestFit="1" customWidth="1"/>
    <col min="1460" max="1466" width="9.81640625" bestFit="1" customWidth="1"/>
    <col min="1467" max="1467" width="8.81640625" bestFit="1" customWidth="1"/>
    <col min="1468" max="1468" width="9.81640625" bestFit="1" customWidth="1"/>
    <col min="1469" max="1469" width="8.81640625" bestFit="1" customWidth="1"/>
    <col min="1470" max="1473" width="9.81640625" bestFit="1" customWidth="1"/>
    <col min="1474" max="1474" width="6.81640625" bestFit="1" customWidth="1"/>
    <col min="1475" max="1475" width="9.81640625" bestFit="1" customWidth="1"/>
    <col min="1476" max="1476" width="8.81640625" bestFit="1" customWidth="1"/>
    <col min="1477" max="1490" width="9.81640625" bestFit="1" customWidth="1"/>
    <col min="1491" max="1491" width="8.81640625" bestFit="1" customWidth="1"/>
    <col min="1492" max="1492" width="6.81640625" bestFit="1" customWidth="1"/>
    <col min="1493" max="1493" width="9.81640625" bestFit="1" customWidth="1"/>
    <col min="1494" max="1494" width="8.81640625" bestFit="1" customWidth="1"/>
    <col min="1495" max="1496" width="9.81640625" bestFit="1" customWidth="1"/>
    <col min="1497" max="1497" width="6.81640625" bestFit="1" customWidth="1"/>
    <col min="1498" max="1499" width="9.81640625" bestFit="1" customWidth="1"/>
    <col min="1500" max="1502" width="8.81640625" bestFit="1" customWidth="1"/>
    <col min="1503" max="1503" width="9.81640625" bestFit="1" customWidth="1"/>
    <col min="1504" max="1504" width="6.81640625" bestFit="1" customWidth="1"/>
    <col min="1505" max="1505" width="9.81640625" bestFit="1" customWidth="1"/>
    <col min="1506" max="1506" width="8.81640625" bestFit="1" customWidth="1"/>
    <col min="1507" max="1510" width="9.81640625" bestFit="1" customWidth="1"/>
    <col min="1511" max="1511" width="8.81640625" bestFit="1" customWidth="1"/>
    <col min="1512" max="1517" width="9.81640625" bestFit="1" customWidth="1"/>
    <col min="1518" max="1518" width="8.81640625" bestFit="1" customWidth="1"/>
    <col min="1519" max="1522" width="9.81640625" bestFit="1" customWidth="1"/>
    <col min="1523" max="1523" width="8.81640625" bestFit="1" customWidth="1"/>
    <col min="1524" max="1524" width="9.81640625" bestFit="1" customWidth="1"/>
    <col min="1525" max="1525" width="8.81640625" bestFit="1" customWidth="1"/>
    <col min="1526" max="1531" width="9.81640625" bestFit="1" customWidth="1"/>
    <col min="1532" max="1532" width="8.81640625" bestFit="1" customWidth="1"/>
    <col min="1533" max="1533" width="9.81640625" bestFit="1" customWidth="1"/>
    <col min="1534" max="1534" width="8.81640625" bestFit="1" customWidth="1"/>
    <col min="1535" max="1536" width="9.81640625" bestFit="1" customWidth="1"/>
    <col min="1537" max="1537" width="8.81640625" bestFit="1" customWidth="1"/>
    <col min="1538" max="1538" width="9.81640625" bestFit="1" customWidth="1"/>
    <col min="1539" max="1539" width="8.81640625" bestFit="1" customWidth="1"/>
    <col min="1540" max="1543" width="9.81640625" bestFit="1" customWidth="1"/>
    <col min="1544" max="1544" width="8.81640625" bestFit="1" customWidth="1"/>
    <col min="1545" max="1547" width="9.81640625" bestFit="1" customWidth="1"/>
    <col min="1548" max="1549" width="8.81640625" bestFit="1" customWidth="1"/>
    <col min="1550" max="1553" width="9.81640625" bestFit="1" customWidth="1"/>
    <col min="1554" max="1554" width="8.81640625" bestFit="1" customWidth="1"/>
    <col min="1555" max="1559" width="9.81640625" bestFit="1" customWidth="1"/>
    <col min="1560" max="1560" width="8.81640625" bestFit="1" customWidth="1"/>
    <col min="1561" max="1563" width="9.81640625" bestFit="1" customWidth="1"/>
    <col min="1564" max="1564" width="8.81640625" bestFit="1" customWidth="1"/>
    <col min="1565" max="1572" width="9.81640625" bestFit="1" customWidth="1"/>
    <col min="1573" max="1573" width="8.81640625" bestFit="1" customWidth="1"/>
    <col min="1574" max="1577" width="9.81640625" bestFit="1" customWidth="1"/>
    <col min="1578" max="1578" width="8.81640625" bestFit="1" customWidth="1"/>
    <col min="1579" max="1580" width="9.81640625" bestFit="1" customWidth="1"/>
    <col min="1581" max="1581" width="8.81640625" bestFit="1" customWidth="1"/>
    <col min="1582" max="1582" width="9.81640625" bestFit="1" customWidth="1"/>
    <col min="1583" max="1583" width="8.81640625" bestFit="1" customWidth="1"/>
    <col min="1584" max="1585" width="6.81640625" bestFit="1" customWidth="1"/>
    <col min="1586" max="1590" width="9.81640625" bestFit="1" customWidth="1"/>
    <col min="1591" max="1591" width="8.81640625" bestFit="1" customWidth="1"/>
    <col min="1592" max="1593" width="9.81640625" bestFit="1" customWidth="1"/>
    <col min="1594" max="1594" width="8.81640625" bestFit="1" customWidth="1"/>
    <col min="1595" max="1602" width="9.81640625" bestFit="1" customWidth="1"/>
    <col min="1603" max="1603" width="8.81640625" bestFit="1" customWidth="1"/>
    <col min="1604" max="1607" width="9.81640625" bestFit="1" customWidth="1"/>
    <col min="1608" max="1608" width="6.81640625" bestFit="1" customWidth="1"/>
    <col min="1609" max="1610" width="9.81640625" bestFit="1" customWidth="1"/>
    <col min="1611" max="1612" width="8.81640625" bestFit="1" customWidth="1"/>
    <col min="1613" max="1616" width="9.81640625" bestFit="1" customWidth="1"/>
    <col min="1617" max="1617" width="8.81640625" bestFit="1" customWidth="1"/>
    <col min="1618" max="1618" width="6.81640625" bestFit="1" customWidth="1"/>
    <col min="1619" max="1619" width="8.81640625" bestFit="1" customWidth="1"/>
    <col min="1620" max="1622" width="9.81640625" bestFit="1" customWidth="1"/>
    <col min="1623" max="1624" width="8.81640625" bestFit="1" customWidth="1"/>
    <col min="1625" max="1627" width="9.81640625" bestFit="1" customWidth="1"/>
    <col min="1628" max="1628" width="8.81640625" bestFit="1" customWidth="1"/>
    <col min="1629" max="1632" width="9.81640625" bestFit="1" customWidth="1"/>
    <col min="1633" max="1633" width="8.81640625" bestFit="1" customWidth="1"/>
    <col min="1634" max="1637" width="9.81640625" bestFit="1" customWidth="1"/>
    <col min="1638" max="1640" width="8.81640625" bestFit="1" customWidth="1"/>
    <col min="1641" max="1641" width="9.81640625" bestFit="1" customWidth="1"/>
    <col min="1642" max="1642" width="8.81640625" bestFit="1" customWidth="1"/>
    <col min="1643" max="1650" width="9.81640625" bestFit="1" customWidth="1"/>
    <col min="1651" max="1651" width="8.81640625" bestFit="1" customWidth="1"/>
    <col min="1652" max="1652" width="9.81640625" bestFit="1" customWidth="1"/>
    <col min="1653" max="1654" width="8.81640625" bestFit="1" customWidth="1"/>
    <col min="1655" max="1656" width="9.81640625" bestFit="1" customWidth="1"/>
    <col min="1657" max="1657" width="8.81640625" bestFit="1" customWidth="1"/>
    <col min="1658" max="1659" width="9.81640625" bestFit="1" customWidth="1"/>
    <col min="1660" max="1660" width="8.81640625" bestFit="1" customWidth="1"/>
    <col min="1661" max="1665" width="9.81640625" bestFit="1" customWidth="1"/>
    <col min="1666" max="1667" width="8.81640625" bestFit="1" customWidth="1"/>
    <col min="1668" max="1668" width="9.81640625" bestFit="1" customWidth="1"/>
    <col min="1669" max="1669" width="6.81640625" bestFit="1" customWidth="1"/>
    <col min="1670" max="1671" width="8.81640625" bestFit="1" customWidth="1"/>
    <col min="1672" max="1672" width="6.81640625" bestFit="1" customWidth="1"/>
    <col min="1673" max="1690" width="9.81640625" bestFit="1" customWidth="1"/>
    <col min="1691" max="1691" width="6.81640625" bestFit="1" customWidth="1"/>
    <col min="1692" max="1704" width="9.81640625" bestFit="1" customWidth="1"/>
    <col min="1705" max="1705" width="8.81640625" bestFit="1" customWidth="1"/>
    <col min="1706" max="1707" width="9.81640625" bestFit="1" customWidth="1"/>
    <col min="1708" max="1708" width="8.81640625" bestFit="1" customWidth="1"/>
    <col min="1709" max="1709" width="9.81640625" bestFit="1" customWidth="1"/>
    <col min="1710" max="1710" width="8.81640625" bestFit="1" customWidth="1"/>
    <col min="1711" max="1714" width="9.81640625" bestFit="1" customWidth="1"/>
    <col min="1715" max="1715" width="8.81640625" bestFit="1" customWidth="1"/>
    <col min="1716" max="1725" width="9.81640625" bestFit="1" customWidth="1"/>
    <col min="1726" max="1727" width="8.81640625" bestFit="1" customWidth="1"/>
    <col min="1728" max="1729" width="9.81640625" bestFit="1" customWidth="1"/>
    <col min="1730" max="1730" width="8.81640625" bestFit="1" customWidth="1"/>
    <col min="1731" max="1731" width="9.81640625" bestFit="1" customWidth="1"/>
    <col min="1732" max="1732" width="8.81640625" bestFit="1" customWidth="1"/>
    <col min="1733" max="1737" width="9.81640625" bestFit="1" customWidth="1"/>
    <col min="1738" max="1739" width="6.81640625" bestFit="1" customWidth="1"/>
    <col min="1740" max="1740" width="9.81640625" bestFit="1" customWidth="1"/>
    <col min="1741" max="1741" width="8.81640625" bestFit="1" customWidth="1"/>
    <col min="1742" max="1743" width="9.81640625" bestFit="1" customWidth="1"/>
    <col min="1744" max="1744" width="8.81640625" bestFit="1" customWidth="1"/>
    <col min="1745" max="1745" width="6.81640625" bestFit="1" customWidth="1"/>
    <col min="1746" max="1746" width="8.81640625" bestFit="1" customWidth="1"/>
    <col min="1747" max="1747" width="9.81640625" bestFit="1" customWidth="1"/>
    <col min="1748" max="1749" width="8.81640625" bestFit="1" customWidth="1"/>
    <col min="1750" max="1750" width="9.81640625" bestFit="1" customWidth="1"/>
    <col min="1751" max="1751" width="8.81640625" bestFit="1" customWidth="1"/>
    <col min="1752" max="1754" width="9.81640625" bestFit="1" customWidth="1"/>
    <col min="1755" max="1756" width="8.81640625" bestFit="1" customWidth="1"/>
    <col min="1757" max="1761" width="9.81640625" bestFit="1" customWidth="1"/>
    <col min="1762" max="1762" width="8.81640625" bestFit="1" customWidth="1"/>
    <col min="1763" max="1764" width="9.81640625" bestFit="1" customWidth="1"/>
    <col min="1765" max="1766" width="8.81640625" bestFit="1" customWidth="1"/>
    <col min="1767" max="1767" width="6.81640625" bestFit="1" customWidth="1"/>
    <col min="1768" max="1768" width="8.81640625" bestFit="1" customWidth="1"/>
    <col min="1769" max="1769" width="6.81640625" bestFit="1" customWidth="1"/>
    <col min="1770" max="1770" width="9.81640625" bestFit="1" customWidth="1"/>
    <col min="1771" max="1771" width="8.81640625" bestFit="1" customWidth="1"/>
    <col min="1772" max="1773" width="9.81640625" bestFit="1" customWidth="1"/>
    <col min="1774" max="1775" width="8.81640625" bestFit="1" customWidth="1"/>
    <col min="1776" max="1776" width="6.81640625" bestFit="1" customWidth="1"/>
    <col min="1777" max="1777" width="8.81640625" bestFit="1" customWidth="1"/>
    <col min="1778" max="1782" width="9.81640625" bestFit="1" customWidth="1"/>
    <col min="1783" max="1783" width="8.81640625" bestFit="1" customWidth="1"/>
    <col min="1784" max="1784" width="9.81640625" bestFit="1" customWidth="1"/>
    <col min="1785" max="1785" width="8.81640625" bestFit="1" customWidth="1"/>
    <col min="1786" max="1788" width="9.81640625" bestFit="1" customWidth="1"/>
    <col min="1789" max="1789" width="8.81640625" bestFit="1" customWidth="1"/>
    <col min="1790" max="1790" width="9.81640625" bestFit="1" customWidth="1"/>
    <col min="1791" max="1792" width="8.81640625" bestFit="1" customWidth="1"/>
    <col min="1793" max="1794" width="9.81640625" bestFit="1" customWidth="1"/>
    <col min="1795" max="1796" width="8.81640625" bestFit="1" customWidth="1"/>
    <col min="1797" max="1799" width="9.81640625" bestFit="1" customWidth="1"/>
    <col min="1800" max="1800" width="6.81640625" bestFit="1" customWidth="1"/>
    <col min="1801" max="1803" width="9.81640625" bestFit="1" customWidth="1"/>
    <col min="1804" max="1804" width="6.81640625" bestFit="1" customWidth="1"/>
    <col min="1805" max="1805" width="8.81640625" bestFit="1" customWidth="1"/>
    <col min="1806" max="1806" width="9.81640625" bestFit="1" customWidth="1"/>
    <col min="1807" max="1807" width="6.81640625" bestFit="1" customWidth="1"/>
    <col min="1808" max="1808" width="9.81640625" bestFit="1" customWidth="1"/>
    <col min="1809" max="1809" width="8.81640625" bestFit="1" customWidth="1"/>
    <col min="1810" max="1810" width="9.81640625" bestFit="1" customWidth="1"/>
    <col min="1811" max="1811" width="8.81640625" bestFit="1" customWidth="1"/>
    <col min="1812" max="1812" width="9.81640625" bestFit="1" customWidth="1"/>
    <col min="1813" max="1813" width="8.81640625" bestFit="1" customWidth="1"/>
    <col min="1814" max="1814" width="9.81640625" bestFit="1" customWidth="1"/>
    <col min="1815" max="1815" width="8.81640625" bestFit="1" customWidth="1"/>
    <col min="1816" max="1817" width="9.81640625" bestFit="1" customWidth="1"/>
    <col min="1818" max="1818" width="8.81640625" bestFit="1" customWidth="1"/>
    <col min="1819" max="1820" width="9.81640625" bestFit="1" customWidth="1"/>
    <col min="1821" max="1822" width="8.81640625" bestFit="1" customWidth="1"/>
    <col min="1823" max="1825" width="9.81640625" bestFit="1" customWidth="1"/>
    <col min="1826" max="1826" width="8.81640625" bestFit="1" customWidth="1"/>
    <col min="1827" max="1827" width="9.81640625" bestFit="1" customWidth="1"/>
    <col min="1828" max="1828" width="8.81640625" bestFit="1" customWidth="1"/>
    <col min="1829" max="1832" width="9.81640625" bestFit="1" customWidth="1"/>
    <col min="1833" max="1833" width="6.81640625" bestFit="1" customWidth="1"/>
    <col min="1834" max="1834" width="9.81640625" bestFit="1" customWidth="1"/>
    <col min="1835" max="1836" width="8.81640625" bestFit="1" customWidth="1"/>
    <col min="1837" max="1840" width="9.81640625" bestFit="1" customWidth="1"/>
    <col min="1841" max="1841" width="8.81640625" bestFit="1" customWidth="1"/>
    <col min="1842" max="1844" width="9.81640625" bestFit="1" customWidth="1"/>
    <col min="1845" max="1847" width="8.81640625" bestFit="1" customWidth="1"/>
    <col min="1848" max="1850" width="9.81640625" bestFit="1" customWidth="1"/>
    <col min="1851" max="1851" width="6.81640625" bestFit="1" customWidth="1"/>
    <col min="1852" max="1853" width="8.81640625" bestFit="1" customWidth="1"/>
    <col min="1854" max="1856" width="9.81640625" bestFit="1" customWidth="1"/>
    <col min="1857" max="1857" width="8.81640625" bestFit="1" customWidth="1"/>
    <col min="1858" max="1863" width="9.81640625" bestFit="1" customWidth="1"/>
    <col min="1864" max="1864" width="8.81640625" bestFit="1" customWidth="1"/>
    <col min="1865" max="1865" width="9.81640625" bestFit="1" customWidth="1"/>
    <col min="1866" max="1867" width="8.81640625" bestFit="1" customWidth="1"/>
    <col min="1868" max="1868" width="9.81640625" bestFit="1" customWidth="1"/>
    <col min="1869" max="1869" width="8.81640625" bestFit="1" customWidth="1"/>
    <col min="1870" max="1870" width="9.81640625" bestFit="1" customWidth="1"/>
    <col min="1871" max="1871" width="6.81640625" bestFit="1" customWidth="1"/>
    <col min="1872" max="1873" width="9.81640625" bestFit="1" customWidth="1"/>
    <col min="1874" max="1874" width="8.81640625" bestFit="1" customWidth="1"/>
    <col min="1875" max="1875" width="9.81640625" bestFit="1" customWidth="1"/>
    <col min="1876" max="1876" width="8.81640625" bestFit="1" customWidth="1"/>
    <col min="1877" max="1880" width="9.81640625" bestFit="1" customWidth="1"/>
    <col min="1881" max="1881" width="6.81640625" bestFit="1" customWidth="1"/>
    <col min="1882" max="1888" width="9.81640625" bestFit="1" customWidth="1"/>
    <col min="1889" max="1889" width="8.81640625" bestFit="1" customWidth="1"/>
    <col min="1890" max="1890" width="9.81640625" bestFit="1" customWidth="1"/>
    <col min="1891" max="1892" width="8.81640625" bestFit="1" customWidth="1"/>
    <col min="1893" max="1893" width="9.81640625" bestFit="1" customWidth="1"/>
    <col min="1894" max="1894" width="6.81640625" bestFit="1" customWidth="1"/>
    <col min="1895" max="1895" width="9.81640625" bestFit="1" customWidth="1"/>
    <col min="1896" max="1896" width="6.81640625" bestFit="1" customWidth="1"/>
    <col min="1897" max="1897" width="9.81640625" bestFit="1" customWidth="1"/>
    <col min="1898" max="1898" width="8.81640625" bestFit="1" customWidth="1"/>
    <col min="1899" max="1900" width="9.81640625" bestFit="1" customWidth="1"/>
    <col min="1901" max="1902" width="8.81640625" bestFit="1" customWidth="1"/>
    <col min="1903" max="1907" width="9.81640625" bestFit="1" customWidth="1"/>
    <col min="1908" max="1910" width="8.81640625" bestFit="1" customWidth="1"/>
    <col min="1911" max="1912" width="9.81640625" bestFit="1" customWidth="1"/>
    <col min="1913" max="1913" width="8.81640625" bestFit="1" customWidth="1"/>
    <col min="1914" max="1914" width="9.81640625" bestFit="1" customWidth="1"/>
    <col min="1915" max="1915" width="8.81640625" bestFit="1" customWidth="1"/>
    <col min="1916" max="1918" width="9.81640625" bestFit="1" customWidth="1"/>
    <col min="1919" max="1919" width="8.81640625" bestFit="1" customWidth="1"/>
    <col min="1920" max="1921" width="9.81640625" bestFit="1" customWidth="1"/>
    <col min="1922" max="1922" width="8.81640625" bestFit="1" customWidth="1"/>
    <col min="1923" max="1923" width="6.81640625" bestFit="1" customWidth="1"/>
    <col min="1924" max="1924" width="9.81640625" bestFit="1" customWidth="1"/>
    <col min="1925" max="1925" width="8.81640625" bestFit="1" customWidth="1"/>
    <col min="1926" max="1929" width="9.81640625" bestFit="1" customWidth="1"/>
    <col min="1930" max="1930" width="8.81640625" bestFit="1" customWidth="1"/>
    <col min="1931" max="1934" width="9.81640625" bestFit="1" customWidth="1"/>
    <col min="1935" max="1936" width="8.81640625" bestFit="1" customWidth="1"/>
    <col min="1937" max="1937" width="9.81640625" bestFit="1" customWidth="1"/>
    <col min="1938" max="1938" width="8.81640625" bestFit="1" customWidth="1"/>
    <col min="1939" max="1939" width="6.81640625" bestFit="1" customWidth="1"/>
    <col min="1940" max="1941" width="9.81640625" bestFit="1" customWidth="1"/>
    <col min="1942" max="1942" width="6.81640625" bestFit="1" customWidth="1"/>
    <col min="1943" max="1944" width="9.81640625" bestFit="1" customWidth="1"/>
    <col min="1945" max="1945" width="8.81640625" bestFit="1" customWidth="1"/>
    <col min="1946" max="1947" width="9.81640625" bestFit="1" customWidth="1"/>
    <col min="1948" max="1948" width="6.81640625" bestFit="1" customWidth="1"/>
    <col min="1949" max="1949" width="8.81640625" bestFit="1" customWidth="1"/>
    <col min="1950" max="1950" width="9.81640625" bestFit="1" customWidth="1"/>
    <col min="1951" max="1952" width="8.81640625" bestFit="1" customWidth="1"/>
    <col min="1953" max="1953" width="9.81640625" bestFit="1" customWidth="1"/>
    <col min="1954" max="1955" width="8.81640625" bestFit="1" customWidth="1"/>
    <col min="1956" max="1956" width="9.81640625" bestFit="1" customWidth="1"/>
    <col min="1957" max="1957" width="8.81640625" bestFit="1" customWidth="1"/>
    <col min="1958" max="1959" width="9.81640625" bestFit="1" customWidth="1"/>
    <col min="1960" max="1962" width="8.81640625" bestFit="1" customWidth="1"/>
    <col min="1963" max="1963" width="9.81640625" bestFit="1" customWidth="1"/>
    <col min="1964" max="1964" width="8.81640625" bestFit="1" customWidth="1"/>
    <col min="1965" max="1965" width="9.81640625" bestFit="1" customWidth="1"/>
    <col min="1966" max="1966" width="8.81640625" bestFit="1" customWidth="1"/>
    <col min="1967" max="1967" width="9.81640625" bestFit="1" customWidth="1"/>
    <col min="1968" max="1968" width="6.81640625" bestFit="1" customWidth="1"/>
    <col min="1969" max="1970" width="9.81640625" bestFit="1" customWidth="1"/>
    <col min="1971" max="1971" width="8.81640625" bestFit="1" customWidth="1"/>
    <col min="1972" max="1972" width="9.81640625" bestFit="1" customWidth="1"/>
    <col min="1973" max="1975" width="8.81640625" bestFit="1" customWidth="1"/>
    <col min="1976" max="1976" width="9.81640625" bestFit="1" customWidth="1"/>
    <col min="1977" max="1977" width="6.81640625" bestFit="1" customWidth="1"/>
    <col min="1978" max="1978" width="8.81640625" bestFit="1" customWidth="1"/>
    <col min="1979" max="1980" width="9.81640625" bestFit="1" customWidth="1"/>
    <col min="1981" max="1981" width="8.81640625" bestFit="1" customWidth="1"/>
    <col min="1982" max="1982" width="9.81640625" bestFit="1" customWidth="1"/>
    <col min="1983" max="1986" width="8.81640625" bestFit="1" customWidth="1"/>
    <col min="1987" max="1988" width="9.81640625" bestFit="1" customWidth="1"/>
    <col min="1989" max="1989" width="8.81640625" bestFit="1" customWidth="1"/>
    <col min="1990" max="1990" width="9.81640625" bestFit="1" customWidth="1"/>
    <col min="1991" max="1991" width="6.81640625" bestFit="1" customWidth="1"/>
    <col min="1992" max="1992" width="8.81640625" bestFit="1" customWidth="1"/>
    <col min="1993" max="1993" width="9.81640625" bestFit="1" customWidth="1"/>
    <col min="1994" max="1995" width="8.81640625" bestFit="1" customWidth="1"/>
    <col min="1996" max="1997" width="9.81640625" bestFit="1" customWidth="1"/>
    <col min="1998" max="2000" width="8.81640625" bestFit="1" customWidth="1"/>
    <col min="2001" max="2001" width="9.81640625" bestFit="1" customWidth="1"/>
    <col min="2002" max="2002" width="8.81640625" bestFit="1" customWidth="1"/>
    <col min="2003" max="2004" width="9.81640625" bestFit="1" customWidth="1"/>
    <col min="2005" max="2005" width="8.81640625" bestFit="1" customWidth="1"/>
    <col min="2006" max="2006" width="9.81640625" bestFit="1" customWidth="1"/>
    <col min="2007" max="2007" width="10.7265625" bestFit="1" customWidth="1"/>
  </cols>
  <sheetData>
    <row r="3" spans="2:3" x14ac:dyDescent="0.35">
      <c r="B3" s="1" t="s">
        <v>4172</v>
      </c>
    </row>
    <row r="4" spans="2:3" x14ac:dyDescent="0.35">
      <c r="B4" s="2" t="s">
        <v>53</v>
      </c>
      <c r="C4" s="4"/>
    </row>
    <row r="5" spans="2:3" x14ac:dyDescent="0.35">
      <c r="B5" s="3" t="s">
        <v>4171</v>
      </c>
      <c r="C5" s="4">
        <v>590</v>
      </c>
    </row>
    <row r="6" spans="2:3" x14ac:dyDescent="0.35">
      <c r="B6" s="3" t="s">
        <v>4170</v>
      </c>
      <c r="C6" s="4">
        <v>14955276.179999996</v>
      </c>
    </row>
    <row r="7" spans="2:3" x14ac:dyDescent="0.35">
      <c r="B7" s="2" t="s">
        <v>47</v>
      </c>
      <c r="C7" s="4"/>
    </row>
    <row r="8" spans="2:3" x14ac:dyDescent="0.35">
      <c r="B8" s="3" t="s">
        <v>4171</v>
      </c>
      <c r="C8" s="4">
        <v>638</v>
      </c>
    </row>
    <row r="9" spans="2:3" x14ac:dyDescent="0.35">
      <c r="B9" s="3" t="s">
        <v>4170</v>
      </c>
      <c r="C9" s="4">
        <v>16888529.639999989</v>
      </c>
    </row>
    <row r="10" spans="2:3" x14ac:dyDescent="0.35">
      <c r="B10" s="2" t="s">
        <v>22</v>
      </c>
      <c r="C10" s="4"/>
    </row>
    <row r="11" spans="2:3" x14ac:dyDescent="0.35">
      <c r="B11" s="3" t="s">
        <v>4171</v>
      </c>
      <c r="C11" s="4">
        <v>609</v>
      </c>
    </row>
    <row r="12" spans="2:3" x14ac:dyDescent="0.35">
      <c r="B12" s="3" t="s">
        <v>4170</v>
      </c>
      <c r="C12" s="4">
        <v>15681054.440000007</v>
      </c>
    </row>
    <row r="13" spans="2:3" x14ac:dyDescent="0.35">
      <c r="B13" s="2" t="s">
        <v>75</v>
      </c>
      <c r="C13" s="4"/>
    </row>
    <row r="14" spans="2:3" x14ac:dyDescent="0.35">
      <c r="B14" s="3" t="s">
        <v>4171</v>
      </c>
      <c r="C14" s="4">
        <v>636</v>
      </c>
    </row>
    <row r="15" spans="2:3" x14ac:dyDescent="0.35">
      <c r="B15" s="3" t="s">
        <v>4170</v>
      </c>
      <c r="C15" s="4">
        <v>16079030.010000004</v>
      </c>
    </row>
    <row r="16" spans="2:3" x14ac:dyDescent="0.35">
      <c r="B16" s="2" t="s">
        <v>32</v>
      </c>
      <c r="C16" s="4"/>
    </row>
    <row r="17" spans="2:3" x14ac:dyDescent="0.35">
      <c r="B17" s="3" t="s">
        <v>4171</v>
      </c>
      <c r="C17" s="4">
        <v>673</v>
      </c>
    </row>
    <row r="18" spans="2:3" x14ac:dyDescent="0.35">
      <c r="B18" s="3" t="s">
        <v>4170</v>
      </c>
      <c r="C18" s="4">
        <v>15803624.33</v>
      </c>
    </row>
    <row r="19" spans="2:3" x14ac:dyDescent="0.35">
      <c r="B19" s="2" t="s">
        <v>4177</v>
      </c>
      <c r="C19" s="4">
        <v>3146</v>
      </c>
    </row>
    <row r="20" spans="2:3" x14ac:dyDescent="0.35">
      <c r="B20" s="2" t="s">
        <v>4176</v>
      </c>
      <c r="C20" s="4">
        <v>79407514.599999994</v>
      </c>
    </row>
  </sheetData>
  <pageMargins left="0.7" right="0.7" top="0.75" bottom="0.75" header="0.3" footer="0.3"/>
  <drawing r:id="rId2"/>
  <extLst>
    <ext xmlns:x14="http://schemas.microsoft.com/office/spreadsheetml/2009/9/main" uri="{05C60535-1F16-4fd2-B633-F4F36F0B64E0}">
      <x14:sparklineGroups xmlns:xm="http://schemas.microsoft.com/office/excel/2006/main">
        <x14:sparklineGroup type="column" displayEmptyCellsAs="gap" xr2:uid="{182B95F6-A5A5-4311-AF50-D9085B437849}">
          <x14:colorSeries rgb="FF323232"/>
          <x14:colorNegative rgb="FFD00000"/>
          <x14:colorAxis rgb="FF000000"/>
          <x14:colorMarkers rgb="FFD00000"/>
          <x14:colorFirst rgb="FFD00000"/>
          <x14:colorLast rgb="FFD00000"/>
          <x14:colorHigh rgb="FFD00000"/>
          <x14:colorLow rgb="FFD00000"/>
          <x14:sparklines>
            <x14:sparkline>
              <xm:f>Product_Performance!B4:B4</xm:f>
              <xm:sqref>F5</xm:sqref>
            </x14:sparkline>
          </x14:sparklines>
        </x14:sparklineGroup>
      </x14:sparklineGroup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F46D6-16B3-4C13-8690-3CF26C7E23D8}">
  <dimension ref="B2:D15"/>
  <sheetViews>
    <sheetView workbookViewId="0">
      <selection activeCell="K9" sqref="K9"/>
    </sheetView>
  </sheetViews>
  <sheetFormatPr defaultRowHeight="14.5" x14ac:dyDescent="0.35"/>
  <cols>
    <col min="2" max="2" width="12.36328125" bestFit="1" customWidth="1"/>
    <col min="3" max="4" width="19.7265625" bestFit="1" customWidth="1"/>
    <col min="5" max="5" width="13.36328125" bestFit="1" customWidth="1"/>
    <col min="6" max="6" width="13.08984375" bestFit="1" customWidth="1"/>
    <col min="7" max="7" width="13.1796875" bestFit="1" customWidth="1"/>
    <col min="8" max="8" width="12.453125" bestFit="1" customWidth="1"/>
    <col min="9" max="9" width="12.90625" bestFit="1" customWidth="1"/>
    <col min="10" max="10" width="13.1796875" bestFit="1" customWidth="1"/>
    <col min="11" max="11" width="12.7265625" bestFit="1" customWidth="1"/>
    <col min="12" max="12" width="13.08984375" bestFit="1" customWidth="1"/>
    <col min="13" max="13" width="12.54296875" bestFit="1" customWidth="1"/>
    <col min="14" max="14" width="12.6328125" bestFit="1" customWidth="1"/>
    <col min="15" max="15" width="12.54296875" bestFit="1" customWidth="1"/>
    <col min="16" max="17" width="12.6328125" bestFit="1" customWidth="1"/>
    <col min="18" max="18" width="13" bestFit="1" customWidth="1"/>
    <col min="19" max="19" width="12.6328125" bestFit="1" customWidth="1"/>
    <col min="20" max="20" width="13" bestFit="1" customWidth="1"/>
    <col min="21" max="21" width="12.6328125" bestFit="1" customWidth="1"/>
    <col min="22" max="22" width="13.1796875" bestFit="1" customWidth="1"/>
    <col min="23" max="24" width="12.453125" bestFit="1" customWidth="1"/>
    <col min="25" max="25" width="13" bestFit="1" customWidth="1"/>
    <col min="26" max="26" width="12.90625" bestFit="1" customWidth="1"/>
    <col min="27" max="27" width="12.6328125" bestFit="1" customWidth="1"/>
    <col min="28" max="28" width="12.54296875" bestFit="1" customWidth="1"/>
    <col min="29" max="29" width="12.90625" bestFit="1" customWidth="1"/>
    <col min="30" max="30" width="12.7265625" bestFit="1" customWidth="1"/>
    <col min="31" max="31" width="13.1796875" bestFit="1" customWidth="1"/>
    <col min="32" max="32" width="12.7265625" bestFit="1" customWidth="1"/>
    <col min="33" max="33" width="13" bestFit="1" customWidth="1"/>
    <col min="34" max="35" width="12.90625" bestFit="1" customWidth="1"/>
    <col min="36" max="36" width="12.6328125" bestFit="1" customWidth="1"/>
    <col min="37" max="37" width="12.90625" bestFit="1" customWidth="1"/>
    <col min="38" max="38" width="12.54296875" bestFit="1" customWidth="1"/>
    <col min="39" max="39" width="12.90625" bestFit="1" customWidth="1"/>
    <col min="40" max="40" width="13" bestFit="1" customWidth="1"/>
    <col min="41" max="41" width="13.1796875" bestFit="1" customWidth="1"/>
    <col min="42" max="43" width="12.6328125" bestFit="1" customWidth="1"/>
    <col min="44" max="44" width="12.453125" bestFit="1" customWidth="1"/>
    <col min="45" max="45" width="13.26953125" bestFit="1" customWidth="1"/>
    <col min="46" max="46" width="13" bestFit="1" customWidth="1"/>
    <col min="47" max="47" width="12.7265625" bestFit="1" customWidth="1"/>
    <col min="48" max="48" width="12.90625" bestFit="1" customWidth="1"/>
    <col min="49" max="49" width="12.54296875" bestFit="1" customWidth="1"/>
    <col min="50" max="51" width="12.7265625" bestFit="1" customWidth="1"/>
    <col min="52" max="52" width="13.08984375" bestFit="1" customWidth="1"/>
    <col min="53" max="53" width="12.7265625" bestFit="1" customWidth="1"/>
    <col min="54" max="54" width="13.453125" bestFit="1" customWidth="1"/>
    <col min="55" max="55" width="12.6328125" bestFit="1" customWidth="1"/>
    <col min="56" max="56" width="12.54296875" bestFit="1" customWidth="1"/>
    <col min="57" max="57" width="12.90625" bestFit="1" customWidth="1"/>
    <col min="58" max="58" width="12.453125" bestFit="1" customWidth="1"/>
    <col min="59" max="59" width="12.6328125" bestFit="1" customWidth="1"/>
    <col min="60" max="60" width="12.90625" bestFit="1" customWidth="1"/>
    <col min="61" max="61" width="13.36328125" bestFit="1" customWidth="1"/>
    <col min="62" max="62" width="12.6328125" bestFit="1" customWidth="1"/>
    <col min="63" max="63" width="12.453125" bestFit="1" customWidth="1"/>
    <col min="64" max="64" width="12.6328125" bestFit="1" customWidth="1"/>
    <col min="65" max="65" width="12.54296875" bestFit="1" customWidth="1"/>
    <col min="66" max="66" width="12.90625" bestFit="1" customWidth="1"/>
    <col min="67" max="67" width="12.36328125" bestFit="1" customWidth="1"/>
    <col min="68" max="68" width="12.7265625" bestFit="1" customWidth="1"/>
    <col min="69" max="69" width="12.90625" bestFit="1" customWidth="1"/>
    <col min="70" max="70" width="13.26953125" bestFit="1" customWidth="1"/>
    <col min="71" max="71" width="12.7265625" bestFit="1" customWidth="1"/>
    <col min="72" max="72" width="13.26953125" bestFit="1" customWidth="1"/>
    <col min="73" max="73" width="13.54296875" bestFit="1" customWidth="1"/>
    <col min="74" max="74" width="13.08984375" bestFit="1" customWidth="1"/>
    <col min="75" max="75" width="13.26953125" bestFit="1" customWidth="1"/>
    <col min="76" max="76" width="13.36328125" bestFit="1" customWidth="1"/>
    <col min="77" max="77" width="13.26953125" bestFit="1" customWidth="1"/>
    <col min="78" max="80" width="12.7265625" bestFit="1" customWidth="1"/>
    <col min="81" max="81" width="13.08984375" bestFit="1" customWidth="1"/>
    <col min="82" max="82" width="13" bestFit="1" customWidth="1"/>
    <col min="83" max="83" width="12.90625" bestFit="1" customWidth="1"/>
    <col min="84" max="84" width="13.08984375" bestFit="1" customWidth="1"/>
    <col min="85" max="85" width="13" bestFit="1" customWidth="1"/>
    <col min="86" max="86" width="12.7265625" bestFit="1" customWidth="1"/>
    <col min="87" max="87" width="13" bestFit="1" customWidth="1"/>
    <col min="88" max="88" width="12.453125" bestFit="1" customWidth="1"/>
    <col min="89" max="90" width="13.08984375" bestFit="1" customWidth="1"/>
    <col min="91" max="91" width="13" bestFit="1" customWidth="1"/>
    <col min="92" max="92" width="13.08984375" bestFit="1" customWidth="1"/>
    <col min="93" max="94" width="12.7265625" bestFit="1" customWidth="1"/>
    <col min="95" max="96" width="13" bestFit="1" customWidth="1"/>
    <col min="97" max="97" width="13.08984375" bestFit="1" customWidth="1"/>
    <col min="98" max="98" width="12.90625" bestFit="1" customWidth="1"/>
    <col min="99" max="100" width="13" bestFit="1" customWidth="1"/>
    <col min="101" max="101" width="13.26953125" bestFit="1" customWidth="1"/>
    <col min="102" max="102" width="13.6328125" bestFit="1" customWidth="1"/>
    <col min="103" max="103" width="12.90625" bestFit="1" customWidth="1"/>
    <col min="104" max="104" width="12.6328125" bestFit="1" customWidth="1"/>
    <col min="105" max="105" width="12.7265625" bestFit="1" customWidth="1"/>
    <col min="106" max="106" width="12.54296875" bestFit="1" customWidth="1"/>
    <col min="107" max="107" width="12.6328125" bestFit="1" customWidth="1"/>
    <col min="108" max="108" width="12.36328125" bestFit="1" customWidth="1"/>
    <col min="109" max="109" width="12.6328125" bestFit="1" customWidth="1"/>
    <col min="110" max="110" width="13.26953125" bestFit="1" customWidth="1"/>
    <col min="111" max="111" width="12.36328125" bestFit="1" customWidth="1"/>
    <col min="112" max="114" width="12.7265625" bestFit="1" customWidth="1"/>
    <col min="115" max="115" width="12.36328125" bestFit="1" customWidth="1"/>
    <col min="116" max="116" width="13.08984375" bestFit="1" customWidth="1"/>
    <col min="117" max="117" width="12.54296875" bestFit="1" customWidth="1"/>
    <col min="118" max="118" width="12.90625" bestFit="1" customWidth="1"/>
    <col min="119" max="119" width="12.7265625" bestFit="1" customWidth="1"/>
    <col min="120" max="120" width="12.6328125" bestFit="1" customWidth="1"/>
    <col min="121" max="121" width="13.08984375" bestFit="1" customWidth="1"/>
    <col min="122" max="124" width="12.6328125" bestFit="1" customWidth="1"/>
    <col min="125" max="125" width="12.7265625" bestFit="1" customWidth="1"/>
    <col min="126" max="126" width="13" bestFit="1" customWidth="1"/>
    <col min="127" max="127" width="12.90625" bestFit="1" customWidth="1"/>
    <col min="128" max="129" width="12.7265625" bestFit="1" customWidth="1"/>
    <col min="130" max="130" width="12.54296875" bestFit="1" customWidth="1"/>
    <col min="131" max="131" width="12.6328125" bestFit="1" customWidth="1"/>
    <col min="132" max="132" width="12.453125" bestFit="1" customWidth="1"/>
    <col min="133" max="133" width="12.90625" bestFit="1" customWidth="1"/>
    <col min="134" max="134" width="13" bestFit="1" customWidth="1"/>
    <col min="135" max="135" width="12.7265625" bestFit="1" customWidth="1"/>
    <col min="136" max="136" width="12.54296875" bestFit="1" customWidth="1"/>
    <col min="137" max="137" width="12.7265625" bestFit="1" customWidth="1"/>
    <col min="138" max="139" width="12.90625" bestFit="1" customWidth="1"/>
    <col min="140" max="142" width="12.7265625" bestFit="1" customWidth="1"/>
    <col min="143" max="145" width="12.90625" bestFit="1" customWidth="1"/>
    <col min="146" max="146" width="12.7265625" bestFit="1" customWidth="1"/>
    <col min="147" max="147" width="12.54296875" bestFit="1" customWidth="1"/>
    <col min="148" max="148" width="12.7265625" bestFit="1" customWidth="1"/>
    <col min="149" max="149" width="12.6328125" bestFit="1" customWidth="1"/>
    <col min="150" max="150" width="13.08984375" bestFit="1" customWidth="1"/>
    <col min="151" max="151" width="12.90625" bestFit="1" customWidth="1"/>
    <col min="152" max="152" width="12.453125" bestFit="1" customWidth="1"/>
    <col min="153" max="153" width="12.54296875" bestFit="1" customWidth="1"/>
    <col min="154" max="154" width="13" bestFit="1" customWidth="1"/>
    <col min="155" max="155" width="12.90625" bestFit="1" customWidth="1"/>
    <col min="156" max="156" width="13.08984375" bestFit="1" customWidth="1"/>
    <col min="157" max="157" width="12.54296875" bestFit="1" customWidth="1"/>
    <col min="158" max="158" width="12.6328125" bestFit="1" customWidth="1"/>
    <col min="159" max="159" width="12.54296875" bestFit="1" customWidth="1"/>
    <col min="160" max="160" width="13" bestFit="1" customWidth="1"/>
    <col min="161" max="162" width="12.7265625" bestFit="1" customWidth="1"/>
    <col min="163" max="163" width="13.1796875" bestFit="1" customWidth="1"/>
    <col min="164" max="164" width="13.08984375" bestFit="1" customWidth="1"/>
    <col min="165" max="165" width="12.54296875" bestFit="1" customWidth="1"/>
    <col min="166" max="166" width="12.90625" bestFit="1" customWidth="1"/>
    <col min="167" max="168" width="12.7265625" bestFit="1" customWidth="1"/>
    <col min="169" max="169" width="12.54296875" bestFit="1" customWidth="1"/>
    <col min="170" max="170" width="12.6328125" bestFit="1" customWidth="1"/>
    <col min="171" max="171" width="13.08984375" bestFit="1" customWidth="1"/>
    <col min="172" max="172" width="12.54296875" bestFit="1" customWidth="1"/>
    <col min="173" max="173" width="13" bestFit="1" customWidth="1"/>
    <col min="174" max="174" width="12.453125" bestFit="1" customWidth="1"/>
    <col min="175" max="175" width="13.26953125" bestFit="1" customWidth="1"/>
    <col min="176" max="176" width="12.453125" bestFit="1" customWidth="1"/>
    <col min="177" max="177" width="12.54296875" bestFit="1" customWidth="1"/>
    <col min="178" max="178" width="12.6328125" bestFit="1" customWidth="1"/>
    <col min="179" max="179" width="12.7265625" bestFit="1" customWidth="1"/>
    <col min="180" max="180" width="12.453125" bestFit="1" customWidth="1"/>
    <col min="181" max="181" width="12.7265625" bestFit="1" customWidth="1"/>
    <col min="182" max="182" width="13.08984375" bestFit="1" customWidth="1"/>
    <col min="183" max="183" width="13" bestFit="1" customWidth="1"/>
    <col min="184" max="184" width="12.54296875" bestFit="1" customWidth="1"/>
    <col min="185" max="186" width="12.90625" bestFit="1" customWidth="1"/>
    <col min="187" max="187" width="12.54296875" bestFit="1" customWidth="1"/>
    <col min="188" max="188" width="12.453125" bestFit="1" customWidth="1"/>
    <col min="189" max="189" width="13.08984375" bestFit="1" customWidth="1"/>
    <col min="190" max="190" width="12.90625" bestFit="1" customWidth="1"/>
    <col min="191" max="192" width="13.08984375" bestFit="1" customWidth="1"/>
    <col min="193" max="193" width="12.7265625" bestFit="1" customWidth="1"/>
    <col min="194" max="194" width="12.54296875" bestFit="1" customWidth="1"/>
    <col min="195" max="195" width="12.90625" bestFit="1" customWidth="1"/>
    <col min="196" max="196" width="12.54296875" bestFit="1" customWidth="1"/>
    <col min="197" max="197" width="12.7265625" bestFit="1" customWidth="1"/>
    <col min="198" max="198" width="12.6328125" bestFit="1" customWidth="1"/>
    <col min="199" max="199" width="13" bestFit="1" customWidth="1"/>
    <col min="200" max="201" width="12.7265625" bestFit="1" customWidth="1"/>
    <col min="202" max="202" width="12.90625" bestFit="1" customWidth="1"/>
    <col min="203" max="203" width="12.7265625" bestFit="1" customWidth="1"/>
    <col min="204" max="204" width="12.54296875" bestFit="1" customWidth="1"/>
    <col min="205" max="205" width="12.6328125" bestFit="1" customWidth="1"/>
    <col min="206" max="206" width="12.453125" bestFit="1" customWidth="1"/>
    <col min="207" max="209" width="12.54296875" bestFit="1" customWidth="1"/>
    <col min="210" max="210" width="13.36328125" bestFit="1" customWidth="1"/>
    <col min="211" max="211" width="12.6328125" bestFit="1" customWidth="1"/>
    <col min="212" max="212" width="13" bestFit="1" customWidth="1"/>
    <col min="213" max="213" width="13.1796875" bestFit="1" customWidth="1"/>
    <col min="214" max="214" width="13.08984375" bestFit="1" customWidth="1"/>
    <col min="215" max="215" width="13" bestFit="1" customWidth="1"/>
    <col min="216" max="216" width="12.54296875" bestFit="1" customWidth="1"/>
    <col min="217" max="217" width="13.08984375" bestFit="1" customWidth="1"/>
    <col min="218" max="218" width="13.54296875" bestFit="1" customWidth="1"/>
    <col min="219" max="219" width="12.90625" bestFit="1" customWidth="1"/>
    <col min="220" max="220" width="12.6328125" bestFit="1" customWidth="1"/>
    <col min="221" max="221" width="12.90625" bestFit="1" customWidth="1"/>
    <col min="222" max="222" width="12.6328125" bestFit="1" customWidth="1"/>
    <col min="223" max="223" width="13.1796875" bestFit="1" customWidth="1"/>
    <col min="224" max="224" width="13" bestFit="1" customWidth="1"/>
    <col min="225" max="225" width="13.08984375" bestFit="1" customWidth="1"/>
    <col min="226" max="226" width="13" bestFit="1" customWidth="1"/>
    <col min="227" max="227" width="12.7265625" bestFit="1" customWidth="1"/>
    <col min="228" max="228" width="12.90625" bestFit="1" customWidth="1"/>
    <col min="229" max="229" width="13.36328125" bestFit="1" customWidth="1"/>
    <col min="230" max="230" width="12.90625" bestFit="1" customWidth="1"/>
    <col min="231" max="231" width="13.08984375" bestFit="1" customWidth="1"/>
    <col min="232" max="232" width="12.7265625" bestFit="1" customWidth="1"/>
    <col min="233" max="233" width="12.54296875" bestFit="1" customWidth="1"/>
    <col min="234" max="234" width="13.1796875" bestFit="1" customWidth="1"/>
    <col min="235" max="235" width="12.6328125" bestFit="1" customWidth="1"/>
    <col min="236" max="237" width="13.26953125" bestFit="1" customWidth="1"/>
    <col min="238" max="239" width="13.1796875" bestFit="1" customWidth="1"/>
    <col min="240" max="240" width="12.7265625" bestFit="1" customWidth="1"/>
    <col min="241" max="241" width="13.1796875" bestFit="1" customWidth="1"/>
    <col min="242" max="242" width="13.26953125" bestFit="1" customWidth="1"/>
    <col min="243" max="243" width="12.54296875" bestFit="1" customWidth="1"/>
    <col min="244" max="244" width="12.90625" bestFit="1" customWidth="1"/>
    <col min="245" max="245" width="12.6328125" bestFit="1" customWidth="1"/>
    <col min="246" max="246" width="13.08984375" bestFit="1" customWidth="1"/>
    <col min="247" max="247" width="12.7265625" bestFit="1" customWidth="1"/>
    <col min="248" max="248" width="12.6328125" bestFit="1" customWidth="1"/>
    <col min="249" max="249" width="12.90625" bestFit="1" customWidth="1"/>
    <col min="250" max="250" width="12.7265625" bestFit="1" customWidth="1"/>
    <col min="251" max="251" width="13" bestFit="1" customWidth="1"/>
    <col min="252" max="252" width="12.90625" bestFit="1" customWidth="1"/>
    <col min="253" max="253" width="12.453125" bestFit="1" customWidth="1"/>
    <col min="254" max="254" width="13" bestFit="1" customWidth="1"/>
    <col min="255" max="255" width="12.453125" bestFit="1" customWidth="1"/>
    <col min="256" max="256" width="12.6328125" bestFit="1" customWidth="1"/>
    <col min="257" max="257" width="12.453125" bestFit="1" customWidth="1"/>
    <col min="258" max="258" width="13.08984375" bestFit="1" customWidth="1"/>
    <col min="259" max="259" width="12.453125" bestFit="1" customWidth="1"/>
    <col min="260" max="260" width="12.54296875" bestFit="1" customWidth="1"/>
    <col min="261" max="261" width="12.90625" bestFit="1" customWidth="1"/>
    <col min="262" max="262" width="12.54296875" bestFit="1" customWidth="1"/>
    <col min="263" max="264" width="12.7265625" bestFit="1" customWidth="1"/>
    <col min="265" max="265" width="12.54296875" bestFit="1" customWidth="1"/>
    <col min="266" max="266" width="12.90625" bestFit="1" customWidth="1"/>
    <col min="267" max="267" width="12.7265625" bestFit="1" customWidth="1"/>
    <col min="268" max="269" width="13" bestFit="1" customWidth="1"/>
    <col min="270" max="270" width="12.90625" bestFit="1" customWidth="1"/>
    <col min="271" max="271" width="13.26953125" bestFit="1" customWidth="1"/>
    <col min="272" max="272" width="12.7265625" bestFit="1" customWidth="1"/>
    <col min="273" max="273" width="12.90625" bestFit="1" customWidth="1"/>
    <col min="274" max="274" width="12.6328125" bestFit="1" customWidth="1"/>
    <col min="275" max="278" width="12.7265625" bestFit="1" customWidth="1"/>
    <col min="279" max="279" width="12.6328125" bestFit="1" customWidth="1"/>
    <col min="280" max="280" width="12.90625" bestFit="1" customWidth="1"/>
    <col min="281" max="281" width="12.453125" bestFit="1" customWidth="1"/>
    <col min="282" max="282" width="13" bestFit="1" customWidth="1"/>
    <col min="283" max="284" width="12.7265625" bestFit="1" customWidth="1"/>
    <col min="285" max="285" width="13.26953125" bestFit="1" customWidth="1"/>
    <col min="286" max="286" width="12.6328125" bestFit="1" customWidth="1"/>
    <col min="287" max="288" width="12.54296875" bestFit="1" customWidth="1"/>
    <col min="289" max="289" width="12.7265625" bestFit="1" customWidth="1"/>
    <col min="290" max="290" width="12.54296875" bestFit="1" customWidth="1"/>
    <col min="291" max="292" width="12.6328125" bestFit="1" customWidth="1"/>
    <col min="293" max="293" width="13.08984375" bestFit="1" customWidth="1"/>
    <col min="294" max="294" width="12.36328125" bestFit="1" customWidth="1"/>
    <col min="295" max="295" width="12.54296875" bestFit="1" customWidth="1"/>
    <col min="296" max="296" width="12.6328125" bestFit="1" customWidth="1"/>
    <col min="297" max="297" width="12.90625" bestFit="1" customWidth="1"/>
    <col min="298" max="298" width="12.54296875" bestFit="1" customWidth="1"/>
    <col min="299" max="299" width="12.90625" bestFit="1" customWidth="1"/>
    <col min="300" max="300" width="12.6328125" bestFit="1" customWidth="1"/>
    <col min="301" max="301" width="13.08984375" bestFit="1" customWidth="1"/>
    <col min="302" max="302" width="12.6328125" bestFit="1" customWidth="1"/>
    <col min="303" max="304" width="12.7265625" bestFit="1" customWidth="1"/>
    <col min="305" max="305" width="12.54296875" bestFit="1" customWidth="1"/>
    <col min="306" max="306" width="12.7265625" bestFit="1" customWidth="1"/>
    <col min="307" max="307" width="12.6328125" bestFit="1" customWidth="1"/>
    <col min="308" max="308" width="12.90625" bestFit="1" customWidth="1"/>
    <col min="309" max="309" width="13.08984375" bestFit="1" customWidth="1"/>
    <col min="310" max="310" width="12.90625" bestFit="1" customWidth="1"/>
    <col min="311" max="312" width="13" bestFit="1" customWidth="1"/>
    <col min="313" max="313" width="13.08984375" bestFit="1" customWidth="1"/>
    <col min="314" max="314" width="12.7265625" bestFit="1" customWidth="1"/>
    <col min="315" max="315" width="12.6328125" bestFit="1" customWidth="1"/>
    <col min="316" max="316" width="12.90625" bestFit="1" customWidth="1"/>
    <col min="317" max="317" width="13.26953125" bestFit="1" customWidth="1"/>
    <col min="318" max="318" width="12.7265625" bestFit="1" customWidth="1"/>
    <col min="319" max="319" width="12.54296875" bestFit="1" customWidth="1"/>
    <col min="320" max="320" width="12.90625" bestFit="1" customWidth="1"/>
    <col min="321" max="321" width="13.1796875" bestFit="1" customWidth="1"/>
    <col min="322" max="322" width="12.54296875" bestFit="1" customWidth="1"/>
    <col min="323" max="323" width="12.90625" bestFit="1" customWidth="1"/>
    <col min="324" max="324" width="12.54296875" bestFit="1" customWidth="1"/>
    <col min="325" max="326" width="12.7265625" bestFit="1" customWidth="1"/>
    <col min="327" max="327" width="13.1796875" bestFit="1" customWidth="1"/>
    <col min="328" max="328" width="12.6328125" bestFit="1" customWidth="1"/>
    <col min="329" max="329" width="13.1796875" bestFit="1" customWidth="1"/>
    <col min="330" max="330" width="13.08984375" bestFit="1" customWidth="1"/>
    <col min="331" max="331" width="12.36328125" bestFit="1" customWidth="1"/>
    <col min="332" max="332" width="13" bestFit="1" customWidth="1"/>
    <col min="333" max="334" width="12.54296875" bestFit="1" customWidth="1"/>
    <col min="335" max="335" width="12.90625" bestFit="1" customWidth="1"/>
    <col min="336" max="336" width="12.7265625" bestFit="1" customWidth="1"/>
    <col min="337" max="337" width="13.54296875" bestFit="1" customWidth="1"/>
    <col min="338" max="338" width="12.54296875" bestFit="1" customWidth="1"/>
    <col min="339" max="339" width="13.453125" bestFit="1" customWidth="1"/>
    <col min="340" max="340" width="12.90625" bestFit="1" customWidth="1"/>
    <col min="341" max="341" width="13.26953125" bestFit="1" customWidth="1"/>
    <col min="342" max="342" width="13" bestFit="1" customWidth="1"/>
    <col min="343" max="343" width="13.1796875" bestFit="1" customWidth="1"/>
    <col min="344" max="344" width="13.453125" bestFit="1" customWidth="1"/>
    <col min="345" max="345" width="13.08984375" bestFit="1" customWidth="1"/>
    <col min="346" max="346" width="13" bestFit="1" customWidth="1"/>
    <col min="347" max="347" width="13.08984375" bestFit="1" customWidth="1"/>
    <col min="348" max="348" width="12.90625" bestFit="1" customWidth="1"/>
    <col min="349" max="349" width="13" bestFit="1" customWidth="1"/>
    <col min="350" max="350" width="12.90625" bestFit="1" customWidth="1"/>
    <col min="351" max="351" width="12.6328125" bestFit="1" customWidth="1"/>
    <col min="352" max="352" width="13.26953125" bestFit="1" customWidth="1"/>
    <col min="353" max="353" width="12.7265625" bestFit="1" customWidth="1"/>
    <col min="354" max="355" width="12.90625" bestFit="1" customWidth="1"/>
    <col min="356" max="356" width="13.26953125" bestFit="1" customWidth="1"/>
    <col min="357" max="357" width="12.90625" bestFit="1" customWidth="1"/>
    <col min="358" max="358" width="13.26953125" bestFit="1" customWidth="1"/>
    <col min="359" max="360" width="13.1796875" bestFit="1" customWidth="1"/>
    <col min="361" max="361" width="13.08984375" bestFit="1" customWidth="1"/>
    <col min="362" max="362" width="12.90625" bestFit="1" customWidth="1"/>
    <col min="363" max="363" width="13" bestFit="1" customWidth="1"/>
    <col min="364" max="365" width="13.26953125" bestFit="1" customWidth="1"/>
    <col min="366" max="366" width="12.453125" bestFit="1" customWidth="1"/>
    <col min="367" max="367" width="12.54296875" bestFit="1" customWidth="1"/>
    <col min="368" max="368" width="13" bestFit="1" customWidth="1"/>
    <col min="369" max="369" width="13.1796875" bestFit="1" customWidth="1"/>
    <col min="370" max="370" width="12.90625" bestFit="1" customWidth="1"/>
    <col min="371" max="371" width="12.6328125" bestFit="1" customWidth="1"/>
    <col min="372" max="372" width="12.90625" bestFit="1" customWidth="1"/>
    <col min="373" max="374" width="12.7265625" bestFit="1" customWidth="1"/>
    <col min="375" max="375" width="12.26953125" bestFit="1" customWidth="1"/>
    <col min="376" max="376" width="12.453125" bestFit="1" customWidth="1"/>
    <col min="377" max="377" width="13" bestFit="1" customWidth="1"/>
    <col min="378" max="378" width="12.7265625" bestFit="1" customWidth="1"/>
    <col min="379" max="379" width="12.453125" bestFit="1" customWidth="1"/>
    <col min="380" max="382" width="12.54296875" bestFit="1" customWidth="1"/>
    <col min="383" max="383" width="12.453125" bestFit="1" customWidth="1"/>
    <col min="384" max="384" width="12.54296875" bestFit="1" customWidth="1"/>
    <col min="385" max="385" width="13" bestFit="1" customWidth="1"/>
    <col min="386" max="387" width="12.90625" bestFit="1" customWidth="1"/>
    <col min="388" max="389" width="12.6328125" bestFit="1" customWidth="1"/>
    <col min="390" max="390" width="13.26953125" bestFit="1" customWidth="1"/>
    <col min="391" max="391" width="12.54296875" bestFit="1" customWidth="1"/>
    <col min="392" max="392" width="12.90625" bestFit="1" customWidth="1"/>
    <col min="393" max="393" width="13" bestFit="1" customWidth="1"/>
    <col min="394" max="394" width="13.26953125" bestFit="1" customWidth="1"/>
    <col min="395" max="395" width="12.90625" bestFit="1" customWidth="1"/>
    <col min="396" max="396" width="12.453125" bestFit="1" customWidth="1"/>
    <col min="397" max="397" width="12.6328125" bestFit="1" customWidth="1"/>
    <col min="398" max="398" width="12.90625" bestFit="1" customWidth="1"/>
    <col min="399" max="399" width="12.6328125" bestFit="1" customWidth="1"/>
    <col min="400" max="401" width="12.90625" bestFit="1" customWidth="1"/>
    <col min="402" max="405" width="12.6328125" bestFit="1" customWidth="1"/>
    <col min="406" max="406" width="13.08984375" bestFit="1" customWidth="1"/>
    <col min="407" max="407" width="12.7265625" bestFit="1" customWidth="1"/>
    <col min="408" max="408" width="12.90625" bestFit="1" customWidth="1"/>
    <col min="409" max="409" width="13.08984375" bestFit="1" customWidth="1"/>
    <col min="410" max="410" width="12.7265625" bestFit="1" customWidth="1"/>
    <col min="411" max="411" width="12.6328125" bestFit="1" customWidth="1"/>
    <col min="412" max="412" width="12.7265625" bestFit="1" customWidth="1"/>
    <col min="413" max="413" width="12.453125" bestFit="1" customWidth="1"/>
    <col min="414" max="414" width="12.7265625" bestFit="1" customWidth="1"/>
    <col min="415" max="415" width="12.54296875" bestFit="1" customWidth="1"/>
    <col min="416" max="416" width="13" bestFit="1" customWidth="1"/>
    <col min="417" max="417" width="12.6328125" bestFit="1" customWidth="1"/>
    <col min="418" max="418" width="12.54296875" bestFit="1" customWidth="1"/>
    <col min="419" max="421" width="12.6328125" bestFit="1" customWidth="1"/>
    <col min="422" max="422" width="13.36328125" bestFit="1" customWidth="1"/>
    <col min="423" max="423" width="13.26953125" bestFit="1" customWidth="1"/>
    <col min="424" max="425" width="12.54296875" bestFit="1" customWidth="1"/>
    <col min="426" max="426" width="12.90625" bestFit="1" customWidth="1"/>
    <col min="427" max="428" width="12.54296875" bestFit="1" customWidth="1"/>
    <col min="429" max="429" width="12.6328125" bestFit="1" customWidth="1"/>
    <col min="430" max="430" width="13" bestFit="1" customWidth="1"/>
    <col min="431" max="431" width="12.54296875" bestFit="1" customWidth="1"/>
    <col min="432" max="432" width="12.6328125" bestFit="1" customWidth="1"/>
    <col min="433" max="433" width="12.54296875" bestFit="1" customWidth="1"/>
    <col min="434" max="434" width="12.36328125" bestFit="1" customWidth="1"/>
    <col min="435" max="435" width="12.7265625" bestFit="1" customWidth="1"/>
    <col min="436" max="436" width="12.54296875" bestFit="1" customWidth="1"/>
    <col min="437" max="438" width="13.26953125" bestFit="1" customWidth="1"/>
    <col min="439" max="439" width="12.7265625" bestFit="1" customWidth="1"/>
    <col min="440" max="440" width="12.54296875" bestFit="1" customWidth="1"/>
    <col min="441" max="441" width="12.90625" bestFit="1" customWidth="1"/>
    <col min="442" max="442" width="13.08984375" bestFit="1" customWidth="1"/>
    <col min="443" max="443" width="12.6328125" bestFit="1" customWidth="1"/>
    <col min="444" max="444" width="13.453125" bestFit="1" customWidth="1"/>
    <col min="445" max="445" width="12.7265625" bestFit="1" customWidth="1"/>
    <col min="446" max="446" width="13" bestFit="1" customWidth="1"/>
    <col min="447" max="447" width="12.36328125" bestFit="1" customWidth="1"/>
    <col min="448" max="449" width="13.08984375" bestFit="1" customWidth="1"/>
    <col min="450" max="450" width="12.7265625" bestFit="1" customWidth="1"/>
    <col min="451" max="451" width="13.08984375" bestFit="1" customWidth="1"/>
    <col min="452" max="452" width="12.6328125" bestFit="1" customWidth="1"/>
    <col min="453" max="453" width="12.90625" bestFit="1" customWidth="1"/>
    <col min="454" max="454" width="13.26953125" bestFit="1" customWidth="1"/>
    <col min="455" max="455" width="13" bestFit="1" customWidth="1"/>
    <col min="456" max="456" width="13.08984375" bestFit="1" customWidth="1"/>
    <col min="457" max="457" width="13.453125" bestFit="1" customWidth="1"/>
    <col min="458" max="458" width="13.08984375" bestFit="1" customWidth="1"/>
    <col min="459" max="459" width="13.453125" bestFit="1" customWidth="1"/>
    <col min="460" max="460" width="12.7265625" bestFit="1" customWidth="1"/>
    <col min="461" max="461" width="13" bestFit="1" customWidth="1"/>
    <col min="462" max="462" width="12.7265625" bestFit="1" customWidth="1"/>
    <col min="463" max="464" width="12.90625" bestFit="1" customWidth="1"/>
    <col min="465" max="465" width="12.6328125" bestFit="1" customWidth="1"/>
    <col min="466" max="466" width="13" bestFit="1" customWidth="1"/>
    <col min="467" max="467" width="12.7265625" bestFit="1" customWidth="1"/>
    <col min="468" max="468" width="13.1796875" bestFit="1" customWidth="1"/>
    <col min="469" max="469" width="13.08984375" bestFit="1" customWidth="1"/>
    <col min="470" max="472" width="13" bestFit="1" customWidth="1"/>
    <col min="473" max="473" width="12.6328125" bestFit="1" customWidth="1"/>
    <col min="474" max="474" width="13.1796875" bestFit="1" customWidth="1"/>
    <col min="475" max="476" width="12.90625" bestFit="1" customWidth="1"/>
    <col min="477" max="477" width="13" bestFit="1" customWidth="1"/>
    <col min="478" max="479" width="13.08984375" bestFit="1" customWidth="1"/>
    <col min="480" max="480" width="13.1796875" bestFit="1" customWidth="1"/>
    <col min="481" max="481" width="13.08984375" bestFit="1" customWidth="1"/>
    <col min="482" max="482" width="13.1796875" bestFit="1" customWidth="1"/>
    <col min="483" max="484" width="12.90625" bestFit="1" customWidth="1"/>
    <col min="485" max="485" width="13.1796875" bestFit="1" customWidth="1"/>
    <col min="486" max="486" width="12.90625" bestFit="1" customWidth="1"/>
    <col min="487" max="487" width="13.36328125" bestFit="1" customWidth="1"/>
    <col min="488" max="489" width="12.7265625" bestFit="1" customWidth="1"/>
    <col min="490" max="490" width="12.6328125" bestFit="1" customWidth="1"/>
    <col min="491" max="491" width="12.54296875" bestFit="1" customWidth="1"/>
    <col min="492" max="492" width="13" bestFit="1" customWidth="1"/>
    <col min="493" max="493" width="12.453125" bestFit="1" customWidth="1"/>
    <col min="494" max="495" width="12.54296875" bestFit="1" customWidth="1"/>
    <col min="496" max="497" width="12.7265625" bestFit="1" customWidth="1"/>
    <col min="498" max="498" width="12.6328125" bestFit="1" customWidth="1"/>
    <col min="499" max="499" width="12.54296875" bestFit="1" customWidth="1"/>
    <col min="500" max="500" width="13.08984375" bestFit="1" customWidth="1"/>
    <col min="501" max="501" width="12.90625" bestFit="1" customWidth="1"/>
    <col min="502" max="502" width="12.453125" bestFit="1" customWidth="1"/>
    <col min="503" max="503" width="13.1796875" bestFit="1" customWidth="1"/>
    <col min="504" max="504" width="12.54296875" bestFit="1" customWidth="1"/>
    <col min="505" max="505" width="13.1796875" bestFit="1" customWidth="1"/>
    <col min="506" max="506" width="12.6328125" bestFit="1" customWidth="1"/>
    <col min="507" max="508" width="12.7265625" bestFit="1" customWidth="1"/>
    <col min="509" max="509" width="12.54296875" bestFit="1" customWidth="1"/>
    <col min="510" max="510" width="13.08984375" bestFit="1" customWidth="1"/>
    <col min="511" max="511" width="12.6328125" bestFit="1" customWidth="1"/>
    <col min="512" max="512" width="13.08984375" bestFit="1" customWidth="1"/>
    <col min="513" max="513" width="12.453125" bestFit="1" customWidth="1"/>
    <col min="514" max="514" width="12.7265625" bestFit="1" customWidth="1"/>
    <col min="515" max="515" width="12.54296875" bestFit="1" customWidth="1"/>
    <col min="516" max="516" width="12.453125" bestFit="1" customWidth="1"/>
    <col min="517" max="517" width="12.6328125" bestFit="1" customWidth="1"/>
    <col min="518" max="518" width="12.453125" bestFit="1" customWidth="1"/>
    <col min="519" max="519" width="13.08984375" bestFit="1" customWidth="1"/>
    <col min="520" max="520" width="12.90625" bestFit="1" customWidth="1"/>
    <col min="521" max="521" width="12.6328125" bestFit="1" customWidth="1"/>
    <col min="522" max="522" width="12.453125" bestFit="1" customWidth="1"/>
    <col min="523" max="523" width="12.6328125" bestFit="1" customWidth="1"/>
    <col min="524" max="524" width="12.54296875" bestFit="1" customWidth="1"/>
    <col min="525" max="525" width="13.1796875" bestFit="1" customWidth="1"/>
    <col min="526" max="527" width="12.54296875" bestFit="1" customWidth="1"/>
    <col min="528" max="528" width="12.7265625" bestFit="1" customWidth="1"/>
    <col min="529" max="529" width="12.54296875" bestFit="1" customWidth="1"/>
    <col min="530" max="530" width="12.6328125" bestFit="1" customWidth="1"/>
    <col min="531" max="531" width="13.26953125" bestFit="1" customWidth="1"/>
    <col min="532" max="533" width="12.6328125" bestFit="1" customWidth="1"/>
    <col min="534" max="534" width="13.08984375" bestFit="1" customWidth="1"/>
    <col min="535" max="535" width="13.1796875" bestFit="1" customWidth="1"/>
    <col min="536" max="536" width="12.7265625" bestFit="1" customWidth="1"/>
    <col min="537" max="537" width="12.54296875" bestFit="1" customWidth="1"/>
    <col min="538" max="538" width="13" bestFit="1" customWidth="1"/>
    <col min="539" max="539" width="12.90625" bestFit="1" customWidth="1"/>
    <col min="540" max="540" width="12.6328125" bestFit="1" customWidth="1"/>
    <col min="541" max="541" width="12.90625" bestFit="1" customWidth="1"/>
    <col min="542" max="542" width="12.7265625" bestFit="1" customWidth="1"/>
    <col min="543" max="543" width="13.08984375" bestFit="1" customWidth="1"/>
    <col min="544" max="544" width="13" bestFit="1" customWidth="1"/>
    <col min="545" max="545" width="12.90625" bestFit="1" customWidth="1"/>
    <col min="546" max="547" width="12.54296875" bestFit="1" customWidth="1"/>
    <col min="548" max="548" width="12.6328125" bestFit="1" customWidth="1"/>
    <col min="549" max="549" width="13.1796875" bestFit="1" customWidth="1"/>
    <col min="550" max="550" width="12.54296875" bestFit="1" customWidth="1"/>
    <col min="551" max="552" width="12.90625" bestFit="1" customWidth="1"/>
    <col min="553" max="553" width="13" bestFit="1" customWidth="1"/>
    <col min="554" max="554" width="12.6328125" bestFit="1" customWidth="1"/>
    <col min="555" max="555" width="13" bestFit="1" customWidth="1"/>
    <col min="556" max="556" width="12.7265625" bestFit="1" customWidth="1"/>
    <col min="557" max="557" width="12.54296875" bestFit="1" customWidth="1"/>
    <col min="558" max="558" width="12.6328125" bestFit="1" customWidth="1"/>
    <col min="559" max="559" width="12.54296875" bestFit="1" customWidth="1"/>
    <col min="560" max="560" width="12.7265625" bestFit="1" customWidth="1"/>
    <col min="561" max="561" width="12.90625" bestFit="1" customWidth="1"/>
    <col min="562" max="562" width="12.6328125" bestFit="1" customWidth="1"/>
    <col min="563" max="563" width="13.36328125" bestFit="1" customWidth="1"/>
    <col min="564" max="564" width="12.90625" bestFit="1" customWidth="1"/>
    <col min="565" max="566" width="13" bestFit="1" customWidth="1"/>
    <col min="567" max="567" width="13.1796875" bestFit="1" customWidth="1"/>
    <col min="568" max="568" width="12.6328125" bestFit="1" customWidth="1"/>
    <col min="569" max="569" width="12.90625" bestFit="1" customWidth="1"/>
    <col min="570" max="570" width="13" bestFit="1" customWidth="1"/>
    <col min="571" max="571" width="12.90625" bestFit="1" customWidth="1"/>
    <col min="572" max="572" width="13" bestFit="1" customWidth="1"/>
    <col min="573" max="573" width="13.1796875" bestFit="1" customWidth="1"/>
    <col min="574" max="574" width="13.08984375" bestFit="1" customWidth="1"/>
    <col min="575" max="575" width="13.1796875" bestFit="1" customWidth="1"/>
    <col min="576" max="576" width="12.90625" bestFit="1" customWidth="1"/>
    <col min="577" max="577" width="13.08984375" bestFit="1" customWidth="1"/>
    <col min="578" max="578" width="13" bestFit="1" customWidth="1"/>
    <col min="579" max="579" width="12.90625" bestFit="1" customWidth="1"/>
    <col min="580" max="580" width="13.36328125" bestFit="1" customWidth="1"/>
    <col min="581" max="581" width="13.54296875" bestFit="1" customWidth="1"/>
    <col min="582" max="582" width="13" bestFit="1" customWidth="1"/>
    <col min="583" max="583" width="12.90625" bestFit="1" customWidth="1"/>
    <col min="584" max="584" width="13" bestFit="1" customWidth="1"/>
    <col min="585" max="585" width="12.6328125" bestFit="1" customWidth="1"/>
    <col min="586" max="586" width="12.7265625" bestFit="1" customWidth="1"/>
    <col min="587" max="587" width="12.90625" bestFit="1" customWidth="1"/>
    <col min="588" max="588" width="13" bestFit="1" customWidth="1"/>
    <col min="589" max="589" width="13.1796875" bestFit="1" customWidth="1"/>
    <col min="590" max="590" width="12.90625" bestFit="1" customWidth="1"/>
    <col min="591" max="591" width="12.6328125" bestFit="1" customWidth="1"/>
    <col min="592" max="592" width="12.7265625" bestFit="1" customWidth="1"/>
    <col min="593" max="594" width="12.90625" bestFit="1" customWidth="1"/>
    <col min="595" max="595" width="13.08984375" bestFit="1" customWidth="1"/>
    <col min="596" max="596" width="13.26953125" bestFit="1" customWidth="1"/>
    <col min="597" max="597" width="13.08984375" bestFit="1" customWidth="1"/>
    <col min="598" max="598" width="12.7265625" bestFit="1" customWidth="1"/>
    <col min="599" max="599" width="13" bestFit="1" customWidth="1"/>
    <col min="600" max="600" width="12.6328125" bestFit="1" customWidth="1"/>
    <col min="601" max="601" width="13.1796875" bestFit="1" customWidth="1"/>
    <col min="602" max="602" width="13.08984375" bestFit="1" customWidth="1"/>
    <col min="603" max="604" width="12.90625" bestFit="1" customWidth="1"/>
    <col min="605" max="605" width="13.26953125" bestFit="1" customWidth="1"/>
    <col min="606" max="606" width="12.7265625" bestFit="1" customWidth="1"/>
    <col min="607" max="607" width="12.90625" bestFit="1" customWidth="1"/>
    <col min="608" max="608" width="13.08984375" bestFit="1" customWidth="1"/>
    <col min="609" max="610" width="13" bestFit="1" customWidth="1"/>
    <col min="611" max="611" width="12.7265625" bestFit="1" customWidth="1"/>
    <col min="612" max="612" width="12.6328125" bestFit="1" customWidth="1"/>
    <col min="613" max="613" width="12.90625" bestFit="1" customWidth="1"/>
    <col min="614" max="614" width="12.7265625" bestFit="1" customWidth="1"/>
    <col min="615" max="615" width="12.54296875" bestFit="1" customWidth="1"/>
    <col min="616" max="616" width="12.7265625" bestFit="1" customWidth="1"/>
    <col min="617" max="618" width="12.6328125" bestFit="1" customWidth="1"/>
    <col min="619" max="619" width="12.7265625" bestFit="1" customWidth="1"/>
    <col min="620" max="621" width="12.54296875" bestFit="1" customWidth="1"/>
    <col min="622" max="622" width="12.453125" bestFit="1" customWidth="1"/>
    <col min="623" max="623" width="12.7265625" bestFit="1" customWidth="1"/>
    <col min="624" max="624" width="13.36328125" bestFit="1" customWidth="1"/>
    <col min="625" max="625" width="12.6328125" bestFit="1" customWidth="1"/>
    <col min="626" max="626" width="12.90625" bestFit="1" customWidth="1"/>
    <col min="627" max="627" width="12.54296875" bestFit="1" customWidth="1"/>
    <col min="628" max="628" width="13.08984375" bestFit="1" customWidth="1"/>
    <col min="629" max="629" width="12.453125" bestFit="1" customWidth="1"/>
    <col min="630" max="630" width="12.7265625" bestFit="1" customWidth="1"/>
    <col min="631" max="631" width="13.1796875" bestFit="1" customWidth="1"/>
    <col min="632" max="632" width="13.08984375" bestFit="1" customWidth="1"/>
    <col min="633" max="633" width="12.7265625" bestFit="1" customWidth="1"/>
    <col min="634" max="634" width="12.6328125" bestFit="1" customWidth="1"/>
    <col min="635" max="635" width="13" bestFit="1" customWidth="1"/>
    <col min="636" max="636" width="12.90625" bestFit="1" customWidth="1"/>
    <col min="637" max="637" width="13.1796875" bestFit="1" customWidth="1"/>
    <col min="638" max="638" width="13" bestFit="1" customWidth="1"/>
    <col min="639" max="640" width="12.7265625" bestFit="1" customWidth="1"/>
    <col min="641" max="641" width="12.6328125" bestFit="1" customWidth="1"/>
    <col min="642" max="642" width="12.7265625" bestFit="1" customWidth="1"/>
    <col min="643" max="644" width="12.6328125" bestFit="1" customWidth="1"/>
    <col min="645" max="645" width="13.1796875" bestFit="1" customWidth="1"/>
    <col min="646" max="646" width="12.6328125" bestFit="1" customWidth="1"/>
    <col min="647" max="648" width="12.54296875" bestFit="1" customWidth="1"/>
    <col min="649" max="649" width="12.6328125" bestFit="1" customWidth="1"/>
    <col min="650" max="650" width="12.7265625" bestFit="1" customWidth="1"/>
    <col min="651" max="651" width="12.54296875" bestFit="1" customWidth="1"/>
    <col min="652" max="652" width="13.08984375" bestFit="1" customWidth="1"/>
    <col min="653" max="653" width="12.6328125" bestFit="1" customWidth="1"/>
    <col min="654" max="655" width="12.7265625" bestFit="1" customWidth="1"/>
    <col min="656" max="656" width="13.08984375" bestFit="1" customWidth="1"/>
    <col min="657" max="657" width="13" bestFit="1" customWidth="1"/>
    <col min="658" max="660" width="12.6328125" bestFit="1" customWidth="1"/>
    <col min="661" max="661" width="12.7265625" bestFit="1" customWidth="1"/>
    <col min="662" max="662" width="13" bestFit="1" customWidth="1"/>
    <col min="663" max="663" width="13.08984375" bestFit="1" customWidth="1"/>
    <col min="664" max="664" width="13" bestFit="1" customWidth="1"/>
    <col min="665" max="665" width="13.08984375" bestFit="1" customWidth="1"/>
    <col min="666" max="666" width="12.54296875" bestFit="1" customWidth="1"/>
    <col min="667" max="667" width="12.7265625" bestFit="1" customWidth="1"/>
    <col min="668" max="668" width="13" bestFit="1" customWidth="1"/>
    <col min="669" max="669" width="13.1796875" bestFit="1" customWidth="1"/>
    <col min="670" max="670" width="13.08984375" bestFit="1" customWidth="1"/>
    <col min="671" max="672" width="12.90625" bestFit="1" customWidth="1"/>
    <col min="673" max="673" width="13.1796875" bestFit="1" customWidth="1"/>
    <col min="674" max="674" width="12.6328125" bestFit="1" customWidth="1"/>
    <col min="675" max="675" width="12.26953125" bestFit="1" customWidth="1"/>
    <col min="676" max="677" width="12.7265625" bestFit="1" customWidth="1"/>
    <col min="678" max="679" width="13.08984375" bestFit="1" customWidth="1"/>
    <col min="680" max="680" width="12.90625" bestFit="1" customWidth="1"/>
    <col min="681" max="681" width="12.7265625" bestFit="1" customWidth="1"/>
    <col min="682" max="682" width="12.6328125" bestFit="1" customWidth="1"/>
    <col min="683" max="683" width="12.54296875" bestFit="1" customWidth="1"/>
    <col min="684" max="684" width="13.08984375" bestFit="1" customWidth="1"/>
    <col min="685" max="685" width="13" bestFit="1" customWidth="1"/>
    <col min="686" max="686" width="13.26953125" bestFit="1" customWidth="1"/>
    <col min="687" max="687" width="12.6328125" bestFit="1" customWidth="1"/>
    <col min="688" max="689" width="12.90625" bestFit="1" customWidth="1"/>
    <col min="690" max="690" width="12.54296875" bestFit="1" customWidth="1"/>
    <col min="691" max="691" width="12.6328125" bestFit="1" customWidth="1"/>
    <col min="692" max="692" width="12.90625" bestFit="1" customWidth="1"/>
    <col min="693" max="693" width="12.7265625" bestFit="1" customWidth="1"/>
    <col min="694" max="694" width="13.08984375" bestFit="1" customWidth="1"/>
    <col min="695" max="695" width="12.7265625" bestFit="1" customWidth="1"/>
    <col min="696" max="696" width="13.26953125" bestFit="1" customWidth="1"/>
    <col min="697" max="697" width="12.90625" bestFit="1" customWidth="1"/>
    <col min="698" max="698" width="13" bestFit="1" customWidth="1"/>
    <col min="699" max="699" width="12.7265625" bestFit="1" customWidth="1"/>
    <col min="700" max="700" width="12.54296875" bestFit="1" customWidth="1"/>
    <col min="701" max="701" width="12.6328125" bestFit="1" customWidth="1"/>
    <col min="702" max="703" width="13.1796875" bestFit="1" customWidth="1"/>
    <col min="704" max="704" width="13.26953125" bestFit="1" customWidth="1"/>
    <col min="705" max="705" width="12.90625" bestFit="1" customWidth="1"/>
    <col min="706" max="707" width="12.7265625" bestFit="1" customWidth="1"/>
    <col min="708" max="708" width="12.6328125" bestFit="1" customWidth="1"/>
    <col min="709" max="710" width="12.7265625" bestFit="1" customWidth="1"/>
    <col min="711" max="711" width="13.26953125" bestFit="1" customWidth="1"/>
    <col min="712" max="712" width="12.7265625" bestFit="1" customWidth="1"/>
    <col min="713" max="713" width="12.90625" bestFit="1" customWidth="1"/>
    <col min="714" max="714" width="12.7265625" bestFit="1" customWidth="1"/>
    <col min="715" max="715" width="12.90625" bestFit="1" customWidth="1"/>
    <col min="716" max="716" width="13.1796875" bestFit="1" customWidth="1"/>
    <col min="717" max="717" width="12.7265625" bestFit="1" customWidth="1"/>
    <col min="718" max="718" width="13.08984375" bestFit="1" customWidth="1"/>
    <col min="719" max="719" width="13.36328125" bestFit="1" customWidth="1"/>
    <col min="720" max="720" width="13.08984375" bestFit="1" customWidth="1"/>
    <col min="721" max="721" width="13.1796875" bestFit="1" customWidth="1"/>
    <col min="722" max="722" width="13.7265625" bestFit="1" customWidth="1"/>
    <col min="723" max="724" width="12.7265625" bestFit="1" customWidth="1"/>
    <col min="725" max="725" width="13" bestFit="1" customWidth="1"/>
    <col min="726" max="726" width="12.6328125" bestFit="1" customWidth="1"/>
    <col min="727" max="727" width="13.26953125" bestFit="1" customWidth="1"/>
    <col min="728" max="728" width="12.7265625" bestFit="1" customWidth="1"/>
    <col min="729" max="730" width="12.90625" bestFit="1" customWidth="1"/>
    <col min="731" max="731" width="13.1796875" bestFit="1" customWidth="1"/>
    <col min="732" max="732" width="13.36328125" bestFit="1" customWidth="1"/>
    <col min="733" max="733" width="12.90625" bestFit="1" customWidth="1"/>
    <col min="734" max="734" width="12.7265625" bestFit="1" customWidth="1"/>
    <col min="735" max="735" width="13.26953125" bestFit="1" customWidth="1"/>
    <col min="736" max="736" width="13.36328125" bestFit="1" customWidth="1"/>
    <col min="737" max="737" width="12.90625" bestFit="1" customWidth="1"/>
    <col min="738" max="738" width="13" bestFit="1" customWidth="1"/>
    <col min="739" max="739" width="12.6328125" bestFit="1" customWidth="1"/>
    <col min="740" max="740" width="13.26953125" bestFit="1" customWidth="1"/>
    <col min="741" max="741" width="12.90625" bestFit="1" customWidth="1"/>
    <col min="742" max="743" width="12.54296875" bestFit="1" customWidth="1"/>
    <col min="744" max="744" width="12.6328125" bestFit="1" customWidth="1"/>
    <col min="745" max="745" width="12.90625" bestFit="1" customWidth="1"/>
    <col min="746" max="747" width="12.6328125" bestFit="1" customWidth="1"/>
    <col min="748" max="750" width="12.453125" bestFit="1" customWidth="1"/>
    <col min="751" max="751" width="12.54296875" bestFit="1" customWidth="1"/>
    <col min="752" max="752" width="12.90625" bestFit="1" customWidth="1"/>
    <col min="753" max="753" width="12.54296875" bestFit="1" customWidth="1"/>
    <col min="754" max="754" width="12.7265625" bestFit="1" customWidth="1"/>
    <col min="755" max="755" width="13.1796875" bestFit="1" customWidth="1"/>
    <col min="756" max="756" width="12.6328125" bestFit="1" customWidth="1"/>
    <col min="757" max="757" width="12.7265625" bestFit="1" customWidth="1"/>
    <col min="758" max="758" width="12.90625" bestFit="1" customWidth="1"/>
    <col min="759" max="759" width="12.6328125" bestFit="1" customWidth="1"/>
    <col min="760" max="760" width="13" bestFit="1" customWidth="1"/>
    <col min="761" max="761" width="13.08984375" bestFit="1" customWidth="1"/>
    <col min="762" max="762" width="12.6328125" bestFit="1" customWidth="1"/>
    <col min="763" max="764" width="13.08984375" bestFit="1" customWidth="1"/>
    <col min="765" max="765" width="12.90625" bestFit="1" customWidth="1"/>
    <col min="766" max="766" width="13" bestFit="1" customWidth="1"/>
    <col min="767" max="767" width="12.7265625" bestFit="1" customWidth="1"/>
    <col min="768" max="768" width="12.54296875" bestFit="1" customWidth="1"/>
    <col min="769" max="769" width="12.453125" bestFit="1" customWidth="1"/>
    <col min="770" max="770" width="12.90625" bestFit="1" customWidth="1"/>
    <col min="771" max="771" width="12.54296875" bestFit="1" customWidth="1"/>
    <col min="772" max="772" width="13.08984375" bestFit="1" customWidth="1"/>
    <col min="773" max="773" width="12.54296875" bestFit="1" customWidth="1"/>
    <col min="774" max="774" width="13.1796875" bestFit="1" customWidth="1"/>
    <col min="775" max="775" width="12.54296875" bestFit="1" customWidth="1"/>
    <col min="776" max="776" width="13" bestFit="1" customWidth="1"/>
    <col min="777" max="777" width="13.08984375" bestFit="1" customWidth="1"/>
    <col min="778" max="778" width="12.6328125" bestFit="1" customWidth="1"/>
    <col min="779" max="780" width="12.54296875" bestFit="1" customWidth="1"/>
    <col min="781" max="781" width="12.7265625" bestFit="1" customWidth="1"/>
    <col min="782" max="782" width="13.26953125" bestFit="1" customWidth="1"/>
    <col min="783" max="783" width="12.90625" bestFit="1" customWidth="1"/>
    <col min="784" max="784" width="12.6328125" bestFit="1" customWidth="1"/>
    <col min="785" max="785" width="12.90625" bestFit="1" customWidth="1"/>
    <col min="786" max="786" width="12.7265625" bestFit="1" customWidth="1"/>
    <col min="787" max="787" width="12.54296875" bestFit="1" customWidth="1"/>
    <col min="788" max="788" width="12.6328125" bestFit="1" customWidth="1"/>
    <col min="789" max="789" width="13.1796875" bestFit="1" customWidth="1"/>
    <col min="790" max="790" width="12.7265625" bestFit="1" customWidth="1"/>
    <col min="791" max="792" width="12.6328125" bestFit="1" customWidth="1"/>
    <col min="793" max="793" width="12.7265625" bestFit="1" customWidth="1"/>
    <col min="794" max="794" width="12.6328125" bestFit="1" customWidth="1"/>
    <col min="795" max="795" width="13.08984375" bestFit="1" customWidth="1"/>
    <col min="796" max="796" width="12.7265625" bestFit="1" customWidth="1"/>
    <col min="797" max="798" width="12.54296875" bestFit="1" customWidth="1"/>
    <col min="799" max="799" width="12.6328125" bestFit="1" customWidth="1"/>
    <col min="800" max="800" width="12.453125" bestFit="1" customWidth="1"/>
    <col min="801" max="801" width="12.7265625" bestFit="1" customWidth="1"/>
    <col min="802" max="802" width="12.90625" bestFit="1" customWidth="1"/>
    <col min="803" max="803" width="13" bestFit="1" customWidth="1"/>
    <col min="804" max="804" width="12.6328125" bestFit="1" customWidth="1"/>
    <col min="805" max="805" width="12.54296875" bestFit="1" customWidth="1"/>
    <col min="806" max="806" width="12.7265625" bestFit="1" customWidth="1"/>
    <col min="807" max="807" width="12.90625" bestFit="1" customWidth="1"/>
    <col min="808" max="810" width="13.08984375" bestFit="1" customWidth="1"/>
    <col min="811" max="811" width="12.54296875" bestFit="1" customWidth="1"/>
    <col min="812" max="812" width="12.7265625" bestFit="1" customWidth="1"/>
    <col min="813" max="813" width="13.1796875" bestFit="1" customWidth="1"/>
    <col min="814" max="814" width="12.6328125" bestFit="1" customWidth="1"/>
    <col min="815" max="815" width="13" bestFit="1" customWidth="1"/>
    <col min="816" max="816" width="12.6328125" bestFit="1" customWidth="1"/>
    <col min="817" max="817" width="12.453125" bestFit="1" customWidth="1"/>
    <col min="818" max="818" width="12.90625" bestFit="1" customWidth="1"/>
    <col min="819" max="819" width="13.08984375" bestFit="1" customWidth="1"/>
    <col min="820" max="820" width="12.6328125" bestFit="1" customWidth="1"/>
    <col min="821" max="821" width="12.90625" bestFit="1" customWidth="1"/>
    <col min="822" max="822" width="12.7265625" bestFit="1" customWidth="1"/>
    <col min="823" max="824" width="12.54296875" bestFit="1" customWidth="1"/>
    <col min="825" max="825" width="12.90625" bestFit="1" customWidth="1"/>
    <col min="826" max="827" width="12.54296875" bestFit="1" customWidth="1"/>
    <col min="828" max="828" width="13.1796875" bestFit="1" customWidth="1"/>
    <col min="829" max="829" width="13" bestFit="1" customWidth="1"/>
    <col min="830" max="830" width="12.6328125" bestFit="1" customWidth="1"/>
    <col min="831" max="831" width="13.08984375" bestFit="1" customWidth="1"/>
    <col min="832" max="832" width="12.90625" bestFit="1" customWidth="1"/>
    <col min="833" max="833" width="12.7265625" bestFit="1" customWidth="1"/>
    <col min="834" max="834" width="13.08984375" bestFit="1" customWidth="1"/>
    <col min="835" max="835" width="13" bestFit="1" customWidth="1"/>
    <col min="836" max="836" width="12.6328125" bestFit="1" customWidth="1"/>
    <col min="837" max="837" width="12.90625" bestFit="1" customWidth="1"/>
    <col min="838" max="838" width="13.08984375" bestFit="1" customWidth="1"/>
    <col min="839" max="839" width="12.90625" bestFit="1" customWidth="1"/>
    <col min="840" max="840" width="13" bestFit="1" customWidth="1"/>
    <col min="841" max="841" width="13.1796875" bestFit="1" customWidth="1"/>
    <col min="842" max="842" width="13.08984375" bestFit="1" customWidth="1"/>
    <col min="843" max="843" width="12.54296875" bestFit="1" customWidth="1"/>
    <col min="844" max="844" width="12.7265625" bestFit="1" customWidth="1"/>
    <col min="845" max="845" width="13" bestFit="1" customWidth="1"/>
    <col min="846" max="846" width="12.6328125" bestFit="1" customWidth="1"/>
    <col min="847" max="847" width="12.36328125" bestFit="1" customWidth="1"/>
    <col min="848" max="848" width="12.90625" bestFit="1" customWidth="1"/>
    <col min="849" max="849" width="12.6328125" bestFit="1" customWidth="1"/>
    <col min="850" max="850" width="13.08984375" bestFit="1" customWidth="1"/>
    <col min="851" max="852" width="13" bestFit="1" customWidth="1"/>
    <col min="853" max="853" width="12.6328125" bestFit="1" customWidth="1"/>
    <col min="854" max="854" width="13" bestFit="1" customWidth="1"/>
    <col min="855" max="855" width="12.90625" bestFit="1" customWidth="1"/>
    <col min="856" max="858" width="13.08984375" bestFit="1" customWidth="1"/>
    <col min="859" max="859" width="12.90625" bestFit="1" customWidth="1"/>
    <col min="860" max="861" width="13.1796875" bestFit="1" customWidth="1"/>
    <col min="862" max="863" width="13.36328125" bestFit="1" customWidth="1"/>
    <col min="864" max="864" width="13" bestFit="1" customWidth="1"/>
    <col min="865" max="865" width="12.90625" bestFit="1" customWidth="1"/>
    <col min="866" max="866" width="12.7265625" bestFit="1" customWidth="1"/>
    <col min="867" max="867" width="12.36328125" bestFit="1" customWidth="1"/>
    <col min="868" max="868" width="12.54296875" bestFit="1" customWidth="1"/>
    <col min="869" max="869" width="12.453125" bestFit="1" customWidth="1"/>
    <col min="870" max="870" width="12.54296875" bestFit="1" customWidth="1"/>
    <col min="871" max="871" width="13.1796875" bestFit="1" customWidth="1"/>
    <col min="872" max="872" width="12.54296875" bestFit="1" customWidth="1"/>
    <col min="873" max="873" width="12.453125" bestFit="1" customWidth="1"/>
    <col min="874" max="874" width="12.54296875" bestFit="1" customWidth="1"/>
    <col min="875" max="875" width="13.08984375" bestFit="1" customWidth="1"/>
    <col min="876" max="876" width="12.26953125" bestFit="1" customWidth="1"/>
    <col min="877" max="877" width="12.90625" bestFit="1" customWidth="1"/>
    <col min="878" max="878" width="12.7265625" bestFit="1" customWidth="1"/>
    <col min="879" max="879" width="13.08984375" bestFit="1" customWidth="1"/>
    <col min="880" max="881" width="12.90625" bestFit="1" customWidth="1"/>
    <col min="882" max="882" width="13.08984375" bestFit="1" customWidth="1"/>
    <col min="883" max="883" width="12.6328125" bestFit="1" customWidth="1"/>
    <col min="884" max="884" width="12.7265625" bestFit="1" customWidth="1"/>
    <col min="885" max="885" width="12.54296875" bestFit="1" customWidth="1"/>
    <col min="886" max="887" width="12.90625" bestFit="1" customWidth="1"/>
    <col min="888" max="888" width="12.7265625" bestFit="1" customWidth="1"/>
    <col min="889" max="889" width="12.54296875" bestFit="1" customWidth="1"/>
    <col min="890" max="891" width="12.90625" bestFit="1" customWidth="1"/>
    <col min="892" max="892" width="13" bestFit="1" customWidth="1"/>
    <col min="893" max="893" width="12.453125" bestFit="1" customWidth="1"/>
    <col min="894" max="895" width="12.90625" bestFit="1" customWidth="1"/>
    <col min="896" max="896" width="13" bestFit="1" customWidth="1"/>
    <col min="897" max="897" width="12.90625" bestFit="1" customWidth="1"/>
    <col min="898" max="898" width="13.26953125" bestFit="1" customWidth="1"/>
    <col min="899" max="899" width="12.7265625" bestFit="1" customWidth="1"/>
    <col min="900" max="900" width="12.6328125" bestFit="1" customWidth="1"/>
    <col min="901" max="901" width="12.90625" bestFit="1" customWidth="1"/>
    <col min="902" max="902" width="13" bestFit="1" customWidth="1"/>
    <col min="903" max="903" width="12.90625" bestFit="1" customWidth="1"/>
    <col min="904" max="904" width="12.7265625" bestFit="1" customWidth="1"/>
    <col min="905" max="905" width="13.1796875" bestFit="1" customWidth="1"/>
    <col min="906" max="906" width="13" bestFit="1" customWidth="1"/>
    <col min="907" max="907" width="12.6328125" bestFit="1" customWidth="1"/>
    <col min="908" max="908" width="13" bestFit="1" customWidth="1"/>
    <col min="909" max="909" width="12.54296875" bestFit="1" customWidth="1"/>
    <col min="910" max="910" width="12.453125" bestFit="1" customWidth="1"/>
    <col min="911" max="911" width="12.7265625" bestFit="1" customWidth="1"/>
    <col min="912" max="912" width="13" bestFit="1" customWidth="1"/>
    <col min="913" max="913" width="13.1796875" bestFit="1" customWidth="1"/>
    <col min="914" max="914" width="12.6328125" bestFit="1" customWidth="1"/>
    <col min="915" max="915" width="12.7265625" bestFit="1" customWidth="1"/>
    <col min="916" max="916" width="12.90625" bestFit="1" customWidth="1"/>
    <col min="917" max="917" width="13.36328125" bestFit="1" customWidth="1"/>
    <col min="918" max="919" width="12.7265625" bestFit="1" customWidth="1"/>
    <col min="920" max="920" width="12.54296875" bestFit="1" customWidth="1"/>
    <col min="921" max="921" width="13.08984375" bestFit="1" customWidth="1"/>
    <col min="922" max="922" width="12.6328125" bestFit="1" customWidth="1"/>
    <col min="923" max="923" width="12.36328125" bestFit="1" customWidth="1"/>
    <col min="924" max="924" width="12.90625" bestFit="1" customWidth="1"/>
    <col min="925" max="927" width="13" bestFit="1" customWidth="1"/>
    <col min="928" max="928" width="12.6328125" bestFit="1" customWidth="1"/>
    <col min="929" max="929" width="12.7265625" bestFit="1" customWidth="1"/>
    <col min="930" max="930" width="13" bestFit="1" customWidth="1"/>
    <col min="931" max="931" width="12.7265625" bestFit="1" customWidth="1"/>
    <col min="932" max="932" width="12.90625" bestFit="1" customWidth="1"/>
    <col min="933" max="933" width="12.54296875" bestFit="1" customWidth="1"/>
    <col min="934" max="934" width="13.08984375" bestFit="1" customWidth="1"/>
    <col min="935" max="935" width="13" bestFit="1" customWidth="1"/>
    <col min="936" max="936" width="13.453125" bestFit="1" customWidth="1"/>
    <col min="937" max="937" width="13" bestFit="1" customWidth="1"/>
    <col min="938" max="938" width="12.7265625" bestFit="1" customWidth="1"/>
    <col min="939" max="939" width="13.1796875" bestFit="1" customWidth="1"/>
    <col min="940" max="940" width="12.90625" bestFit="1" customWidth="1"/>
    <col min="941" max="941" width="12.54296875" bestFit="1" customWidth="1"/>
    <col min="942" max="942" width="13.36328125" bestFit="1" customWidth="1"/>
    <col min="943" max="943" width="13.54296875" bestFit="1" customWidth="1"/>
    <col min="944" max="944" width="12.7265625" bestFit="1" customWidth="1"/>
    <col min="945" max="945" width="13.08984375" bestFit="1" customWidth="1"/>
    <col min="946" max="946" width="12.54296875" bestFit="1" customWidth="1"/>
    <col min="947" max="947" width="12.90625" bestFit="1" customWidth="1"/>
    <col min="948" max="948" width="13.1796875" bestFit="1" customWidth="1"/>
    <col min="949" max="949" width="13.08984375" bestFit="1" customWidth="1"/>
    <col min="950" max="950" width="12.7265625" bestFit="1" customWidth="1"/>
    <col min="951" max="951" width="13" bestFit="1" customWidth="1"/>
    <col min="952" max="954" width="12.90625" bestFit="1" customWidth="1"/>
    <col min="955" max="955" width="12.7265625" bestFit="1" customWidth="1"/>
    <col min="956" max="957" width="13" bestFit="1" customWidth="1"/>
    <col min="958" max="958" width="12.6328125" bestFit="1" customWidth="1"/>
    <col min="959" max="959" width="12.90625" bestFit="1" customWidth="1"/>
    <col min="960" max="960" width="12.7265625" bestFit="1" customWidth="1"/>
    <col min="961" max="961" width="12.6328125" bestFit="1" customWidth="1"/>
    <col min="962" max="962" width="12.54296875" bestFit="1" customWidth="1"/>
    <col min="963" max="963" width="12.6328125" bestFit="1" customWidth="1"/>
    <col min="964" max="964" width="12.54296875" bestFit="1" customWidth="1"/>
    <col min="965" max="965" width="13.1796875" bestFit="1" customWidth="1"/>
    <col min="966" max="967" width="12.6328125" bestFit="1" customWidth="1"/>
    <col min="968" max="969" width="13" bestFit="1" customWidth="1"/>
    <col min="970" max="970" width="13.08984375" bestFit="1" customWidth="1"/>
    <col min="971" max="971" width="12.6328125" bestFit="1" customWidth="1"/>
    <col min="972" max="972" width="13.26953125" bestFit="1" customWidth="1"/>
    <col min="973" max="973" width="13.08984375" bestFit="1" customWidth="1"/>
    <col min="974" max="974" width="12.6328125" bestFit="1" customWidth="1"/>
    <col min="975" max="976" width="13" bestFit="1" customWidth="1"/>
    <col min="977" max="977" width="13.36328125" bestFit="1" customWidth="1"/>
    <col min="978" max="978" width="13" bestFit="1" customWidth="1"/>
    <col min="979" max="979" width="12.6328125" bestFit="1" customWidth="1"/>
    <col min="980" max="980" width="12.54296875" bestFit="1" customWidth="1"/>
    <col min="981" max="981" width="13.08984375" bestFit="1" customWidth="1"/>
    <col min="982" max="982" width="12.7265625" bestFit="1" customWidth="1"/>
    <col min="983" max="983" width="13.26953125" bestFit="1" customWidth="1"/>
    <col min="984" max="984" width="13.453125" bestFit="1" customWidth="1"/>
    <col min="985" max="985" width="12.7265625" bestFit="1" customWidth="1"/>
    <col min="986" max="986" width="13.6328125" bestFit="1" customWidth="1"/>
    <col min="987" max="987" width="13.1796875" bestFit="1" customWidth="1"/>
    <col min="988" max="989" width="12.7265625" bestFit="1" customWidth="1"/>
    <col min="990" max="990" width="12.90625" bestFit="1" customWidth="1"/>
    <col min="991" max="991" width="12.54296875" bestFit="1" customWidth="1"/>
    <col min="992" max="992" width="12.90625" bestFit="1" customWidth="1"/>
    <col min="993" max="993" width="12.54296875" bestFit="1" customWidth="1"/>
    <col min="994" max="994" width="13.08984375" bestFit="1" customWidth="1"/>
    <col min="995" max="995" width="13.1796875" bestFit="1" customWidth="1"/>
    <col min="996" max="996" width="12.54296875" bestFit="1" customWidth="1"/>
    <col min="997" max="997" width="12.36328125" bestFit="1" customWidth="1"/>
    <col min="998" max="998" width="13.1796875" bestFit="1" customWidth="1"/>
    <col min="999" max="999" width="12.7265625" bestFit="1" customWidth="1"/>
    <col min="1000" max="1000" width="12.36328125" bestFit="1" customWidth="1"/>
    <col min="1001" max="1001" width="12.54296875" bestFit="1" customWidth="1"/>
    <col min="1002" max="1002" width="12.90625" bestFit="1" customWidth="1"/>
    <col min="1003" max="1004" width="12.7265625" bestFit="1" customWidth="1"/>
    <col min="1005" max="1005" width="12.90625" bestFit="1" customWidth="1"/>
    <col min="1006" max="1006" width="12.6328125" bestFit="1" customWidth="1"/>
    <col min="1007" max="1008" width="12.90625" bestFit="1" customWidth="1"/>
    <col min="1009" max="1009" width="13" bestFit="1" customWidth="1"/>
    <col min="1010" max="1010" width="12.6328125" bestFit="1" customWidth="1"/>
    <col min="1011" max="1011" width="13" bestFit="1" customWidth="1"/>
    <col min="1012" max="1012" width="13.08984375" bestFit="1" customWidth="1"/>
    <col min="1013" max="1013" width="12.90625" bestFit="1" customWidth="1"/>
    <col min="1014" max="1014" width="12.54296875" bestFit="1" customWidth="1"/>
    <col min="1015" max="1015" width="12.6328125" bestFit="1" customWidth="1"/>
    <col min="1016" max="1016" width="13" bestFit="1" customWidth="1"/>
    <col min="1017" max="1017" width="12.90625" bestFit="1" customWidth="1"/>
    <col min="1018" max="1018" width="12.7265625" bestFit="1" customWidth="1"/>
    <col min="1019" max="1019" width="12.36328125" bestFit="1" customWidth="1"/>
    <col min="1020" max="1020" width="13.453125" bestFit="1" customWidth="1"/>
    <col min="1021" max="1021" width="13.1796875" bestFit="1" customWidth="1"/>
    <col min="1022" max="1022" width="13" bestFit="1" customWidth="1"/>
    <col min="1023" max="1023" width="13.1796875" bestFit="1" customWidth="1"/>
    <col min="1024" max="1024" width="12.7265625" bestFit="1" customWidth="1"/>
    <col min="1025" max="1025" width="12.36328125" bestFit="1" customWidth="1"/>
    <col min="1026" max="1026" width="12.6328125" bestFit="1" customWidth="1"/>
    <col min="1027" max="1027" width="12.453125" bestFit="1" customWidth="1"/>
    <col min="1028" max="1028" width="12.90625" bestFit="1" customWidth="1"/>
    <col min="1029" max="1029" width="13" bestFit="1" customWidth="1"/>
    <col min="1030" max="1030" width="12.36328125" bestFit="1" customWidth="1"/>
    <col min="1031" max="1033" width="12.54296875" bestFit="1" customWidth="1"/>
    <col min="1034" max="1034" width="13" bestFit="1" customWidth="1"/>
    <col min="1035" max="1036" width="12.453125" bestFit="1" customWidth="1"/>
    <col min="1037" max="1037" width="12.7265625" bestFit="1" customWidth="1"/>
    <col min="1038" max="1038" width="12.54296875" bestFit="1" customWidth="1"/>
    <col min="1039" max="1039" width="12.7265625" bestFit="1" customWidth="1"/>
    <col min="1040" max="1040" width="13" bestFit="1" customWidth="1"/>
    <col min="1041" max="1041" width="12.90625" bestFit="1" customWidth="1"/>
    <col min="1042" max="1043" width="12.6328125" bestFit="1" customWidth="1"/>
    <col min="1044" max="1044" width="12.90625" bestFit="1" customWidth="1"/>
    <col min="1045" max="1045" width="12.7265625" bestFit="1" customWidth="1"/>
    <col min="1046" max="1046" width="12.6328125" bestFit="1" customWidth="1"/>
    <col min="1047" max="1048" width="12.54296875" bestFit="1" customWidth="1"/>
    <col min="1049" max="1050" width="12.7265625" bestFit="1" customWidth="1"/>
    <col min="1051" max="1052" width="13.26953125" bestFit="1" customWidth="1"/>
    <col min="1053" max="1053" width="13.453125" bestFit="1" customWidth="1"/>
    <col min="1054" max="1054" width="13.26953125" bestFit="1" customWidth="1"/>
    <col min="1055" max="1055" width="12.7265625" bestFit="1" customWidth="1"/>
    <col min="1056" max="1056" width="12.54296875" bestFit="1" customWidth="1"/>
    <col min="1057" max="1058" width="12.90625" bestFit="1" customWidth="1"/>
    <col min="1059" max="1059" width="13.08984375" bestFit="1" customWidth="1"/>
    <col min="1060" max="1060" width="13" bestFit="1" customWidth="1"/>
    <col min="1061" max="1061" width="12.54296875" bestFit="1" customWidth="1"/>
    <col min="1062" max="1062" width="12.7265625" bestFit="1" customWidth="1"/>
    <col min="1063" max="1063" width="12.54296875" bestFit="1" customWidth="1"/>
    <col min="1064" max="1064" width="12.90625" bestFit="1" customWidth="1"/>
    <col min="1065" max="1065" width="12.54296875" bestFit="1" customWidth="1"/>
    <col min="1066" max="1066" width="12.6328125" bestFit="1" customWidth="1"/>
    <col min="1067" max="1067" width="13.1796875" bestFit="1" customWidth="1"/>
    <col min="1068" max="1068" width="13" bestFit="1" customWidth="1"/>
    <col min="1069" max="1069" width="12.90625" bestFit="1" customWidth="1"/>
    <col min="1070" max="1070" width="12.54296875" bestFit="1" customWidth="1"/>
    <col min="1071" max="1071" width="12.453125" bestFit="1" customWidth="1"/>
    <col min="1072" max="1073" width="12.90625" bestFit="1" customWidth="1"/>
    <col min="1074" max="1074" width="12.6328125" bestFit="1" customWidth="1"/>
    <col min="1075" max="1075" width="12.54296875" bestFit="1" customWidth="1"/>
    <col min="1076" max="1076" width="12.7265625" bestFit="1" customWidth="1"/>
    <col min="1077" max="1077" width="12.453125" bestFit="1" customWidth="1"/>
    <col min="1078" max="1078" width="12.90625" bestFit="1" customWidth="1"/>
    <col min="1079" max="1079" width="12.54296875" bestFit="1" customWidth="1"/>
    <col min="1080" max="1080" width="13.08984375" bestFit="1" customWidth="1"/>
    <col min="1081" max="1081" width="12.6328125" bestFit="1" customWidth="1"/>
    <col min="1082" max="1082" width="12.54296875" bestFit="1" customWidth="1"/>
    <col min="1083" max="1083" width="12.6328125" bestFit="1" customWidth="1"/>
    <col min="1084" max="1084" width="13" bestFit="1" customWidth="1"/>
    <col min="1085" max="1085" width="12.6328125" bestFit="1" customWidth="1"/>
    <col min="1086" max="1086" width="12.7265625" bestFit="1" customWidth="1"/>
    <col min="1087" max="1088" width="12.90625" bestFit="1" customWidth="1"/>
    <col min="1089" max="1089" width="12.7265625" bestFit="1" customWidth="1"/>
    <col min="1090" max="1090" width="12.6328125" bestFit="1" customWidth="1"/>
    <col min="1091" max="1091" width="13.08984375" bestFit="1" customWidth="1"/>
    <col min="1092" max="1092" width="13" bestFit="1" customWidth="1"/>
    <col min="1093" max="1093" width="12.453125" bestFit="1" customWidth="1"/>
    <col min="1094" max="1094" width="12.6328125" bestFit="1" customWidth="1"/>
    <col min="1095" max="1095" width="13" bestFit="1" customWidth="1"/>
    <col min="1096" max="1096" width="12.90625" bestFit="1" customWidth="1"/>
    <col min="1097" max="1097" width="12.6328125" bestFit="1" customWidth="1"/>
    <col min="1098" max="1098" width="13" bestFit="1" customWidth="1"/>
    <col min="1099" max="1100" width="12.7265625" bestFit="1" customWidth="1"/>
    <col min="1101" max="1101" width="13" bestFit="1" customWidth="1"/>
    <col min="1102" max="1102" width="13.1796875" bestFit="1" customWidth="1"/>
    <col min="1103" max="1103" width="12.6328125" bestFit="1" customWidth="1"/>
    <col min="1104" max="1104" width="13.26953125" bestFit="1" customWidth="1"/>
    <col min="1105" max="1105" width="13.453125" bestFit="1" customWidth="1"/>
    <col min="1106" max="1106" width="12.54296875" bestFit="1" customWidth="1"/>
    <col min="1107" max="1107" width="13.1796875" bestFit="1" customWidth="1"/>
    <col min="1108" max="1108" width="12.6328125" bestFit="1" customWidth="1"/>
    <col min="1109" max="1109" width="13.26953125" bestFit="1" customWidth="1"/>
    <col min="1110" max="1110" width="13" bestFit="1" customWidth="1"/>
    <col min="1111" max="1111" width="12.54296875" bestFit="1" customWidth="1"/>
    <col min="1112" max="1112" width="12.90625" bestFit="1" customWidth="1"/>
    <col min="1113" max="1113" width="12.54296875" bestFit="1" customWidth="1"/>
    <col min="1114" max="1114" width="13.1796875" bestFit="1" customWidth="1"/>
    <col min="1115" max="1116" width="12.6328125" bestFit="1" customWidth="1"/>
    <col min="1117" max="1117" width="12.7265625" bestFit="1" customWidth="1"/>
    <col min="1118" max="1118" width="13.08984375" bestFit="1" customWidth="1"/>
    <col min="1119" max="1119" width="13.1796875" bestFit="1" customWidth="1"/>
    <col min="1120" max="1120" width="13.08984375" bestFit="1" customWidth="1"/>
    <col min="1121" max="1121" width="13.1796875" bestFit="1" customWidth="1"/>
    <col min="1122" max="1122" width="12.7265625" bestFit="1" customWidth="1"/>
    <col min="1123" max="1123" width="13.26953125" bestFit="1" customWidth="1"/>
    <col min="1124" max="1125" width="12.90625" bestFit="1" customWidth="1"/>
    <col min="1126" max="1126" width="13.26953125" bestFit="1" customWidth="1"/>
    <col min="1127" max="1127" width="13.36328125" bestFit="1" customWidth="1"/>
    <col min="1128" max="1128" width="13.08984375" bestFit="1" customWidth="1"/>
    <col min="1129" max="1129" width="12.6328125" bestFit="1" customWidth="1"/>
    <col min="1130" max="1130" width="12.90625" bestFit="1" customWidth="1"/>
    <col min="1131" max="1131" width="12.6328125" bestFit="1" customWidth="1"/>
    <col min="1132" max="1132" width="12.54296875" bestFit="1" customWidth="1"/>
    <col min="1133" max="1133" width="12.90625" bestFit="1" customWidth="1"/>
    <col min="1134" max="1134" width="12.6328125" bestFit="1" customWidth="1"/>
    <col min="1135" max="1135" width="12.7265625" bestFit="1" customWidth="1"/>
    <col min="1136" max="1136" width="13" bestFit="1" customWidth="1"/>
    <col min="1137" max="1137" width="12.7265625" bestFit="1" customWidth="1"/>
    <col min="1138" max="1138" width="12.90625" bestFit="1" customWidth="1"/>
    <col min="1139" max="1139" width="12.453125" bestFit="1" customWidth="1"/>
    <col min="1140" max="1140" width="13" bestFit="1" customWidth="1"/>
    <col min="1141" max="1141" width="12.90625" bestFit="1" customWidth="1"/>
    <col min="1142" max="1142" width="12.6328125" bestFit="1" customWidth="1"/>
    <col min="1143" max="1143" width="12.7265625" bestFit="1" customWidth="1"/>
    <col min="1144" max="1144" width="13" bestFit="1" customWidth="1"/>
    <col min="1145" max="1145" width="12.90625" bestFit="1" customWidth="1"/>
    <col min="1146" max="1146" width="12.54296875" bestFit="1" customWidth="1"/>
    <col min="1147" max="1148" width="12.6328125" bestFit="1" customWidth="1"/>
    <col min="1149" max="1149" width="12.36328125" bestFit="1" customWidth="1"/>
    <col min="1150" max="1150" width="12.7265625" bestFit="1" customWidth="1"/>
    <col min="1151" max="1151" width="13.26953125" bestFit="1" customWidth="1"/>
    <col min="1152" max="1152" width="12.54296875" bestFit="1" customWidth="1"/>
    <col min="1153" max="1153" width="12.6328125" bestFit="1" customWidth="1"/>
    <col min="1154" max="1154" width="12.453125" bestFit="1" customWidth="1"/>
    <col min="1155" max="1155" width="12.54296875" bestFit="1" customWidth="1"/>
    <col min="1156" max="1156" width="12.90625" bestFit="1" customWidth="1"/>
    <col min="1157" max="1157" width="13" bestFit="1" customWidth="1"/>
    <col min="1158" max="1158" width="12.26953125" bestFit="1" customWidth="1"/>
    <col min="1159" max="1159" width="13.36328125" bestFit="1" customWidth="1"/>
    <col min="1160" max="1161" width="12.7265625" bestFit="1" customWidth="1"/>
    <col min="1162" max="1162" width="12.6328125" bestFit="1" customWidth="1"/>
    <col min="1163" max="1163" width="12.36328125" bestFit="1" customWidth="1"/>
    <col min="1164" max="1164" width="13.08984375" bestFit="1" customWidth="1"/>
    <col min="1165" max="1165" width="12.90625" bestFit="1" customWidth="1"/>
    <col min="1166" max="1166" width="13.36328125" bestFit="1" customWidth="1"/>
    <col min="1167" max="1167" width="13.1796875" bestFit="1" customWidth="1"/>
    <col min="1168" max="1168" width="13.36328125" bestFit="1" customWidth="1"/>
    <col min="1169" max="1170" width="12.90625" bestFit="1" customWidth="1"/>
    <col min="1171" max="1171" width="13.1796875" bestFit="1" customWidth="1"/>
    <col min="1172" max="1172" width="12.6328125" bestFit="1" customWidth="1"/>
    <col min="1173" max="1173" width="12.7265625" bestFit="1" customWidth="1"/>
    <col min="1174" max="1174" width="12.90625" bestFit="1" customWidth="1"/>
    <col min="1175" max="1175" width="12.7265625" bestFit="1" customWidth="1"/>
    <col min="1176" max="1176" width="12.54296875" bestFit="1" customWidth="1"/>
    <col min="1177" max="1177" width="12.90625" bestFit="1" customWidth="1"/>
    <col min="1178" max="1178" width="13" bestFit="1" customWidth="1"/>
    <col min="1179" max="1180" width="12.90625" bestFit="1" customWidth="1"/>
    <col min="1181" max="1181" width="13.1796875" bestFit="1" customWidth="1"/>
    <col min="1182" max="1182" width="12.7265625" bestFit="1" customWidth="1"/>
    <col min="1183" max="1183" width="12.54296875" bestFit="1" customWidth="1"/>
    <col min="1184" max="1184" width="12.90625" bestFit="1" customWidth="1"/>
    <col min="1185" max="1185" width="13.08984375" bestFit="1" customWidth="1"/>
    <col min="1186" max="1186" width="12.90625" bestFit="1" customWidth="1"/>
    <col min="1187" max="1187" width="12.54296875" bestFit="1" customWidth="1"/>
    <col min="1188" max="1188" width="12.6328125" bestFit="1" customWidth="1"/>
    <col min="1189" max="1189" width="13.1796875" bestFit="1" customWidth="1"/>
    <col min="1190" max="1190" width="12.54296875" bestFit="1" customWidth="1"/>
    <col min="1191" max="1191" width="13.08984375" bestFit="1" customWidth="1"/>
    <col min="1192" max="1192" width="13.26953125" bestFit="1" customWidth="1"/>
    <col min="1193" max="1193" width="13" bestFit="1" customWidth="1"/>
    <col min="1194" max="1194" width="12.7265625" bestFit="1" customWidth="1"/>
    <col min="1195" max="1195" width="13" bestFit="1" customWidth="1"/>
    <col min="1196" max="1196" width="12.6328125" bestFit="1" customWidth="1"/>
    <col min="1197" max="1197" width="12.7265625" bestFit="1" customWidth="1"/>
    <col min="1198" max="1198" width="13" bestFit="1" customWidth="1"/>
    <col min="1199" max="1200" width="12.54296875" bestFit="1" customWidth="1"/>
    <col min="1201" max="1201" width="12.6328125" bestFit="1" customWidth="1"/>
    <col min="1202" max="1202" width="12.7265625" bestFit="1" customWidth="1"/>
    <col min="1203" max="1203" width="13.08984375" bestFit="1" customWidth="1"/>
    <col min="1204" max="1204" width="12.6328125" bestFit="1" customWidth="1"/>
    <col min="1205" max="1205" width="12.54296875" bestFit="1" customWidth="1"/>
    <col min="1206" max="1206" width="12.7265625" bestFit="1" customWidth="1"/>
    <col min="1207" max="1207" width="12.54296875" bestFit="1" customWidth="1"/>
    <col min="1208" max="1208" width="12.7265625" bestFit="1" customWidth="1"/>
    <col min="1209" max="1209" width="12.6328125" bestFit="1" customWidth="1"/>
    <col min="1210" max="1210" width="12.90625" bestFit="1" customWidth="1"/>
    <col min="1211" max="1211" width="12.54296875" bestFit="1" customWidth="1"/>
    <col min="1212" max="1212" width="12.90625" bestFit="1" customWidth="1"/>
    <col min="1213" max="1213" width="12.6328125" bestFit="1" customWidth="1"/>
    <col min="1214" max="1214" width="13" bestFit="1" customWidth="1"/>
    <col min="1215" max="1215" width="13.26953125" bestFit="1" customWidth="1"/>
    <col min="1216" max="1216" width="13.08984375" bestFit="1" customWidth="1"/>
    <col min="1217" max="1218" width="12.54296875" bestFit="1" customWidth="1"/>
    <col min="1219" max="1219" width="12.6328125" bestFit="1" customWidth="1"/>
    <col min="1220" max="1220" width="12.90625" bestFit="1" customWidth="1"/>
    <col min="1221" max="1221" width="13.1796875" bestFit="1" customWidth="1"/>
    <col min="1222" max="1222" width="13.54296875" bestFit="1" customWidth="1"/>
    <col min="1223" max="1223" width="12.453125" bestFit="1" customWidth="1"/>
    <col min="1224" max="1224" width="13.08984375" bestFit="1" customWidth="1"/>
    <col min="1225" max="1225" width="13.26953125" bestFit="1" customWidth="1"/>
    <col min="1226" max="1226" width="13" bestFit="1" customWidth="1"/>
    <col min="1227" max="1227" width="12.90625" bestFit="1" customWidth="1"/>
    <col min="1228" max="1228" width="13" bestFit="1" customWidth="1"/>
    <col min="1229" max="1229" width="13.1796875" bestFit="1" customWidth="1"/>
    <col min="1230" max="1230" width="12.6328125" bestFit="1" customWidth="1"/>
    <col min="1231" max="1231" width="12.90625" bestFit="1" customWidth="1"/>
    <col min="1232" max="1232" width="12.54296875" bestFit="1" customWidth="1"/>
    <col min="1233" max="1233" width="13" bestFit="1" customWidth="1"/>
    <col min="1234" max="1234" width="12.7265625" bestFit="1" customWidth="1"/>
    <col min="1235" max="1236" width="13.08984375" bestFit="1" customWidth="1"/>
    <col min="1237" max="1237" width="12.6328125" bestFit="1" customWidth="1"/>
    <col min="1238" max="1238" width="13.08984375" bestFit="1" customWidth="1"/>
    <col min="1239" max="1239" width="12.90625" bestFit="1" customWidth="1"/>
    <col min="1240" max="1241" width="13" bestFit="1" customWidth="1"/>
    <col min="1242" max="1242" width="12.90625" bestFit="1" customWidth="1"/>
    <col min="1243" max="1244" width="12.54296875" bestFit="1" customWidth="1"/>
    <col min="1245" max="1245" width="13.26953125" bestFit="1" customWidth="1"/>
    <col min="1246" max="1246" width="13.08984375" bestFit="1" customWidth="1"/>
    <col min="1247" max="1248" width="12.7265625" bestFit="1" customWidth="1"/>
    <col min="1249" max="1249" width="13.1796875" bestFit="1" customWidth="1"/>
    <col min="1250" max="1250" width="13.26953125" bestFit="1" customWidth="1"/>
    <col min="1251" max="1251" width="13.6328125" bestFit="1" customWidth="1"/>
    <col min="1252" max="1252" width="13.1796875" bestFit="1" customWidth="1"/>
    <col min="1253" max="1253" width="13.08984375" bestFit="1" customWidth="1"/>
    <col min="1254" max="1254" width="13" bestFit="1" customWidth="1"/>
    <col min="1255" max="1255" width="12.6328125" bestFit="1" customWidth="1"/>
    <col min="1256" max="1256" width="12.54296875" bestFit="1" customWidth="1"/>
    <col min="1257" max="1257" width="13.36328125" bestFit="1" customWidth="1"/>
    <col min="1258" max="1258" width="12.6328125" bestFit="1" customWidth="1"/>
    <col min="1259" max="1259" width="12.7265625" bestFit="1" customWidth="1"/>
    <col min="1260" max="1260" width="12.54296875" bestFit="1" customWidth="1"/>
    <col min="1261" max="1261" width="12.7265625" bestFit="1" customWidth="1"/>
    <col min="1262" max="1263" width="12.6328125" bestFit="1" customWidth="1"/>
    <col min="1264" max="1264" width="12.453125" bestFit="1" customWidth="1"/>
    <col min="1265" max="1265" width="12.6328125" bestFit="1" customWidth="1"/>
    <col min="1266" max="1266" width="12.7265625" bestFit="1" customWidth="1"/>
    <col min="1267" max="1267" width="13.08984375" bestFit="1" customWidth="1"/>
    <col min="1268" max="1268" width="13" bestFit="1" customWidth="1"/>
    <col min="1269" max="1269" width="13.26953125" bestFit="1" customWidth="1"/>
    <col min="1270" max="1270" width="13.36328125" bestFit="1" customWidth="1"/>
    <col min="1271" max="1273" width="13" bestFit="1" customWidth="1"/>
    <col min="1274" max="1274" width="12.90625" bestFit="1" customWidth="1"/>
    <col min="1275" max="1275" width="13.08984375" bestFit="1" customWidth="1"/>
    <col min="1276" max="1276" width="13.1796875" bestFit="1" customWidth="1"/>
    <col min="1277" max="1278" width="12.90625" bestFit="1" customWidth="1"/>
    <col min="1279" max="1279" width="13.1796875" bestFit="1" customWidth="1"/>
    <col min="1280" max="1280" width="12.7265625" bestFit="1" customWidth="1"/>
    <col min="1281" max="1281" width="13.26953125" bestFit="1" customWidth="1"/>
    <col min="1282" max="1283" width="12.7265625" bestFit="1" customWidth="1"/>
    <col min="1284" max="1284" width="13" bestFit="1" customWidth="1"/>
    <col min="1285" max="1285" width="13.453125" bestFit="1" customWidth="1"/>
    <col min="1286" max="1286" width="12.90625" bestFit="1" customWidth="1"/>
    <col min="1287" max="1287" width="13" bestFit="1" customWidth="1"/>
    <col min="1288" max="1289" width="13.36328125" bestFit="1" customWidth="1"/>
    <col min="1290" max="1290" width="12.90625" bestFit="1" customWidth="1"/>
    <col min="1291" max="1291" width="13.08984375" bestFit="1" customWidth="1"/>
    <col min="1292" max="1292" width="13" bestFit="1" customWidth="1"/>
    <col min="1293" max="1293" width="13.1796875" bestFit="1" customWidth="1"/>
    <col min="1294" max="1294" width="13.453125" bestFit="1" customWidth="1"/>
    <col min="1295" max="1295" width="13.1796875" bestFit="1" customWidth="1"/>
    <col min="1296" max="1296" width="12.7265625" bestFit="1" customWidth="1"/>
    <col min="1297" max="1297" width="13" bestFit="1" customWidth="1"/>
    <col min="1298" max="1298" width="13.08984375" bestFit="1" customWidth="1"/>
    <col min="1299" max="1299" width="13" bestFit="1" customWidth="1"/>
    <col min="1300" max="1300" width="12.90625" bestFit="1" customWidth="1"/>
    <col min="1301" max="1301" width="13.1796875" bestFit="1" customWidth="1"/>
    <col min="1302" max="1302" width="12.7265625" bestFit="1" customWidth="1"/>
    <col min="1303" max="1305" width="13.08984375" bestFit="1" customWidth="1"/>
    <col min="1306" max="1306" width="12.6328125" bestFit="1" customWidth="1"/>
    <col min="1307" max="1307" width="13.26953125" bestFit="1" customWidth="1"/>
    <col min="1308" max="1308" width="12.7265625" bestFit="1" customWidth="1"/>
    <col min="1309" max="1309" width="13.54296875" bestFit="1" customWidth="1"/>
    <col min="1310" max="1311" width="13.36328125" bestFit="1" customWidth="1"/>
    <col min="1312" max="1312" width="13.26953125" bestFit="1" customWidth="1"/>
    <col min="1313" max="1313" width="13.08984375" bestFit="1" customWidth="1"/>
    <col min="1314" max="1314" width="13.1796875" bestFit="1" customWidth="1"/>
    <col min="1315" max="1315" width="13.81640625" bestFit="1" customWidth="1"/>
    <col min="1316" max="1316" width="12.90625" bestFit="1" customWidth="1"/>
    <col min="1317" max="1317" width="13.26953125" bestFit="1" customWidth="1"/>
    <col min="1318" max="1318" width="12.7265625" bestFit="1" customWidth="1"/>
    <col min="1319" max="1319" width="12.90625" bestFit="1" customWidth="1"/>
    <col min="1320" max="1321" width="13.1796875" bestFit="1" customWidth="1"/>
    <col min="1322" max="1322" width="12.7265625" bestFit="1" customWidth="1"/>
    <col min="1323" max="1324" width="12.90625" bestFit="1" customWidth="1"/>
    <col min="1325" max="1325" width="13.1796875" bestFit="1" customWidth="1"/>
    <col min="1326" max="1326" width="12.7265625" bestFit="1" customWidth="1"/>
    <col min="1327" max="1327" width="13.54296875" bestFit="1" customWidth="1"/>
    <col min="1328" max="1328" width="13.1796875" bestFit="1" customWidth="1"/>
    <col min="1329" max="1329" width="13" bestFit="1" customWidth="1"/>
    <col min="1330" max="1330" width="12.7265625" bestFit="1" customWidth="1"/>
    <col min="1331" max="1331" width="13.08984375" bestFit="1" customWidth="1"/>
    <col min="1332" max="1333" width="13" bestFit="1" customWidth="1"/>
    <col min="1334" max="1334" width="13.08984375" bestFit="1" customWidth="1"/>
    <col min="1335" max="1335" width="13.1796875" bestFit="1" customWidth="1"/>
    <col min="1336" max="1336" width="13.08984375" bestFit="1" customWidth="1"/>
    <col min="1337" max="1337" width="13.1796875" bestFit="1" customWidth="1"/>
    <col min="1338" max="1338" width="13" bestFit="1" customWidth="1"/>
    <col min="1339" max="1339" width="13.1796875" bestFit="1" customWidth="1"/>
    <col min="1340" max="1340" width="13.26953125" bestFit="1" customWidth="1"/>
    <col min="1341" max="1341" width="13.1796875" bestFit="1" customWidth="1"/>
    <col min="1342" max="1344" width="12.90625" bestFit="1" customWidth="1"/>
    <col min="1345" max="1345" width="13.08984375" bestFit="1" customWidth="1"/>
    <col min="1346" max="1346" width="13" bestFit="1" customWidth="1"/>
    <col min="1347" max="1347" width="12.90625" bestFit="1" customWidth="1"/>
    <col min="1348" max="1348" width="13.08984375" bestFit="1" customWidth="1"/>
    <col min="1349" max="1349" width="13" bestFit="1" customWidth="1"/>
    <col min="1350" max="1350" width="13.1796875" bestFit="1" customWidth="1"/>
    <col min="1351" max="1351" width="13.26953125" bestFit="1" customWidth="1"/>
    <col min="1352" max="1352" width="13" bestFit="1" customWidth="1"/>
    <col min="1353" max="1353" width="13.1796875" bestFit="1" customWidth="1"/>
    <col min="1354" max="1354" width="12.7265625" bestFit="1" customWidth="1"/>
    <col min="1355" max="1355" width="13.08984375" bestFit="1" customWidth="1"/>
    <col min="1356" max="1356" width="13.36328125" bestFit="1" customWidth="1"/>
    <col min="1357" max="1358" width="13.08984375" bestFit="1" customWidth="1"/>
    <col min="1359" max="1359" width="13.36328125" bestFit="1" customWidth="1"/>
    <col min="1360" max="1360" width="13.26953125" bestFit="1" customWidth="1"/>
    <col min="1361" max="1361" width="13.54296875" bestFit="1" customWidth="1"/>
    <col min="1362" max="1364" width="13.1796875" bestFit="1" customWidth="1"/>
    <col min="1365" max="1365" width="12.90625" bestFit="1" customWidth="1"/>
    <col min="1366" max="1366" width="13" bestFit="1" customWidth="1"/>
    <col min="1367" max="1368" width="12.7265625" bestFit="1" customWidth="1"/>
    <col min="1369" max="1369" width="13.08984375" bestFit="1" customWidth="1"/>
    <col min="1370" max="1371" width="13" bestFit="1" customWidth="1"/>
    <col min="1372" max="1372" width="12.90625" bestFit="1" customWidth="1"/>
    <col min="1373" max="1373" width="12.7265625" bestFit="1" customWidth="1"/>
    <col min="1374" max="1374" width="12.6328125" bestFit="1" customWidth="1"/>
    <col min="1375" max="1375" width="13.26953125" bestFit="1" customWidth="1"/>
    <col min="1376" max="1376" width="13.1796875" bestFit="1" customWidth="1"/>
    <col min="1377" max="1379" width="12.7265625" bestFit="1" customWidth="1"/>
    <col min="1380" max="1380" width="12.6328125" bestFit="1" customWidth="1"/>
    <col min="1381" max="1381" width="13.26953125" bestFit="1" customWidth="1"/>
    <col min="1382" max="1382" width="12.90625" bestFit="1" customWidth="1"/>
    <col min="1383" max="1383" width="13" bestFit="1" customWidth="1"/>
    <col min="1384" max="1385" width="12.6328125" bestFit="1" customWidth="1"/>
    <col min="1386" max="1386" width="13.36328125" bestFit="1" customWidth="1"/>
    <col min="1387" max="1387" width="12.7265625" bestFit="1" customWidth="1"/>
    <col min="1388" max="1388" width="13.1796875" bestFit="1" customWidth="1"/>
    <col min="1389" max="1390" width="13.36328125" bestFit="1" customWidth="1"/>
    <col min="1391" max="1391" width="12.90625" bestFit="1" customWidth="1"/>
    <col min="1392" max="1392" width="13.1796875" bestFit="1" customWidth="1"/>
    <col min="1393" max="1393" width="13.08984375" bestFit="1" customWidth="1"/>
    <col min="1394" max="1394" width="12.7265625" bestFit="1" customWidth="1"/>
    <col min="1395" max="1395" width="13" bestFit="1" customWidth="1"/>
    <col min="1396" max="1396" width="12.6328125" bestFit="1" customWidth="1"/>
    <col min="1397" max="1397" width="13.08984375" bestFit="1" customWidth="1"/>
    <col min="1398" max="1398" width="13.36328125" bestFit="1" customWidth="1"/>
    <col min="1399" max="1399" width="13.08984375" bestFit="1" customWidth="1"/>
    <col min="1400" max="1400" width="13" bestFit="1" customWidth="1"/>
    <col min="1401" max="1401" width="12.90625" bestFit="1" customWidth="1"/>
    <col min="1402" max="1402" width="12.7265625" bestFit="1" customWidth="1"/>
    <col min="1403" max="1404" width="12.54296875" bestFit="1" customWidth="1"/>
    <col min="1405" max="1405" width="13" bestFit="1" customWidth="1"/>
    <col min="1406" max="1406" width="12.7265625" bestFit="1" customWidth="1"/>
    <col min="1407" max="1407" width="13.1796875" bestFit="1" customWidth="1"/>
    <col min="1408" max="1408" width="12.90625" bestFit="1" customWidth="1"/>
    <col min="1409" max="1409" width="12.6328125" bestFit="1" customWidth="1"/>
    <col min="1410" max="1410" width="12.90625" bestFit="1" customWidth="1"/>
    <col min="1411" max="1411" width="12.7265625" bestFit="1" customWidth="1"/>
    <col min="1412" max="1412" width="13.08984375" bestFit="1" customWidth="1"/>
    <col min="1413" max="1413" width="13.36328125" bestFit="1" customWidth="1"/>
    <col min="1414" max="1414" width="12.7265625" bestFit="1" customWidth="1"/>
    <col min="1415" max="1415" width="12.54296875" bestFit="1" customWidth="1"/>
    <col min="1416" max="1416" width="12.6328125" bestFit="1" customWidth="1"/>
    <col min="1417" max="1417" width="13.36328125" bestFit="1" customWidth="1"/>
    <col min="1418" max="1418" width="12.54296875" bestFit="1" customWidth="1"/>
    <col min="1419" max="1419" width="13" bestFit="1" customWidth="1"/>
    <col min="1420" max="1420" width="12.7265625" bestFit="1" customWidth="1"/>
    <col min="1421" max="1421" width="13.1796875" bestFit="1" customWidth="1"/>
    <col min="1422" max="1423" width="12.6328125" bestFit="1" customWidth="1"/>
    <col min="1424" max="1424" width="13.1796875" bestFit="1" customWidth="1"/>
    <col min="1425" max="1426" width="12.6328125" bestFit="1" customWidth="1"/>
    <col min="1427" max="1427" width="12.7265625" bestFit="1" customWidth="1"/>
    <col min="1428" max="1429" width="13" bestFit="1" customWidth="1"/>
    <col min="1430" max="1430" width="12.7265625" bestFit="1" customWidth="1"/>
    <col min="1431" max="1431" width="13.1796875" bestFit="1" customWidth="1"/>
    <col min="1432" max="1433" width="12.90625" bestFit="1" customWidth="1"/>
    <col min="1434" max="1434" width="12.7265625" bestFit="1" customWidth="1"/>
    <col min="1435" max="1435" width="12.453125" bestFit="1" customWidth="1"/>
    <col min="1436" max="1436" width="13.1796875" bestFit="1" customWidth="1"/>
    <col min="1437" max="1437" width="13.08984375" bestFit="1" customWidth="1"/>
    <col min="1438" max="1438" width="12.90625" bestFit="1" customWidth="1"/>
    <col min="1439" max="1439" width="12.7265625" bestFit="1" customWidth="1"/>
    <col min="1440" max="1440" width="12.6328125" bestFit="1" customWidth="1"/>
    <col min="1441" max="1441" width="13.08984375" bestFit="1" customWidth="1"/>
    <col min="1442" max="1442" width="13" bestFit="1" customWidth="1"/>
    <col min="1443" max="1443" width="12.54296875" bestFit="1" customWidth="1"/>
    <col min="1444" max="1444" width="12.6328125" bestFit="1" customWidth="1"/>
    <col min="1445" max="1445" width="13.08984375" bestFit="1" customWidth="1"/>
    <col min="1446" max="1446" width="12.7265625" bestFit="1" customWidth="1"/>
    <col min="1447" max="1448" width="13" bestFit="1" customWidth="1"/>
    <col min="1449" max="1449" width="13.26953125" bestFit="1" customWidth="1"/>
    <col min="1450" max="1450" width="13.453125" bestFit="1" customWidth="1"/>
    <col min="1451" max="1451" width="13" bestFit="1" customWidth="1"/>
    <col min="1452" max="1453" width="12.6328125" bestFit="1" customWidth="1"/>
    <col min="1454" max="1454" width="12.54296875" bestFit="1" customWidth="1"/>
    <col min="1455" max="1459" width="12.7265625" bestFit="1" customWidth="1"/>
    <col min="1460" max="1460" width="12.90625" bestFit="1" customWidth="1"/>
    <col min="1461" max="1461" width="13.08984375" bestFit="1" customWidth="1"/>
    <col min="1462" max="1462" width="12.6328125" bestFit="1" customWidth="1"/>
    <col min="1463" max="1463" width="13.08984375" bestFit="1" customWidth="1"/>
    <col min="1464" max="1464" width="13" bestFit="1" customWidth="1"/>
    <col min="1465" max="1465" width="13.1796875" bestFit="1" customWidth="1"/>
    <col min="1466" max="1466" width="13.26953125" bestFit="1" customWidth="1"/>
    <col min="1467" max="1467" width="12.54296875" bestFit="1" customWidth="1"/>
    <col min="1468" max="1468" width="12.6328125" bestFit="1" customWidth="1"/>
    <col min="1469" max="1469" width="12.7265625" bestFit="1" customWidth="1"/>
    <col min="1470" max="1470" width="13.1796875" bestFit="1" customWidth="1"/>
    <col min="1471" max="1471" width="13" bestFit="1" customWidth="1"/>
    <col min="1472" max="1472" width="13.08984375" bestFit="1" customWidth="1"/>
    <col min="1473" max="1473" width="13.1796875" bestFit="1" customWidth="1"/>
    <col min="1474" max="1474" width="12.90625" bestFit="1" customWidth="1"/>
    <col min="1475" max="1475" width="12.7265625" bestFit="1" customWidth="1"/>
    <col min="1476" max="1476" width="13.36328125" bestFit="1" customWidth="1"/>
    <col min="1477" max="1478" width="12.90625" bestFit="1" customWidth="1"/>
    <col min="1479" max="1479" width="13.08984375" bestFit="1" customWidth="1"/>
    <col min="1480" max="1480" width="13.36328125" bestFit="1" customWidth="1"/>
    <col min="1481" max="1481" width="13.54296875" bestFit="1" customWidth="1"/>
    <col min="1482" max="1482" width="13.1796875" bestFit="1" customWidth="1"/>
    <col min="1483" max="1483" width="13.453125" bestFit="1" customWidth="1"/>
    <col min="1484" max="1484" width="12.90625" bestFit="1" customWidth="1"/>
    <col min="1485" max="1487" width="13" bestFit="1" customWidth="1"/>
    <col min="1488" max="1488" width="12.90625" bestFit="1" customWidth="1"/>
    <col min="1489" max="1489" width="13" bestFit="1" customWidth="1"/>
    <col min="1490" max="1490" width="12.7265625" bestFit="1" customWidth="1"/>
    <col min="1491" max="1491" width="12.90625" bestFit="1" customWidth="1"/>
    <col min="1492" max="1492" width="12.7265625" bestFit="1" customWidth="1"/>
    <col min="1493" max="1493" width="13" bestFit="1" customWidth="1"/>
    <col min="1494" max="1494" width="12.6328125" bestFit="1" customWidth="1"/>
    <col min="1495" max="1495" width="12.7265625" bestFit="1" customWidth="1"/>
    <col min="1496" max="1497" width="13.1796875" bestFit="1" customWidth="1"/>
    <col min="1498" max="1498" width="12.90625" bestFit="1" customWidth="1"/>
    <col min="1499" max="1499" width="12.7265625" bestFit="1" customWidth="1"/>
    <col min="1500" max="1501" width="13.08984375" bestFit="1" customWidth="1"/>
    <col min="1502" max="1502" width="13.26953125" bestFit="1" customWidth="1"/>
    <col min="1503" max="1503" width="12.7265625" bestFit="1" customWidth="1"/>
    <col min="1504" max="1504" width="13" bestFit="1" customWidth="1"/>
    <col min="1505" max="1505" width="13.1796875" bestFit="1" customWidth="1"/>
    <col min="1506" max="1506" width="13" bestFit="1" customWidth="1"/>
    <col min="1507" max="1507" width="13.08984375" bestFit="1" customWidth="1"/>
    <col min="1508" max="1509" width="13.36328125" bestFit="1" customWidth="1"/>
    <col min="1510" max="1510" width="13.54296875" bestFit="1" customWidth="1"/>
    <col min="1511" max="1511" width="13.7265625" bestFit="1" customWidth="1"/>
    <col min="1512" max="1512" width="13.36328125" bestFit="1" customWidth="1"/>
    <col min="1513" max="1513" width="13.26953125" bestFit="1" customWidth="1"/>
    <col min="1514" max="1514" width="13.1796875" bestFit="1" customWidth="1"/>
    <col min="1515" max="1515" width="13.36328125" bestFit="1" customWidth="1"/>
    <col min="1516" max="1516" width="13" bestFit="1" customWidth="1"/>
    <col min="1517" max="1517" width="13.26953125" bestFit="1" customWidth="1"/>
    <col min="1518" max="1518" width="13" bestFit="1" customWidth="1"/>
    <col min="1519" max="1519" width="12.6328125" bestFit="1" customWidth="1"/>
    <col min="1520" max="1520" width="13.08984375" bestFit="1" customWidth="1"/>
    <col min="1521" max="1521" width="12.90625" bestFit="1" customWidth="1"/>
    <col min="1522" max="1522" width="13" bestFit="1" customWidth="1"/>
    <col min="1523" max="1523" width="12.7265625" bestFit="1" customWidth="1"/>
    <col min="1524" max="1524" width="13.08984375" bestFit="1" customWidth="1"/>
    <col min="1525" max="1525" width="13.36328125" bestFit="1" customWidth="1"/>
    <col min="1526" max="1526" width="12.90625" bestFit="1" customWidth="1"/>
    <col min="1527" max="1527" width="12.7265625" bestFit="1" customWidth="1"/>
    <col min="1528" max="1528" width="13" bestFit="1" customWidth="1"/>
    <col min="1529" max="1529" width="12.7265625" bestFit="1" customWidth="1"/>
    <col min="1530" max="1530" width="13.1796875" bestFit="1" customWidth="1"/>
    <col min="1531" max="1531" width="12.90625" bestFit="1" customWidth="1"/>
    <col min="1532" max="1532" width="13.1796875" bestFit="1" customWidth="1"/>
    <col min="1533" max="1533" width="13.54296875" bestFit="1" customWidth="1"/>
    <col min="1534" max="1535" width="12.90625" bestFit="1" customWidth="1"/>
    <col min="1536" max="1536" width="12.6328125" bestFit="1" customWidth="1"/>
    <col min="1537" max="1537" width="13.1796875" bestFit="1" customWidth="1"/>
    <col min="1538" max="1539" width="12.7265625" bestFit="1" customWidth="1"/>
    <col min="1540" max="1540" width="13.54296875" bestFit="1" customWidth="1"/>
    <col min="1541" max="1541" width="12.7265625" bestFit="1" customWidth="1"/>
    <col min="1542" max="1542" width="13.1796875" bestFit="1" customWidth="1"/>
    <col min="1543" max="1543" width="13" bestFit="1" customWidth="1"/>
    <col min="1544" max="1544" width="13.26953125" bestFit="1" customWidth="1"/>
    <col min="1545" max="1545" width="13" bestFit="1" customWidth="1"/>
    <col min="1546" max="1546" width="12.6328125" bestFit="1" customWidth="1"/>
    <col min="1547" max="1547" width="12.90625" bestFit="1" customWidth="1"/>
    <col min="1548" max="1548" width="13.26953125" bestFit="1" customWidth="1"/>
    <col min="1549" max="1549" width="12.90625" bestFit="1" customWidth="1"/>
    <col min="1550" max="1551" width="13" bestFit="1" customWidth="1"/>
    <col min="1552" max="1552" width="13.453125" bestFit="1" customWidth="1"/>
    <col min="1553" max="1553" width="12.7265625" bestFit="1" customWidth="1"/>
    <col min="1554" max="1554" width="12.6328125" bestFit="1" customWidth="1"/>
    <col min="1555" max="1556" width="13.1796875" bestFit="1" customWidth="1"/>
    <col min="1557" max="1557" width="12.90625" bestFit="1" customWidth="1"/>
    <col min="1558" max="1559" width="13.08984375" bestFit="1" customWidth="1"/>
    <col min="1560" max="1560" width="12.6328125" bestFit="1" customWidth="1"/>
    <col min="1561" max="1561" width="13.36328125" bestFit="1" customWidth="1"/>
    <col min="1562" max="1562" width="13" bestFit="1" customWidth="1"/>
    <col min="1563" max="1564" width="13.1796875" bestFit="1" customWidth="1"/>
    <col min="1565" max="1566" width="12.7265625" bestFit="1" customWidth="1"/>
    <col min="1567" max="1567" width="13" bestFit="1" customWidth="1"/>
    <col min="1568" max="1568" width="13.36328125" bestFit="1" customWidth="1"/>
    <col min="1569" max="1574" width="12.6328125" bestFit="1" customWidth="1"/>
    <col min="1575" max="1575" width="12.7265625" bestFit="1" customWidth="1"/>
    <col min="1576" max="1576" width="12.90625" bestFit="1" customWidth="1"/>
    <col min="1577" max="1577" width="12.6328125" bestFit="1" customWidth="1"/>
    <col min="1578" max="1578" width="13.1796875" bestFit="1" customWidth="1"/>
    <col min="1579" max="1579" width="13.08984375" bestFit="1" customWidth="1"/>
    <col min="1580" max="1581" width="12.7265625" bestFit="1" customWidth="1"/>
    <col min="1582" max="1582" width="12.90625" bestFit="1" customWidth="1"/>
    <col min="1583" max="1583" width="12.7265625" bestFit="1" customWidth="1"/>
    <col min="1584" max="1585" width="13" bestFit="1" customWidth="1"/>
    <col min="1586" max="1586" width="12.7265625" bestFit="1" customWidth="1"/>
    <col min="1587" max="1587" width="12.54296875" bestFit="1" customWidth="1"/>
    <col min="1588" max="1588" width="13.26953125" bestFit="1" customWidth="1"/>
    <col min="1589" max="1590" width="12.7265625" bestFit="1" customWidth="1"/>
    <col min="1591" max="1591" width="12.453125" bestFit="1" customWidth="1"/>
    <col min="1592" max="1592" width="12.90625" bestFit="1" customWidth="1"/>
    <col min="1593" max="1593" width="13" bestFit="1" customWidth="1"/>
    <col min="1594" max="1594" width="13.08984375" bestFit="1" customWidth="1"/>
    <col min="1595" max="1595" width="12.90625" bestFit="1" customWidth="1"/>
    <col min="1596" max="1597" width="13.26953125" bestFit="1" customWidth="1"/>
    <col min="1598" max="1598" width="13.08984375" bestFit="1" customWidth="1"/>
    <col min="1599" max="1599" width="13.1796875" bestFit="1" customWidth="1"/>
    <col min="1600" max="1601" width="13" bestFit="1" customWidth="1"/>
    <col min="1602" max="1602" width="12.7265625" bestFit="1" customWidth="1"/>
    <col min="1603" max="1603" width="13.26953125" bestFit="1" customWidth="1"/>
    <col min="1604" max="1604" width="13.1796875" bestFit="1" customWidth="1"/>
    <col min="1605" max="1606" width="13.08984375" bestFit="1" customWidth="1"/>
    <col min="1607" max="1607" width="13.26953125" bestFit="1" customWidth="1"/>
    <col min="1608" max="1609" width="12.7265625" bestFit="1" customWidth="1"/>
    <col min="1610" max="1610" width="13.08984375" bestFit="1" customWidth="1"/>
    <col min="1611" max="1611" width="12.90625" bestFit="1" customWidth="1"/>
    <col min="1612" max="1612" width="13.26953125" bestFit="1" customWidth="1"/>
    <col min="1613" max="1613" width="13.1796875" bestFit="1" customWidth="1"/>
    <col min="1614" max="1614" width="13.26953125" bestFit="1" customWidth="1"/>
    <col min="1615" max="1615" width="12.7265625" bestFit="1" customWidth="1"/>
    <col min="1616" max="1616" width="13.1796875" bestFit="1" customWidth="1"/>
    <col min="1617" max="1617" width="13.26953125" bestFit="1" customWidth="1"/>
    <col min="1618" max="1618" width="13.08984375" bestFit="1" customWidth="1"/>
    <col min="1619" max="1619" width="13.453125" bestFit="1" customWidth="1"/>
    <col min="1620" max="1620" width="12.90625" bestFit="1" customWidth="1"/>
    <col min="1621" max="1621" width="13.26953125" bestFit="1" customWidth="1"/>
    <col min="1622" max="1622" width="12.7265625" bestFit="1" customWidth="1"/>
    <col min="1623" max="1623" width="12.90625" bestFit="1" customWidth="1"/>
    <col min="1624" max="1624" width="13.08984375" bestFit="1" customWidth="1"/>
    <col min="1625" max="1625" width="13.1796875" bestFit="1" customWidth="1"/>
    <col min="1626" max="1626" width="13.36328125" bestFit="1" customWidth="1"/>
    <col min="1627" max="1627" width="12.90625" bestFit="1" customWidth="1"/>
    <col min="1628" max="1628" width="12.54296875" bestFit="1" customWidth="1"/>
    <col min="1629" max="1629" width="13" bestFit="1" customWidth="1"/>
    <col min="1630" max="1630" width="12.6328125" bestFit="1" customWidth="1"/>
    <col min="1631" max="1631" width="13" bestFit="1" customWidth="1"/>
    <col min="1632" max="1632" width="13.26953125" bestFit="1" customWidth="1"/>
    <col min="1633" max="1633" width="13.1796875" bestFit="1" customWidth="1"/>
    <col min="1634" max="1634" width="12.90625" bestFit="1" customWidth="1"/>
    <col min="1635" max="1635" width="13.1796875" bestFit="1" customWidth="1"/>
    <col min="1636" max="1636" width="12.6328125" bestFit="1" customWidth="1"/>
    <col min="1637" max="1637" width="13.08984375" bestFit="1" customWidth="1"/>
    <col min="1638" max="1638" width="12.7265625" bestFit="1" customWidth="1"/>
    <col min="1639" max="1640" width="13" bestFit="1" customWidth="1"/>
    <col min="1641" max="1641" width="12.7265625" bestFit="1" customWidth="1"/>
    <col min="1642" max="1642" width="12.453125" bestFit="1" customWidth="1"/>
    <col min="1643" max="1643" width="12.6328125" bestFit="1" customWidth="1"/>
    <col min="1644" max="1644" width="13" bestFit="1" customWidth="1"/>
    <col min="1645" max="1645" width="12.54296875" bestFit="1" customWidth="1"/>
    <col min="1646" max="1646" width="13" bestFit="1" customWidth="1"/>
    <col min="1647" max="1647" width="12.90625" bestFit="1" customWidth="1"/>
    <col min="1648" max="1648" width="13.26953125" bestFit="1" customWidth="1"/>
    <col min="1649" max="1649" width="13" bestFit="1" customWidth="1"/>
    <col min="1650" max="1650" width="12.6328125" bestFit="1" customWidth="1"/>
    <col min="1651" max="1651" width="13.26953125" bestFit="1" customWidth="1"/>
    <col min="1652" max="1652" width="12.90625" bestFit="1" customWidth="1"/>
    <col min="1653" max="1653" width="13.1796875" bestFit="1" customWidth="1"/>
    <col min="1654" max="1654" width="13" bestFit="1" customWidth="1"/>
    <col min="1655" max="1655" width="12.90625" bestFit="1" customWidth="1"/>
    <col min="1656" max="1656" width="13.1796875" bestFit="1" customWidth="1"/>
    <col min="1657" max="1658" width="13" bestFit="1" customWidth="1"/>
    <col min="1659" max="1659" width="12.7265625" bestFit="1" customWidth="1"/>
    <col min="1660" max="1660" width="12.90625" bestFit="1" customWidth="1"/>
    <col min="1661" max="1661" width="13.26953125" bestFit="1" customWidth="1"/>
    <col min="1662" max="1663" width="12.90625" bestFit="1" customWidth="1"/>
    <col min="1664" max="1664" width="13.1796875" bestFit="1" customWidth="1"/>
    <col min="1665" max="1665" width="13" bestFit="1" customWidth="1"/>
    <col min="1666" max="1666" width="12.90625" bestFit="1" customWidth="1"/>
    <col min="1667" max="1667" width="13" bestFit="1" customWidth="1"/>
    <col min="1668" max="1668" width="13.08984375" bestFit="1" customWidth="1"/>
    <col min="1669" max="1669" width="13.1796875" bestFit="1" customWidth="1"/>
    <col min="1670" max="1670" width="12.7265625" bestFit="1" customWidth="1"/>
    <col min="1671" max="1671" width="13.08984375" bestFit="1" customWidth="1"/>
    <col min="1672" max="1672" width="12.7265625" bestFit="1" customWidth="1"/>
    <col min="1673" max="1673" width="13.1796875" bestFit="1" customWidth="1"/>
    <col min="1674" max="1674" width="13.08984375" bestFit="1" customWidth="1"/>
    <col min="1675" max="1676" width="13.26953125" bestFit="1" customWidth="1"/>
    <col min="1677" max="1677" width="13.81640625" bestFit="1" customWidth="1"/>
    <col min="1678" max="1678" width="13.1796875" bestFit="1" customWidth="1"/>
    <col min="1679" max="1679" width="13.26953125" bestFit="1" customWidth="1"/>
    <col min="1680" max="1680" width="13.36328125" bestFit="1" customWidth="1"/>
    <col min="1681" max="1681" width="13" bestFit="1" customWidth="1"/>
    <col min="1682" max="1682" width="13.453125" bestFit="1" customWidth="1"/>
    <col min="1683" max="1683" width="13" bestFit="1" customWidth="1"/>
    <col min="1684" max="1684" width="12.7265625" bestFit="1" customWidth="1"/>
    <col min="1685" max="1685" width="13.1796875" bestFit="1" customWidth="1"/>
    <col min="1686" max="1686" width="13.26953125" bestFit="1" customWidth="1"/>
    <col min="1687" max="1687" width="12.90625" bestFit="1" customWidth="1"/>
    <col min="1688" max="1688" width="13.453125" bestFit="1" customWidth="1"/>
    <col min="1689" max="1689" width="13.08984375" bestFit="1" customWidth="1"/>
    <col min="1690" max="1690" width="13.54296875" bestFit="1" customWidth="1"/>
    <col min="1691" max="1691" width="12.7265625" bestFit="1" customWidth="1"/>
    <col min="1692" max="1692" width="13.1796875" bestFit="1" customWidth="1"/>
    <col min="1693" max="1693" width="12.90625" bestFit="1" customWidth="1"/>
    <col min="1694" max="1694" width="13" bestFit="1" customWidth="1"/>
    <col min="1695" max="1695" width="13.1796875" bestFit="1" customWidth="1"/>
    <col min="1696" max="1696" width="13.08984375" bestFit="1" customWidth="1"/>
    <col min="1697" max="1697" width="12.54296875" bestFit="1" customWidth="1"/>
    <col min="1698" max="1698" width="13.1796875" bestFit="1" customWidth="1"/>
    <col min="1699" max="1699" width="13.54296875" bestFit="1" customWidth="1"/>
    <col min="1700" max="1700" width="13.08984375" bestFit="1" customWidth="1"/>
    <col min="1701" max="1702" width="12.90625" bestFit="1" customWidth="1"/>
    <col min="1703" max="1704" width="13.36328125" bestFit="1" customWidth="1"/>
    <col min="1705" max="1705" width="13.453125" bestFit="1" customWidth="1"/>
    <col min="1706" max="1706" width="12.90625" bestFit="1" customWidth="1"/>
    <col min="1707" max="1707" width="13.1796875" bestFit="1" customWidth="1"/>
    <col min="1708" max="1708" width="12.7265625" bestFit="1" customWidth="1"/>
    <col min="1709" max="1709" width="13.08984375" bestFit="1" customWidth="1"/>
    <col min="1710" max="1710" width="13" bestFit="1" customWidth="1"/>
    <col min="1711" max="1711" width="13.26953125" bestFit="1" customWidth="1"/>
    <col min="1712" max="1712" width="13.453125" bestFit="1" customWidth="1"/>
    <col min="1713" max="1713" width="12.90625" bestFit="1" customWidth="1"/>
    <col min="1714" max="1714" width="13.08984375" bestFit="1" customWidth="1"/>
    <col min="1715" max="1715" width="12.90625" bestFit="1" customWidth="1"/>
    <col min="1716" max="1716" width="13" bestFit="1" customWidth="1"/>
    <col min="1717" max="1717" width="13.26953125" bestFit="1" customWidth="1"/>
    <col min="1718" max="1718" width="12.7265625" bestFit="1" customWidth="1"/>
    <col min="1719" max="1719" width="13.453125" bestFit="1" customWidth="1"/>
    <col min="1720" max="1720" width="13.1796875" bestFit="1" customWidth="1"/>
    <col min="1721" max="1721" width="12.90625" bestFit="1" customWidth="1"/>
    <col min="1722" max="1722" width="13" bestFit="1" customWidth="1"/>
    <col min="1723" max="1723" width="13.08984375" bestFit="1" customWidth="1"/>
    <col min="1724" max="1724" width="13.453125" bestFit="1" customWidth="1"/>
    <col min="1725" max="1725" width="14" bestFit="1" customWidth="1"/>
    <col min="1726" max="1726" width="13.08984375" bestFit="1" customWidth="1"/>
    <col min="1727" max="1727" width="13.1796875" bestFit="1" customWidth="1"/>
    <col min="1728" max="1728" width="13.36328125" bestFit="1" customWidth="1"/>
    <col min="1729" max="1729" width="13.453125" bestFit="1" customWidth="1"/>
    <col min="1730" max="1730" width="13.26953125" bestFit="1" customWidth="1"/>
    <col min="1731" max="1731" width="13" bestFit="1" customWidth="1"/>
    <col min="1732" max="1732" width="13.26953125" bestFit="1" customWidth="1"/>
    <col min="1733" max="1733" width="13.08984375" bestFit="1" customWidth="1"/>
    <col min="1734" max="1734" width="13.26953125" bestFit="1" customWidth="1"/>
    <col min="1735" max="1735" width="13" bestFit="1" customWidth="1"/>
    <col min="1736" max="1736" width="13.1796875" bestFit="1" customWidth="1"/>
    <col min="1737" max="1737" width="13.08984375" bestFit="1" customWidth="1"/>
    <col min="1738" max="1738" width="13.453125" bestFit="1" customWidth="1"/>
    <col min="1739" max="1739" width="13.36328125" bestFit="1" customWidth="1"/>
    <col min="1740" max="1740" width="12.7265625" bestFit="1" customWidth="1"/>
    <col min="1741" max="1741" width="13" bestFit="1" customWidth="1"/>
    <col min="1742" max="1742" width="13.1796875" bestFit="1" customWidth="1"/>
    <col min="1743" max="1743" width="13.7265625" bestFit="1" customWidth="1"/>
    <col min="1744" max="1744" width="14.08984375" bestFit="1" customWidth="1"/>
    <col min="1745" max="1745" width="13.81640625" bestFit="1" customWidth="1"/>
    <col min="1746" max="1746" width="13" bestFit="1" customWidth="1"/>
    <col min="1747" max="1748" width="12.90625" bestFit="1" customWidth="1"/>
    <col min="1749" max="1749" width="12.7265625" bestFit="1" customWidth="1"/>
    <col min="1750" max="1750" width="12.90625" bestFit="1" customWidth="1"/>
    <col min="1751" max="1751" width="13" bestFit="1" customWidth="1"/>
    <col min="1752" max="1754" width="12.90625" bestFit="1" customWidth="1"/>
    <col min="1755" max="1755" width="13" bestFit="1" customWidth="1"/>
    <col min="1756" max="1756" width="13.26953125" bestFit="1" customWidth="1"/>
    <col min="1757" max="1758" width="13.08984375" bestFit="1" customWidth="1"/>
    <col min="1759" max="1759" width="13.26953125" bestFit="1" customWidth="1"/>
    <col min="1760" max="1760" width="12.90625" bestFit="1" customWidth="1"/>
    <col min="1761" max="1761" width="12.6328125" bestFit="1" customWidth="1"/>
    <col min="1762" max="1762" width="12.54296875" bestFit="1" customWidth="1"/>
    <col min="1763" max="1763" width="12.90625" bestFit="1" customWidth="1"/>
    <col min="1764" max="1765" width="12.54296875" bestFit="1" customWidth="1"/>
    <col min="1766" max="1766" width="12.6328125" bestFit="1" customWidth="1"/>
    <col min="1767" max="1767" width="12.54296875" bestFit="1" customWidth="1"/>
    <col min="1768" max="1769" width="12.90625" bestFit="1" customWidth="1"/>
    <col min="1770" max="1770" width="12.54296875" bestFit="1" customWidth="1"/>
    <col min="1771" max="1771" width="12.6328125" bestFit="1" customWidth="1"/>
    <col min="1772" max="1773" width="12.54296875" bestFit="1" customWidth="1"/>
    <col min="1774" max="1775" width="12.7265625" bestFit="1" customWidth="1"/>
    <col min="1776" max="1777" width="12.90625" bestFit="1" customWidth="1"/>
    <col min="1778" max="1779" width="12.453125" bestFit="1" customWidth="1"/>
    <col min="1780" max="1780" width="12.90625" bestFit="1" customWidth="1"/>
    <col min="1781" max="1781" width="12.7265625" bestFit="1" customWidth="1"/>
    <col min="1782" max="1782" width="12.90625" bestFit="1" customWidth="1"/>
    <col min="1783" max="1783" width="12.6328125" bestFit="1" customWidth="1"/>
    <col min="1784" max="1784" width="13" bestFit="1" customWidth="1"/>
    <col min="1785" max="1788" width="12.54296875" bestFit="1" customWidth="1"/>
    <col min="1789" max="1789" width="12.6328125" bestFit="1" customWidth="1"/>
    <col min="1790" max="1790" width="12.90625" bestFit="1" customWidth="1"/>
    <col min="1791" max="1792" width="12.7265625" bestFit="1" customWidth="1"/>
    <col min="1793" max="1793" width="12.6328125" bestFit="1" customWidth="1"/>
    <col min="1794" max="1794" width="12.90625" bestFit="1" customWidth="1"/>
    <col min="1795" max="1795" width="12.54296875" bestFit="1" customWidth="1"/>
    <col min="1796" max="1796" width="12.7265625" bestFit="1" customWidth="1"/>
    <col min="1797" max="1797" width="12.6328125" bestFit="1" customWidth="1"/>
    <col min="1798" max="1798" width="12.36328125" bestFit="1" customWidth="1"/>
    <col min="1799" max="1799" width="12.6328125" bestFit="1" customWidth="1"/>
    <col min="1800" max="1800" width="12.54296875" bestFit="1" customWidth="1"/>
    <col min="1801" max="1801" width="12.26953125" bestFit="1" customWidth="1"/>
    <col min="1802" max="1802" width="12.54296875" bestFit="1" customWidth="1"/>
    <col min="1803" max="1803" width="13.1796875" bestFit="1" customWidth="1"/>
    <col min="1804" max="1804" width="12.6328125" bestFit="1" customWidth="1"/>
    <col min="1805" max="1805" width="12.7265625" bestFit="1" customWidth="1"/>
    <col min="1806" max="1806" width="12.90625" bestFit="1" customWidth="1"/>
    <col min="1807" max="1807" width="12.6328125" bestFit="1" customWidth="1"/>
    <col min="1808" max="1809" width="13" bestFit="1" customWidth="1"/>
    <col min="1810" max="1810" width="12.90625" bestFit="1" customWidth="1"/>
    <col min="1811" max="1811" width="12.6328125" bestFit="1" customWidth="1"/>
    <col min="1812" max="1812" width="13" bestFit="1" customWidth="1"/>
    <col min="1813" max="1814" width="12.453125" bestFit="1" customWidth="1"/>
    <col min="1815" max="1815" width="12.54296875" bestFit="1" customWidth="1"/>
    <col min="1816" max="1816" width="13.1796875" bestFit="1" customWidth="1"/>
    <col min="1817" max="1817" width="12.7265625" bestFit="1" customWidth="1"/>
    <col min="1818" max="1818" width="12.6328125" bestFit="1" customWidth="1"/>
    <col min="1819" max="1819" width="12.54296875" bestFit="1" customWidth="1"/>
    <col min="1820" max="1820" width="13.08984375" bestFit="1" customWidth="1"/>
    <col min="1821" max="1822" width="12.6328125" bestFit="1" customWidth="1"/>
    <col min="1823" max="1823" width="12.54296875" bestFit="1" customWidth="1"/>
    <col min="1824" max="1824" width="12.6328125" bestFit="1" customWidth="1"/>
    <col min="1825" max="1825" width="12.7265625" bestFit="1" customWidth="1"/>
    <col min="1826" max="1826" width="13" bestFit="1" customWidth="1"/>
    <col min="1827" max="1827" width="12.7265625" bestFit="1" customWidth="1"/>
    <col min="1828" max="1828" width="13" bestFit="1" customWidth="1"/>
    <col min="1829" max="1829" width="12.6328125" bestFit="1" customWidth="1"/>
    <col min="1830" max="1830" width="13" bestFit="1" customWidth="1"/>
    <col min="1831" max="1831" width="12.6328125" bestFit="1" customWidth="1"/>
    <col min="1832" max="1832" width="12.54296875" bestFit="1" customWidth="1"/>
    <col min="1833" max="1833" width="12.7265625" bestFit="1" customWidth="1"/>
    <col min="1834" max="1834" width="13" bestFit="1" customWidth="1"/>
    <col min="1835" max="1836" width="12.90625" bestFit="1" customWidth="1"/>
    <col min="1837" max="1837" width="13.08984375" bestFit="1" customWidth="1"/>
    <col min="1838" max="1839" width="13.36328125" bestFit="1" customWidth="1"/>
    <col min="1840" max="1840" width="13.08984375" bestFit="1" customWidth="1"/>
    <col min="1841" max="1841" width="13" bestFit="1" customWidth="1"/>
    <col min="1842" max="1842" width="13.26953125" bestFit="1" customWidth="1"/>
    <col min="1843" max="1843" width="12.90625" bestFit="1" customWidth="1"/>
    <col min="1844" max="1844" width="13.08984375" bestFit="1" customWidth="1"/>
    <col min="1845" max="1845" width="12.6328125" bestFit="1" customWidth="1"/>
    <col min="1846" max="1846" width="13" bestFit="1" customWidth="1"/>
    <col min="1847" max="1847" width="12.90625" bestFit="1" customWidth="1"/>
    <col min="1848" max="1848" width="12.6328125" bestFit="1" customWidth="1"/>
    <col min="1849" max="1849" width="13.08984375" bestFit="1" customWidth="1"/>
    <col min="1850" max="1850" width="12.7265625" bestFit="1" customWidth="1"/>
    <col min="1851" max="1851" width="12.90625" bestFit="1" customWidth="1"/>
    <col min="1852" max="1852" width="13.1796875" bestFit="1" customWidth="1"/>
    <col min="1853" max="1853" width="12.90625" bestFit="1" customWidth="1"/>
    <col min="1854" max="1854" width="12.7265625" bestFit="1" customWidth="1"/>
    <col min="1855" max="1855" width="12.90625" bestFit="1" customWidth="1"/>
    <col min="1856" max="1856" width="12.54296875" bestFit="1" customWidth="1"/>
    <col min="1857" max="1857" width="12.7265625" bestFit="1" customWidth="1"/>
    <col min="1858" max="1858" width="13.26953125" bestFit="1" customWidth="1"/>
    <col min="1859" max="1859" width="13.1796875" bestFit="1" customWidth="1"/>
    <col min="1860" max="1860" width="12.90625" bestFit="1" customWidth="1"/>
    <col min="1861" max="1862" width="13.08984375" bestFit="1" customWidth="1"/>
    <col min="1863" max="1863" width="12.90625" bestFit="1" customWidth="1"/>
    <col min="1864" max="1864" width="13.08984375" bestFit="1" customWidth="1"/>
    <col min="1865" max="1865" width="13.453125" bestFit="1" customWidth="1"/>
    <col min="1866" max="1866" width="12.7265625" bestFit="1" customWidth="1"/>
    <col min="1867" max="1867" width="12.54296875" bestFit="1" customWidth="1"/>
    <col min="1868" max="1868" width="12.90625" bestFit="1" customWidth="1"/>
    <col min="1869" max="1869" width="12.54296875" bestFit="1" customWidth="1"/>
    <col min="1870" max="1870" width="13" bestFit="1" customWidth="1"/>
    <col min="1871" max="1871" width="12.54296875" bestFit="1" customWidth="1"/>
    <col min="1872" max="1872" width="13" bestFit="1" customWidth="1"/>
    <col min="1873" max="1873" width="12.6328125" bestFit="1" customWidth="1"/>
    <col min="1874" max="1874" width="12.90625" bestFit="1" customWidth="1"/>
    <col min="1875" max="1875" width="12.7265625" bestFit="1" customWidth="1"/>
    <col min="1876" max="1876" width="13" bestFit="1" customWidth="1"/>
    <col min="1877" max="1877" width="12.36328125" bestFit="1" customWidth="1"/>
    <col min="1878" max="1878" width="12.6328125" bestFit="1" customWidth="1"/>
    <col min="1879" max="1879" width="12.90625" bestFit="1" customWidth="1"/>
    <col min="1880" max="1880" width="12.6328125" bestFit="1" customWidth="1"/>
    <col min="1881" max="1883" width="12.7265625" bestFit="1" customWidth="1"/>
    <col min="1884" max="1885" width="12.453125" bestFit="1" customWidth="1"/>
    <col min="1886" max="1886" width="12.6328125" bestFit="1" customWidth="1"/>
    <col min="1887" max="1887" width="12.7265625" bestFit="1" customWidth="1"/>
    <col min="1888" max="1888" width="13" bestFit="1" customWidth="1"/>
    <col min="1889" max="1889" width="12.90625" bestFit="1" customWidth="1"/>
    <col min="1890" max="1890" width="12.7265625" bestFit="1" customWidth="1"/>
    <col min="1891" max="1891" width="13.08984375" bestFit="1" customWidth="1"/>
    <col min="1892" max="1892" width="12.7265625" bestFit="1" customWidth="1"/>
    <col min="1893" max="1893" width="13" bestFit="1" customWidth="1"/>
    <col min="1894" max="1894" width="12.6328125" bestFit="1" customWidth="1"/>
    <col min="1895" max="1895" width="12.90625" bestFit="1" customWidth="1"/>
    <col min="1896" max="1896" width="12.6328125" bestFit="1" customWidth="1"/>
    <col min="1897" max="1897" width="12.54296875" bestFit="1" customWidth="1"/>
    <col min="1898" max="1898" width="12.6328125" bestFit="1" customWidth="1"/>
    <col min="1899" max="1899" width="12.36328125" bestFit="1" customWidth="1"/>
    <col min="1900" max="1900" width="12.453125" bestFit="1" customWidth="1"/>
    <col min="1901" max="1901" width="12.7265625" bestFit="1" customWidth="1"/>
    <col min="1902" max="1902" width="12.453125" bestFit="1" customWidth="1"/>
    <col min="1903" max="1904" width="12.6328125" bestFit="1" customWidth="1"/>
    <col min="1905" max="1906" width="12.54296875" bestFit="1" customWidth="1"/>
    <col min="1907" max="1907" width="13" bestFit="1" customWidth="1"/>
    <col min="1908" max="1908" width="12.6328125" bestFit="1" customWidth="1"/>
    <col min="1909" max="1910" width="12.7265625" bestFit="1" customWidth="1"/>
    <col min="1911" max="1911" width="12.453125" bestFit="1" customWidth="1"/>
    <col min="1912" max="1912" width="12.6328125" bestFit="1" customWidth="1"/>
    <col min="1913" max="1913" width="12.54296875" bestFit="1" customWidth="1"/>
    <col min="1914" max="1914" width="12.6328125" bestFit="1" customWidth="1"/>
    <col min="1915" max="1915" width="12.90625" bestFit="1" customWidth="1"/>
    <col min="1916" max="1916" width="13.1796875" bestFit="1" customWidth="1"/>
    <col min="1917" max="1917" width="13" bestFit="1" customWidth="1"/>
    <col min="1918" max="1918" width="12.90625" bestFit="1" customWidth="1"/>
    <col min="1919" max="1919" width="12.6328125" bestFit="1" customWidth="1"/>
    <col min="1920" max="1920" width="12.36328125" bestFit="1" customWidth="1"/>
    <col min="1921" max="1921" width="12.453125" bestFit="1" customWidth="1"/>
    <col min="1922" max="1924" width="12.6328125" bestFit="1" customWidth="1"/>
    <col min="1925" max="1925" width="12.453125" bestFit="1" customWidth="1"/>
    <col min="1926" max="1926" width="12.26953125" bestFit="1" customWidth="1"/>
    <col min="1927" max="1927" width="12.6328125" bestFit="1" customWidth="1"/>
    <col min="1928" max="1928" width="12.7265625" bestFit="1" customWidth="1"/>
    <col min="1929" max="1931" width="12.54296875" bestFit="1" customWidth="1"/>
    <col min="1932" max="1932" width="12.90625" bestFit="1" customWidth="1"/>
    <col min="1933" max="1933" width="12.6328125" bestFit="1" customWidth="1"/>
    <col min="1934" max="1934" width="12.54296875" bestFit="1" customWidth="1"/>
    <col min="1935" max="1935" width="12.453125" bestFit="1" customWidth="1"/>
    <col min="1936" max="1937" width="12.6328125" bestFit="1" customWidth="1"/>
    <col min="1938" max="1938" width="12.7265625" bestFit="1" customWidth="1"/>
    <col min="1939" max="1939" width="12.54296875" bestFit="1" customWidth="1"/>
    <col min="1940" max="1940" width="12.6328125" bestFit="1" customWidth="1"/>
    <col min="1941" max="1942" width="13" bestFit="1" customWidth="1"/>
    <col min="1943" max="1943" width="12.36328125" bestFit="1" customWidth="1"/>
    <col min="1944" max="1944" width="12.6328125" bestFit="1" customWidth="1"/>
    <col min="1945" max="1946" width="12.54296875" bestFit="1" customWidth="1"/>
    <col min="1947" max="1947" width="12.453125" bestFit="1" customWidth="1"/>
    <col min="1948" max="1948" width="12.7265625" bestFit="1" customWidth="1"/>
    <col min="1949" max="1949" width="12.453125" bestFit="1" customWidth="1"/>
    <col min="1950" max="1950" width="12.36328125" bestFit="1" customWidth="1"/>
    <col min="1951" max="1951" width="12.90625" bestFit="1" customWidth="1"/>
    <col min="1952" max="1952" width="12.6328125" bestFit="1" customWidth="1"/>
    <col min="1953" max="1953" width="12.453125" bestFit="1" customWidth="1"/>
    <col min="1954" max="1954" width="12.7265625" bestFit="1" customWidth="1"/>
    <col min="1955" max="1956" width="12.54296875" bestFit="1" customWidth="1"/>
    <col min="1957" max="1957" width="12.7265625" bestFit="1" customWidth="1"/>
    <col min="1958" max="1958" width="13" bestFit="1" customWidth="1"/>
    <col min="1959" max="1959" width="12.453125" bestFit="1" customWidth="1"/>
    <col min="1960" max="1960" width="12.7265625" bestFit="1" customWidth="1"/>
    <col min="1961" max="1961" width="12.54296875" bestFit="1" customWidth="1"/>
    <col min="1962" max="1962" width="13" bestFit="1" customWidth="1"/>
    <col min="1963" max="1963" width="12.90625" bestFit="1" customWidth="1"/>
    <col min="1964" max="1964" width="12.36328125" bestFit="1" customWidth="1"/>
    <col min="1965" max="1965" width="13.1796875" bestFit="1" customWidth="1"/>
    <col min="1966" max="1966" width="12.6328125" bestFit="1" customWidth="1"/>
    <col min="1967" max="1967" width="12.453125" bestFit="1" customWidth="1"/>
    <col min="1968" max="1968" width="12.90625" bestFit="1" customWidth="1"/>
    <col min="1969" max="1969" width="13.26953125" bestFit="1" customWidth="1"/>
    <col min="1970" max="1971" width="12.90625" bestFit="1" customWidth="1"/>
    <col min="1972" max="1972" width="13.08984375" bestFit="1" customWidth="1"/>
    <col min="1973" max="1973" width="12.7265625" bestFit="1" customWidth="1"/>
    <col min="1974" max="1974" width="12.90625" bestFit="1" customWidth="1"/>
    <col min="1975" max="1975" width="12.54296875" bestFit="1" customWidth="1"/>
    <col min="1976" max="1976" width="12.7265625" bestFit="1" customWidth="1"/>
    <col min="1977" max="1978" width="12.6328125" bestFit="1" customWidth="1"/>
    <col min="1979" max="1979" width="13" bestFit="1" customWidth="1"/>
    <col min="1980" max="1980" width="12.7265625" bestFit="1" customWidth="1"/>
    <col min="1981" max="1981" width="13" bestFit="1" customWidth="1"/>
    <col min="1982" max="1982" width="13.1796875" bestFit="1" customWidth="1"/>
    <col min="1983" max="1983" width="12.54296875" bestFit="1" customWidth="1"/>
    <col min="1984" max="1984" width="12.90625" bestFit="1" customWidth="1"/>
    <col min="1985" max="1985" width="12.453125" bestFit="1" customWidth="1"/>
    <col min="1986" max="1986" width="13" bestFit="1" customWidth="1"/>
    <col min="1987" max="1987" width="12.54296875" bestFit="1" customWidth="1"/>
    <col min="1988" max="1988" width="13" bestFit="1" customWidth="1"/>
    <col min="1989" max="1989" width="12.54296875" bestFit="1" customWidth="1"/>
    <col min="1990" max="1990" width="12.7265625" bestFit="1" customWidth="1"/>
    <col min="1991" max="1991" width="13.08984375" bestFit="1" customWidth="1"/>
    <col min="1992" max="1992" width="12.6328125" bestFit="1" customWidth="1"/>
    <col min="1993" max="1993" width="13" bestFit="1" customWidth="1"/>
    <col min="1994" max="1994" width="13.1796875" bestFit="1" customWidth="1"/>
    <col min="1995" max="1995" width="13" bestFit="1" customWidth="1"/>
    <col min="1996" max="1997" width="13.1796875" bestFit="1" customWidth="1"/>
    <col min="1998" max="1998" width="12.6328125" bestFit="1" customWidth="1"/>
    <col min="1999" max="2000" width="12.453125" bestFit="1" customWidth="1"/>
    <col min="2001" max="2001" width="12.36328125" bestFit="1" customWidth="1"/>
    <col min="2002" max="2002" width="13" bestFit="1" customWidth="1"/>
    <col min="2003" max="2003" width="12.453125" bestFit="1" customWidth="1"/>
    <col min="2004" max="2004" width="12.54296875" bestFit="1" customWidth="1"/>
    <col min="2005" max="2005" width="12.36328125" bestFit="1" customWidth="1"/>
    <col min="2006" max="2006" width="12.54296875" bestFit="1" customWidth="1"/>
    <col min="2007" max="2007" width="19.7265625" bestFit="1" customWidth="1"/>
    <col min="2008" max="2008" width="13.08984375" bestFit="1" customWidth="1"/>
    <col min="2009" max="2009" width="13.36328125" bestFit="1" customWidth="1"/>
    <col min="2010" max="2010" width="13.08984375" bestFit="1" customWidth="1"/>
    <col min="2011" max="2011" width="13.1796875" bestFit="1" customWidth="1"/>
    <col min="2012" max="2012" width="12.453125" bestFit="1" customWidth="1"/>
    <col min="2013" max="2013" width="12.90625" bestFit="1" customWidth="1"/>
    <col min="2014" max="2014" width="13.1796875" bestFit="1" customWidth="1"/>
    <col min="2015" max="2015" width="12.7265625" bestFit="1" customWidth="1"/>
    <col min="2016" max="2016" width="13.08984375" bestFit="1" customWidth="1"/>
    <col min="2017" max="2017" width="12.54296875" bestFit="1" customWidth="1"/>
    <col min="2018" max="2018" width="12.6328125" bestFit="1" customWidth="1"/>
    <col min="2019" max="2019" width="12.54296875" bestFit="1" customWidth="1"/>
    <col min="2020" max="2021" width="12.6328125" bestFit="1" customWidth="1"/>
    <col min="2022" max="2022" width="13" bestFit="1" customWidth="1"/>
    <col min="2023" max="2023" width="12.6328125" bestFit="1" customWidth="1"/>
    <col min="2024" max="2024" width="13" bestFit="1" customWidth="1"/>
    <col min="2025" max="2025" width="12.6328125" bestFit="1" customWidth="1"/>
    <col min="2026" max="2026" width="13.1796875" bestFit="1" customWidth="1"/>
    <col min="2027" max="2028" width="12.453125" bestFit="1" customWidth="1"/>
    <col min="2029" max="2029" width="13" bestFit="1" customWidth="1"/>
    <col min="2030" max="2030" width="12.90625" bestFit="1" customWidth="1"/>
    <col min="2031" max="2031" width="12.6328125" bestFit="1" customWidth="1"/>
    <col min="2032" max="2032" width="12.54296875" bestFit="1" customWidth="1"/>
    <col min="2033" max="2033" width="12.90625" bestFit="1" customWidth="1"/>
    <col min="2034" max="2034" width="12.7265625" bestFit="1" customWidth="1"/>
    <col min="2035" max="2035" width="13.1796875" bestFit="1" customWidth="1"/>
    <col min="2036" max="2036" width="12.7265625" bestFit="1" customWidth="1"/>
    <col min="2037" max="2037" width="13" bestFit="1" customWidth="1"/>
    <col min="2038" max="2039" width="12.90625" bestFit="1" customWidth="1"/>
    <col min="2040" max="2040" width="12.6328125" bestFit="1" customWidth="1"/>
    <col min="2041" max="2041" width="12.90625" bestFit="1" customWidth="1"/>
    <col min="2042" max="2042" width="12.54296875" bestFit="1" customWidth="1"/>
    <col min="2043" max="2043" width="12.90625" bestFit="1" customWidth="1"/>
    <col min="2044" max="2044" width="13" bestFit="1" customWidth="1"/>
    <col min="2045" max="2045" width="13.1796875" bestFit="1" customWidth="1"/>
    <col min="2046" max="2047" width="12.6328125" bestFit="1" customWidth="1"/>
    <col min="2048" max="2048" width="12.453125" bestFit="1" customWidth="1"/>
    <col min="2049" max="2049" width="13.26953125" bestFit="1" customWidth="1"/>
    <col min="2050" max="2050" width="13" bestFit="1" customWidth="1"/>
    <col min="2051" max="2051" width="12.7265625" bestFit="1" customWidth="1"/>
    <col min="2052" max="2052" width="12.90625" bestFit="1" customWidth="1"/>
    <col min="2053" max="2053" width="12.54296875" bestFit="1" customWidth="1"/>
    <col min="2054" max="2055" width="12.7265625" bestFit="1" customWidth="1"/>
    <col min="2056" max="2056" width="13.08984375" bestFit="1" customWidth="1"/>
    <col min="2057" max="2057" width="12.7265625" bestFit="1" customWidth="1"/>
    <col min="2058" max="2058" width="13.453125" bestFit="1" customWidth="1"/>
    <col min="2059" max="2059" width="12.6328125" bestFit="1" customWidth="1"/>
    <col min="2060" max="2060" width="12.54296875" bestFit="1" customWidth="1"/>
    <col min="2061" max="2061" width="12.90625" bestFit="1" customWidth="1"/>
    <col min="2062" max="2062" width="12.453125" bestFit="1" customWidth="1"/>
    <col min="2063" max="2063" width="12.6328125" bestFit="1" customWidth="1"/>
    <col min="2064" max="2064" width="12.90625" bestFit="1" customWidth="1"/>
    <col min="2065" max="2065" width="13.36328125" bestFit="1" customWidth="1"/>
    <col min="2066" max="2066" width="12.6328125" bestFit="1" customWidth="1"/>
    <col min="2067" max="2067" width="12.453125" bestFit="1" customWidth="1"/>
    <col min="2068" max="2068" width="12.6328125" bestFit="1" customWidth="1"/>
    <col min="2069" max="2069" width="12.54296875" bestFit="1" customWidth="1"/>
    <col min="2070" max="2070" width="12.90625" bestFit="1" customWidth="1"/>
    <col min="2071" max="2071" width="12.36328125" bestFit="1" customWidth="1"/>
    <col min="2072" max="2072" width="12.7265625" bestFit="1" customWidth="1"/>
    <col min="2073" max="2073" width="12.90625" bestFit="1" customWidth="1"/>
    <col min="2074" max="2074" width="13.26953125" bestFit="1" customWidth="1"/>
    <col min="2075" max="2075" width="12.7265625" bestFit="1" customWidth="1"/>
    <col min="2076" max="2076" width="13.26953125" bestFit="1" customWidth="1"/>
    <col min="2077" max="2077" width="13.54296875" bestFit="1" customWidth="1"/>
    <col min="2078" max="2078" width="13.08984375" bestFit="1" customWidth="1"/>
    <col min="2079" max="2079" width="13.26953125" bestFit="1" customWidth="1"/>
    <col min="2080" max="2080" width="13.36328125" bestFit="1" customWidth="1"/>
    <col min="2081" max="2081" width="13.26953125" bestFit="1" customWidth="1"/>
    <col min="2082" max="2084" width="12.7265625" bestFit="1" customWidth="1"/>
    <col min="2085" max="2085" width="13.08984375" bestFit="1" customWidth="1"/>
    <col min="2086" max="2086" width="13" bestFit="1" customWidth="1"/>
    <col min="2087" max="2087" width="12.90625" bestFit="1" customWidth="1"/>
    <col min="2088" max="2088" width="13.08984375" bestFit="1" customWidth="1"/>
    <col min="2089" max="2089" width="13" bestFit="1" customWidth="1"/>
    <col min="2090" max="2090" width="12.7265625" bestFit="1" customWidth="1"/>
    <col min="2091" max="2091" width="13" bestFit="1" customWidth="1"/>
    <col min="2092" max="2092" width="12.453125" bestFit="1" customWidth="1"/>
    <col min="2093" max="2094" width="13.08984375" bestFit="1" customWidth="1"/>
    <col min="2095" max="2095" width="13" bestFit="1" customWidth="1"/>
    <col min="2096" max="2096" width="13.08984375" bestFit="1" customWidth="1"/>
    <col min="2097" max="2098" width="12.7265625" bestFit="1" customWidth="1"/>
    <col min="2099" max="2100" width="13" bestFit="1" customWidth="1"/>
    <col min="2101" max="2101" width="13.08984375" bestFit="1" customWidth="1"/>
    <col min="2102" max="2102" width="12.90625" bestFit="1" customWidth="1"/>
    <col min="2103" max="2104" width="13" bestFit="1" customWidth="1"/>
    <col min="2105" max="2105" width="13.26953125" bestFit="1" customWidth="1"/>
    <col min="2106" max="2106" width="13.6328125" bestFit="1" customWidth="1"/>
    <col min="2107" max="2107" width="12.90625" bestFit="1" customWidth="1"/>
    <col min="2108" max="2108" width="12.6328125" bestFit="1" customWidth="1"/>
    <col min="2109" max="2109" width="12.7265625" bestFit="1" customWidth="1"/>
    <col min="2110" max="2110" width="12.54296875" bestFit="1" customWidth="1"/>
    <col min="2111" max="2111" width="12.6328125" bestFit="1" customWidth="1"/>
    <col min="2112" max="2112" width="12.36328125" bestFit="1" customWidth="1"/>
    <col min="2113" max="2113" width="12.6328125" bestFit="1" customWidth="1"/>
    <col min="2114" max="2114" width="13.26953125" bestFit="1" customWidth="1"/>
    <col min="2115" max="2115" width="12.36328125" bestFit="1" customWidth="1"/>
    <col min="2116" max="2118" width="12.7265625" bestFit="1" customWidth="1"/>
    <col min="2119" max="2119" width="12.36328125" bestFit="1" customWidth="1"/>
    <col min="2120" max="2120" width="13.08984375" bestFit="1" customWidth="1"/>
    <col min="2121" max="2121" width="12.54296875" bestFit="1" customWidth="1"/>
    <col min="2122" max="2122" width="12.90625" bestFit="1" customWidth="1"/>
    <col min="2123" max="2123" width="12.7265625" bestFit="1" customWidth="1"/>
    <col min="2124" max="2124" width="12.6328125" bestFit="1" customWidth="1"/>
    <col min="2125" max="2125" width="13.08984375" bestFit="1" customWidth="1"/>
    <col min="2126" max="2128" width="12.6328125" bestFit="1" customWidth="1"/>
    <col min="2129" max="2129" width="12.7265625" bestFit="1" customWidth="1"/>
    <col min="2130" max="2130" width="13" bestFit="1" customWidth="1"/>
    <col min="2131" max="2131" width="12.90625" bestFit="1" customWidth="1"/>
    <col min="2132" max="2133" width="12.7265625" bestFit="1" customWidth="1"/>
    <col min="2134" max="2134" width="12.54296875" bestFit="1" customWidth="1"/>
    <col min="2135" max="2135" width="12.6328125" bestFit="1" customWidth="1"/>
    <col min="2136" max="2136" width="12.453125" bestFit="1" customWidth="1"/>
    <col min="2137" max="2137" width="12.90625" bestFit="1" customWidth="1"/>
    <col min="2138" max="2138" width="13" bestFit="1" customWidth="1"/>
    <col min="2139" max="2139" width="12.7265625" bestFit="1" customWidth="1"/>
    <col min="2140" max="2140" width="12.54296875" bestFit="1" customWidth="1"/>
    <col min="2141" max="2141" width="12.7265625" bestFit="1" customWidth="1"/>
    <col min="2142" max="2143" width="12.90625" bestFit="1" customWidth="1"/>
    <col min="2144" max="2146" width="12.7265625" bestFit="1" customWidth="1"/>
    <col min="2147" max="2149" width="12.90625" bestFit="1" customWidth="1"/>
    <col min="2150" max="2150" width="12.7265625" bestFit="1" customWidth="1"/>
    <col min="2151" max="2151" width="12.54296875" bestFit="1" customWidth="1"/>
    <col min="2152" max="2152" width="12.7265625" bestFit="1" customWidth="1"/>
    <col min="2153" max="2153" width="12.6328125" bestFit="1" customWidth="1"/>
    <col min="2154" max="2154" width="13.08984375" bestFit="1" customWidth="1"/>
    <col min="2155" max="2155" width="12.90625" bestFit="1" customWidth="1"/>
    <col min="2156" max="2156" width="12.453125" bestFit="1" customWidth="1"/>
    <col min="2157" max="2157" width="12.54296875" bestFit="1" customWidth="1"/>
    <col min="2158" max="2158" width="13" bestFit="1" customWidth="1"/>
    <col min="2159" max="2159" width="12.90625" bestFit="1" customWidth="1"/>
    <col min="2160" max="2160" width="13.08984375" bestFit="1" customWidth="1"/>
    <col min="2161" max="2161" width="12.54296875" bestFit="1" customWidth="1"/>
    <col min="2162" max="2162" width="12.6328125" bestFit="1" customWidth="1"/>
    <col min="2163" max="2163" width="12.54296875" bestFit="1" customWidth="1"/>
    <col min="2164" max="2164" width="13" bestFit="1" customWidth="1"/>
    <col min="2165" max="2166" width="12.7265625" bestFit="1" customWidth="1"/>
    <col min="2167" max="2167" width="13.1796875" bestFit="1" customWidth="1"/>
    <col min="2168" max="2168" width="13.08984375" bestFit="1" customWidth="1"/>
    <col min="2169" max="2169" width="12.54296875" bestFit="1" customWidth="1"/>
    <col min="2170" max="2170" width="12.90625" bestFit="1" customWidth="1"/>
    <col min="2171" max="2172" width="12.7265625" bestFit="1" customWidth="1"/>
    <col min="2173" max="2173" width="12.54296875" bestFit="1" customWidth="1"/>
    <col min="2174" max="2174" width="12.6328125" bestFit="1" customWidth="1"/>
    <col min="2175" max="2175" width="13.08984375" bestFit="1" customWidth="1"/>
    <col min="2176" max="2176" width="12.54296875" bestFit="1" customWidth="1"/>
    <col min="2177" max="2177" width="13" bestFit="1" customWidth="1"/>
    <col min="2178" max="2178" width="12.453125" bestFit="1" customWidth="1"/>
    <col min="2179" max="2179" width="13.26953125" bestFit="1" customWidth="1"/>
    <col min="2180" max="2180" width="12.453125" bestFit="1" customWidth="1"/>
    <col min="2181" max="2181" width="12.54296875" bestFit="1" customWidth="1"/>
    <col min="2182" max="2182" width="12.6328125" bestFit="1" customWidth="1"/>
    <col min="2183" max="2183" width="12.7265625" bestFit="1" customWidth="1"/>
    <col min="2184" max="2184" width="12.453125" bestFit="1" customWidth="1"/>
    <col min="2185" max="2185" width="12.7265625" bestFit="1" customWidth="1"/>
    <col min="2186" max="2186" width="13.08984375" bestFit="1" customWidth="1"/>
    <col min="2187" max="2187" width="13" bestFit="1" customWidth="1"/>
    <col min="2188" max="2188" width="12.54296875" bestFit="1" customWidth="1"/>
    <col min="2189" max="2190" width="12.90625" bestFit="1" customWidth="1"/>
    <col min="2191" max="2191" width="12.54296875" bestFit="1" customWidth="1"/>
    <col min="2192" max="2192" width="12.453125" bestFit="1" customWidth="1"/>
    <col min="2193" max="2193" width="13.08984375" bestFit="1" customWidth="1"/>
    <col min="2194" max="2194" width="12.90625" bestFit="1" customWidth="1"/>
    <col min="2195" max="2196" width="13.08984375" bestFit="1" customWidth="1"/>
    <col min="2197" max="2197" width="12.7265625" bestFit="1" customWidth="1"/>
    <col min="2198" max="2198" width="12.54296875" bestFit="1" customWidth="1"/>
    <col min="2199" max="2199" width="12.90625" bestFit="1" customWidth="1"/>
    <col min="2200" max="2200" width="12.54296875" bestFit="1" customWidth="1"/>
    <col min="2201" max="2201" width="12.7265625" bestFit="1" customWidth="1"/>
    <col min="2202" max="2202" width="12.6328125" bestFit="1" customWidth="1"/>
    <col min="2203" max="2203" width="13" bestFit="1" customWidth="1"/>
    <col min="2204" max="2205" width="12.7265625" bestFit="1" customWidth="1"/>
    <col min="2206" max="2206" width="12.90625" bestFit="1" customWidth="1"/>
    <col min="2207" max="2207" width="12.7265625" bestFit="1" customWidth="1"/>
    <col min="2208" max="2208" width="12.54296875" bestFit="1" customWidth="1"/>
    <col min="2209" max="2209" width="12.6328125" bestFit="1" customWidth="1"/>
    <col min="2210" max="2210" width="12.453125" bestFit="1" customWidth="1"/>
    <col min="2211" max="2213" width="12.54296875" bestFit="1" customWidth="1"/>
    <col min="2214" max="2214" width="13.36328125" bestFit="1" customWidth="1"/>
    <col min="2215" max="2215" width="12.6328125" bestFit="1" customWidth="1"/>
    <col min="2216" max="2216" width="13" bestFit="1" customWidth="1"/>
    <col min="2217" max="2217" width="13.1796875" bestFit="1" customWidth="1"/>
    <col min="2218" max="2218" width="13.08984375" bestFit="1" customWidth="1"/>
    <col min="2219" max="2219" width="13" bestFit="1" customWidth="1"/>
    <col min="2220" max="2220" width="12.54296875" bestFit="1" customWidth="1"/>
    <col min="2221" max="2221" width="13.08984375" bestFit="1" customWidth="1"/>
    <col min="2222" max="2222" width="13.54296875" bestFit="1" customWidth="1"/>
    <col min="2223" max="2223" width="12.90625" bestFit="1" customWidth="1"/>
    <col min="2224" max="2224" width="12.6328125" bestFit="1" customWidth="1"/>
    <col min="2225" max="2225" width="12.90625" bestFit="1" customWidth="1"/>
    <col min="2226" max="2226" width="12.6328125" bestFit="1" customWidth="1"/>
    <col min="2227" max="2227" width="13.1796875" bestFit="1" customWidth="1"/>
    <col min="2228" max="2228" width="13" bestFit="1" customWidth="1"/>
    <col min="2229" max="2229" width="13.08984375" bestFit="1" customWidth="1"/>
    <col min="2230" max="2230" width="13" bestFit="1" customWidth="1"/>
    <col min="2231" max="2231" width="12.7265625" bestFit="1" customWidth="1"/>
    <col min="2232" max="2232" width="12.90625" bestFit="1" customWidth="1"/>
    <col min="2233" max="2233" width="13.36328125" bestFit="1" customWidth="1"/>
    <col min="2234" max="2234" width="12.90625" bestFit="1" customWidth="1"/>
    <col min="2235" max="2235" width="13.08984375" bestFit="1" customWidth="1"/>
    <col min="2236" max="2236" width="12.7265625" bestFit="1" customWidth="1"/>
    <col min="2237" max="2237" width="12.54296875" bestFit="1" customWidth="1"/>
    <col min="2238" max="2238" width="13.1796875" bestFit="1" customWidth="1"/>
    <col min="2239" max="2239" width="12.6328125" bestFit="1" customWidth="1"/>
    <col min="2240" max="2241" width="13.26953125" bestFit="1" customWidth="1"/>
    <col min="2242" max="2243" width="13.1796875" bestFit="1" customWidth="1"/>
    <col min="2244" max="2244" width="12.7265625" bestFit="1" customWidth="1"/>
    <col min="2245" max="2245" width="13.1796875" bestFit="1" customWidth="1"/>
    <col min="2246" max="2246" width="13.26953125" bestFit="1" customWidth="1"/>
    <col min="2247" max="2247" width="12.54296875" bestFit="1" customWidth="1"/>
    <col min="2248" max="2248" width="12.90625" bestFit="1" customWidth="1"/>
    <col min="2249" max="2249" width="12.6328125" bestFit="1" customWidth="1"/>
    <col min="2250" max="2250" width="13.08984375" bestFit="1" customWidth="1"/>
    <col min="2251" max="2251" width="12.7265625" bestFit="1" customWidth="1"/>
    <col min="2252" max="2252" width="12.6328125" bestFit="1" customWidth="1"/>
    <col min="2253" max="2253" width="12.90625" bestFit="1" customWidth="1"/>
    <col min="2254" max="2254" width="12.7265625" bestFit="1" customWidth="1"/>
    <col min="2255" max="2255" width="13" bestFit="1" customWidth="1"/>
    <col min="2256" max="2256" width="12.90625" bestFit="1" customWidth="1"/>
    <col min="2257" max="2257" width="12.453125" bestFit="1" customWidth="1"/>
    <col min="2258" max="2258" width="13" bestFit="1" customWidth="1"/>
    <col min="2259" max="2259" width="12.453125" bestFit="1" customWidth="1"/>
    <col min="2260" max="2260" width="12.6328125" bestFit="1" customWidth="1"/>
    <col min="2261" max="2261" width="12.453125" bestFit="1" customWidth="1"/>
    <col min="2262" max="2262" width="13.08984375" bestFit="1" customWidth="1"/>
    <col min="2263" max="2263" width="12.453125" bestFit="1" customWidth="1"/>
    <col min="2264" max="2264" width="12.54296875" bestFit="1" customWidth="1"/>
    <col min="2265" max="2265" width="12.90625" bestFit="1" customWidth="1"/>
    <col min="2266" max="2266" width="12.54296875" bestFit="1" customWidth="1"/>
    <col min="2267" max="2268" width="12.7265625" bestFit="1" customWidth="1"/>
    <col min="2269" max="2269" width="12.54296875" bestFit="1" customWidth="1"/>
    <col min="2270" max="2270" width="12.90625" bestFit="1" customWidth="1"/>
    <col min="2271" max="2271" width="12.7265625" bestFit="1" customWidth="1"/>
    <col min="2272" max="2273" width="13" bestFit="1" customWidth="1"/>
    <col min="2274" max="2274" width="12.90625" bestFit="1" customWidth="1"/>
    <col min="2275" max="2275" width="13.26953125" bestFit="1" customWidth="1"/>
    <col min="2276" max="2276" width="12.7265625" bestFit="1" customWidth="1"/>
    <col min="2277" max="2277" width="12.90625" bestFit="1" customWidth="1"/>
    <col min="2278" max="2278" width="12.6328125" bestFit="1" customWidth="1"/>
    <col min="2279" max="2282" width="12.7265625" bestFit="1" customWidth="1"/>
    <col min="2283" max="2283" width="12.6328125" bestFit="1" customWidth="1"/>
    <col min="2284" max="2284" width="12.90625" bestFit="1" customWidth="1"/>
    <col min="2285" max="2285" width="12.453125" bestFit="1" customWidth="1"/>
    <col min="2286" max="2286" width="13" bestFit="1" customWidth="1"/>
    <col min="2287" max="2288" width="12.7265625" bestFit="1" customWidth="1"/>
    <col min="2289" max="2289" width="13.26953125" bestFit="1" customWidth="1"/>
    <col min="2290" max="2290" width="12.6328125" bestFit="1" customWidth="1"/>
    <col min="2291" max="2292" width="12.54296875" bestFit="1" customWidth="1"/>
    <col min="2293" max="2293" width="12.7265625" bestFit="1" customWidth="1"/>
    <col min="2294" max="2294" width="12.54296875" bestFit="1" customWidth="1"/>
    <col min="2295" max="2296" width="12.6328125" bestFit="1" customWidth="1"/>
    <col min="2297" max="2297" width="13.08984375" bestFit="1" customWidth="1"/>
    <col min="2298" max="2298" width="12.36328125" bestFit="1" customWidth="1"/>
    <col min="2299" max="2299" width="12.54296875" bestFit="1" customWidth="1"/>
    <col min="2300" max="2300" width="12.6328125" bestFit="1" customWidth="1"/>
    <col min="2301" max="2301" width="12.90625" bestFit="1" customWidth="1"/>
    <col min="2302" max="2302" width="12.54296875" bestFit="1" customWidth="1"/>
    <col min="2303" max="2303" width="12.90625" bestFit="1" customWidth="1"/>
    <col min="2304" max="2304" width="12.6328125" bestFit="1" customWidth="1"/>
    <col min="2305" max="2305" width="13.08984375" bestFit="1" customWidth="1"/>
    <col min="2306" max="2306" width="12.6328125" bestFit="1" customWidth="1"/>
    <col min="2307" max="2308" width="12.7265625" bestFit="1" customWidth="1"/>
    <col min="2309" max="2309" width="12.54296875" bestFit="1" customWidth="1"/>
    <col min="2310" max="2310" width="12.7265625" bestFit="1" customWidth="1"/>
    <col min="2311" max="2311" width="12.6328125" bestFit="1" customWidth="1"/>
    <col min="2312" max="2312" width="12.90625" bestFit="1" customWidth="1"/>
    <col min="2313" max="2313" width="13.08984375" bestFit="1" customWidth="1"/>
    <col min="2314" max="2314" width="12.90625" bestFit="1" customWidth="1"/>
    <col min="2315" max="2316" width="13" bestFit="1" customWidth="1"/>
    <col min="2317" max="2317" width="13.08984375" bestFit="1" customWidth="1"/>
    <col min="2318" max="2318" width="12.7265625" bestFit="1" customWidth="1"/>
    <col min="2319" max="2319" width="12.6328125" bestFit="1" customWidth="1"/>
    <col min="2320" max="2320" width="12.90625" bestFit="1" customWidth="1"/>
    <col min="2321" max="2321" width="13.26953125" bestFit="1" customWidth="1"/>
    <col min="2322" max="2322" width="12.7265625" bestFit="1" customWidth="1"/>
    <col min="2323" max="2323" width="12.54296875" bestFit="1" customWidth="1"/>
    <col min="2324" max="2324" width="12.90625" bestFit="1" customWidth="1"/>
    <col min="2325" max="2325" width="13.1796875" bestFit="1" customWidth="1"/>
    <col min="2326" max="2326" width="12.54296875" bestFit="1" customWidth="1"/>
    <col min="2327" max="2327" width="12.90625" bestFit="1" customWidth="1"/>
    <col min="2328" max="2328" width="12.54296875" bestFit="1" customWidth="1"/>
    <col min="2329" max="2330" width="12.7265625" bestFit="1" customWidth="1"/>
    <col min="2331" max="2331" width="13.1796875" bestFit="1" customWidth="1"/>
    <col min="2332" max="2332" width="12.6328125" bestFit="1" customWidth="1"/>
    <col min="2333" max="2333" width="13.1796875" bestFit="1" customWidth="1"/>
    <col min="2334" max="2334" width="13.08984375" bestFit="1" customWidth="1"/>
    <col min="2335" max="2335" width="12.36328125" bestFit="1" customWidth="1"/>
    <col min="2336" max="2336" width="13" bestFit="1" customWidth="1"/>
    <col min="2337" max="2338" width="12.54296875" bestFit="1" customWidth="1"/>
    <col min="2339" max="2339" width="12.90625" bestFit="1" customWidth="1"/>
    <col min="2340" max="2340" width="12.7265625" bestFit="1" customWidth="1"/>
    <col min="2341" max="2341" width="13.54296875" bestFit="1" customWidth="1"/>
    <col min="2342" max="2342" width="12.54296875" bestFit="1" customWidth="1"/>
    <col min="2343" max="2343" width="13.453125" bestFit="1" customWidth="1"/>
    <col min="2344" max="2344" width="12.90625" bestFit="1" customWidth="1"/>
    <col min="2345" max="2345" width="13.26953125" bestFit="1" customWidth="1"/>
    <col min="2346" max="2346" width="13" bestFit="1" customWidth="1"/>
    <col min="2347" max="2347" width="13.1796875" bestFit="1" customWidth="1"/>
    <col min="2348" max="2348" width="13.453125" bestFit="1" customWidth="1"/>
    <col min="2349" max="2349" width="13.08984375" bestFit="1" customWidth="1"/>
    <col min="2350" max="2350" width="13" bestFit="1" customWidth="1"/>
    <col min="2351" max="2351" width="13.08984375" bestFit="1" customWidth="1"/>
    <col min="2352" max="2352" width="12.90625" bestFit="1" customWidth="1"/>
    <col min="2353" max="2353" width="13" bestFit="1" customWidth="1"/>
    <col min="2354" max="2354" width="12.90625" bestFit="1" customWidth="1"/>
    <col min="2355" max="2355" width="12.6328125" bestFit="1" customWidth="1"/>
    <col min="2356" max="2356" width="13.26953125" bestFit="1" customWidth="1"/>
    <col min="2357" max="2357" width="12.7265625" bestFit="1" customWidth="1"/>
    <col min="2358" max="2359" width="12.90625" bestFit="1" customWidth="1"/>
    <col min="2360" max="2360" width="13.26953125" bestFit="1" customWidth="1"/>
    <col min="2361" max="2361" width="12.90625" bestFit="1" customWidth="1"/>
    <col min="2362" max="2362" width="13.26953125" bestFit="1" customWidth="1"/>
    <col min="2363" max="2364" width="13.1796875" bestFit="1" customWidth="1"/>
    <col min="2365" max="2365" width="13.08984375" bestFit="1" customWidth="1"/>
    <col min="2366" max="2366" width="12.90625" bestFit="1" customWidth="1"/>
    <col min="2367" max="2367" width="13" bestFit="1" customWidth="1"/>
    <col min="2368" max="2369" width="13.26953125" bestFit="1" customWidth="1"/>
    <col min="2370" max="2370" width="12.453125" bestFit="1" customWidth="1"/>
    <col min="2371" max="2371" width="12.54296875" bestFit="1" customWidth="1"/>
    <col min="2372" max="2372" width="13" bestFit="1" customWidth="1"/>
    <col min="2373" max="2373" width="13.1796875" bestFit="1" customWidth="1"/>
    <col min="2374" max="2374" width="12.90625" bestFit="1" customWidth="1"/>
    <col min="2375" max="2375" width="12.6328125" bestFit="1" customWidth="1"/>
    <col min="2376" max="2376" width="12.90625" bestFit="1" customWidth="1"/>
    <col min="2377" max="2378" width="12.7265625" bestFit="1" customWidth="1"/>
    <col min="2379" max="2379" width="12.26953125" bestFit="1" customWidth="1"/>
    <col min="2380" max="2380" width="12.453125" bestFit="1" customWidth="1"/>
    <col min="2381" max="2381" width="13" bestFit="1" customWidth="1"/>
    <col min="2382" max="2382" width="12.7265625" bestFit="1" customWidth="1"/>
    <col min="2383" max="2383" width="12.453125" bestFit="1" customWidth="1"/>
    <col min="2384" max="2386" width="12.54296875" bestFit="1" customWidth="1"/>
    <col min="2387" max="2387" width="12.453125" bestFit="1" customWidth="1"/>
    <col min="2388" max="2388" width="12.54296875" bestFit="1" customWidth="1"/>
    <col min="2389" max="2389" width="13" bestFit="1" customWidth="1"/>
    <col min="2390" max="2391" width="12.90625" bestFit="1" customWidth="1"/>
    <col min="2392" max="2393" width="12.6328125" bestFit="1" customWidth="1"/>
    <col min="2394" max="2394" width="13.26953125" bestFit="1" customWidth="1"/>
    <col min="2395" max="2395" width="12.54296875" bestFit="1" customWidth="1"/>
    <col min="2396" max="2396" width="12.90625" bestFit="1" customWidth="1"/>
    <col min="2397" max="2397" width="13" bestFit="1" customWidth="1"/>
    <col min="2398" max="2398" width="13.26953125" bestFit="1" customWidth="1"/>
    <col min="2399" max="2399" width="12.90625" bestFit="1" customWidth="1"/>
    <col min="2400" max="2400" width="12.453125" bestFit="1" customWidth="1"/>
    <col min="2401" max="2401" width="12.6328125" bestFit="1" customWidth="1"/>
    <col min="2402" max="2402" width="12.90625" bestFit="1" customWidth="1"/>
    <col min="2403" max="2403" width="12.6328125" bestFit="1" customWidth="1"/>
    <col min="2404" max="2405" width="12.90625" bestFit="1" customWidth="1"/>
    <col min="2406" max="2409" width="12.6328125" bestFit="1" customWidth="1"/>
    <col min="2410" max="2410" width="13.08984375" bestFit="1" customWidth="1"/>
    <col min="2411" max="2411" width="12.7265625" bestFit="1" customWidth="1"/>
    <col min="2412" max="2412" width="12.90625" bestFit="1" customWidth="1"/>
    <col min="2413" max="2413" width="13.08984375" bestFit="1" customWidth="1"/>
    <col min="2414" max="2414" width="12.7265625" bestFit="1" customWidth="1"/>
    <col min="2415" max="2415" width="12.6328125" bestFit="1" customWidth="1"/>
    <col min="2416" max="2416" width="12.7265625" bestFit="1" customWidth="1"/>
    <col min="2417" max="2417" width="12.453125" bestFit="1" customWidth="1"/>
    <col min="2418" max="2418" width="12.7265625" bestFit="1" customWidth="1"/>
    <col min="2419" max="2419" width="12.54296875" bestFit="1" customWidth="1"/>
    <col min="2420" max="2420" width="13" bestFit="1" customWidth="1"/>
    <col min="2421" max="2421" width="12.6328125" bestFit="1" customWidth="1"/>
    <col min="2422" max="2422" width="12.54296875" bestFit="1" customWidth="1"/>
    <col min="2423" max="2425" width="12.6328125" bestFit="1" customWidth="1"/>
    <col min="2426" max="2426" width="13.36328125" bestFit="1" customWidth="1"/>
    <col min="2427" max="2427" width="13.26953125" bestFit="1" customWidth="1"/>
    <col min="2428" max="2429" width="12.54296875" bestFit="1" customWidth="1"/>
    <col min="2430" max="2430" width="12.90625" bestFit="1" customWidth="1"/>
    <col min="2431" max="2432" width="12.54296875" bestFit="1" customWidth="1"/>
    <col min="2433" max="2433" width="12.6328125" bestFit="1" customWidth="1"/>
    <col min="2434" max="2434" width="13" bestFit="1" customWidth="1"/>
    <col min="2435" max="2435" width="12.54296875" bestFit="1" customWidth="1"/>
    <col min="2436" max="2436" width="12.6328125" bestFit="1" customWidth="1"/>
    <col min="2437" max="2437" width="12.54296875" bestFit="1" customWidth="1"/>
    <col min="2438" max="2438" width="12.36328125" bestFit="1" customWidth="1"/>
    <col min="2439" max="2439" width="12.7265625" bestFit="1" customWidth="1"/>
    <col min="2440" max="2440" width="12.54296875" bestFit="1" customWidth="1"/>
    <col min="2441" max="2442" width="13.26953125" bestFit="1" customWidth="1"/>
    <col min="2443" max="2443" width="12.7265625" bestFit="1" customWidth="1"/>
    <col min="2444" max="2444" width="12.54296875" bestFit="1" customWidth="1"/>
    <col min="2445" max="2445" width="12.90625" bestFit="1" customWidth="1"/>
    <col min="2446" max="2446" width="13.08984375" bestFit="1" customWidth="1"/>
    <col min="2447" max="2447" width="12.6328125" bestFit="1" customWidth="1"/>
    <col min="2448" max="2448" width="13.453125" bestFit="1" customWidth="1"/>
    <col min="2449" max="2449" width="12.7265625" bestFit="1" customWidth="1"/>
    <col min="2450" max="2450" width="13" bestFit="1" customWidth="1"/>
    <col min="2451" max="2451" width="12.36328125" bestFit="1" customWidth="1"/>
    <col min="2452" max="2453" width="13.08984375" bestFit="1" customWidth="1"/>
    <col min="2454" max="2454" width="12.7265625" bestFit="1" customWidth="1"/>
    <col min="2455" max="2455" width="13.08984375" bestFit="1" customWidth="1"/>
    <col min="2456" max="2456" width="12.6328125" bestFit="1" customWidth="1"/>
    <col min="2457" max="2457" width="12.90625" bestFit="1" customWidth="1"/>
    <col min="2458" max="2458" width="13.26953125" bestFit="1" customWidth="1"/>
    <col min="2459" max="2459" width="13" bestFit="1" customWidth="1"/>
    <col min="2460" max="2460" width="13.08984375" bestFit="1" customWidth="1"/>
    <col min="2461" max="2461" width="13.453125" bestFit="1" customWidth="1"/>
    <col min="2462" max="2462" width="13.08984375" bestFit="1" customWidth="1"/>
    <col min="2463" max="2463" width="13.453125" bestFit="1" customWidth="1"/>
    <col min="2464" max="2464" width="12.7265625" bestFit="1" customWidth="1"/>
    <col min="2465" max="2465" width="13" bestFit="1" customWidth="1"/>
    <col min="2466" max="2466" width="12.7265625" bestFit="1" customWidth="1"/>
    <col min="2467" max="2468" width="12.90625" bestFit="1" customWidth="1"/>
    <col min="2469" max="2469" width="12.6328125" bestFit="1" customWidth="1"/>
    <col min="2470" max="2470" width="13" bestFit="1" customWidth="1"/>
    <col min="2471" max="2471" width="12.7265625" bestFit="1" customWidth="1"/>
    <col min="2472" max="2472" width="13.1796875" bestFit="1" customWidth="1"/>
    <col min="2473" max="2473" width="13.08984375" bestFit="1" customWidth="1"/>
    <col min="2474" max="2476" width="13" bestFit="1" customWidth="1"/>
    <col min="2477" max="2477" width="12.6328125" bestFit="1" customWidth="1"/>
    <col min="2478" max="2478" width="13.1796875" bestFit="1" customWidth="1"/>
    <col min="2479" max="2480" width="12.90625" bestFit="1" customWidth="1"/>
    <col min="2481" max="2481" width="13" bestFit="1" customWidth="1"/>
    <col min="2482" max="2483" width="13.08984375" bestFit="1" customWidth="1"/>
    <col min="2484" max="2484" width="13.1796875" bestFit="1" customWidth="1"/>
    <col min="2485" max="2485" width="13.08984375" bestFit="1" customWidth="1"/>
    <col min="2486" max="2486" width="13.1796875" bestFit="1" customWidth="1"/>
    <col min="2487" max="2488" width="12.90625" bestFit="1" customWidth="1"/>
    <col min="2489" max="2489" width="13.1796875" bestFit="1" customWidth="1"/>
    <col min="2490" max="2490" width="12.90625" bestFit="1" customWidth="1"/>
    <col min="2491" max="2491" width="13.36328125" bestFit="1" customWidth="1"/>
    <col min="2492" max="2493" width="12.7265625" bestFit="1" customWidth="1"/>
    <col min="2494" max="2494" width="12.6328125" bestFit="1" customWidth="1"/>
    <col min="2495" max="2495" width="12.54296875" bestFit="1" customWidth="1"/>
    <col min="2496" max="2496" width="13" bestFit="1" customWidth="1"/>
    <col min="2497" max="2497" width="12.453125" bestFit="1" customWidth="1"/>
    <col min="2498" max="2499" width="12.54296875" bestFit="1" customWidth="1"/>
    <col min="2500" max="2501" width="12.7265625" bestFit="1" customWidth="1"/>
    <col min="2502" max="2502" width="12.6328125" bestFit="1" customWidth="1"/>
    <col min="2503" max="2503" width="12.54296875" bestFit="1" customWidth="1"/>
    <col min="2504" max="2504" width="13.08984375" bestFit="1" customWidth="1"/>
    <col min="2505" max="2505" width="12.90625" bestFit="1" customWidth="1"/>
    <col min="2506" max="2506" width="12.453125" bestFit="1" customWidth="1"/>
    <col min="2507" max="2507" width="13.1796875" bestFit="1" customWidth="1"/>
    <col min="2508" max="2508" width="12.54296875" bestFit="1" customWidth="1"/>
    <col min="2509" max="2509" width="13.1796875" bestFit="1" customWidth="1"/>
    <col min="2510" max="2510" width="12.6328125" bestFit="1" customWidth="1"/>
    <col min="2511" max="2512" width="12.7265625" bestFit="1" customWidth="1"/>
    <col min="2513" max="2513" width="12.54296875" bestFit="1" customWidth="1"/>
    <col min="2514" max="2514" width="13.08984375" bestFit="1" customWidth="1"/>
    <col min="2515" max="2515" width="12.6328125" bestFit="1" customWidth="1"/>
    <col min="2516" max="2516" width="13.08984375" bestFit="1" customWidth="1"/>
    <col min="2517" max="2517" width="12.453125" bestFit="1" customWidth="1"/>
    <col min="2518" max="2518" width="12.7265625" bestFit="1" customWidth="1"/>
    <col min="2519" max="2519" width="12.54296875" bestFit="1" customWidth="1"/>
    <col min="2520" max="2520" width="12.453125" bestFit="1" customWidth="1"/>
    <col min="2521" max="2521" width="12.6328125" bestFit="1" customWidth="1"/>
    <col min="2522" max="2522" width="12.453125" bestFit="1" customWidth="1"/>
    <col min="2523" max="2523" width="13.08984375" bestFit="1" customWidth="1"/>
    <col min="2524" max="2524" width="12.90625" bestFit="1" customWidth="1"/>
    <col min="2525" max="2525" width="12.6328125" bestFit="1" customWidth="1"/>
    <col min="2526" max="2526" width="12.453125" bestFit="1" customWidth="1"/>
    <col min="2527" max="2527" width="12.6328125" bestFit="1" customWidth="1"/>
    <col min="2528" max="2528" width="12.54296875" bestFit="1" customWidth="1"/>
    <col min="2529" max="2529" width="13.1796875" bestFit="1" customWidth="1"/>
    <col min="2530" max="2531" width="12.54296875" bestFit="1" customWidth="1"/>
    <col min="2532" max="2532" width="12.7265625" bestFit="1" customWidth="1"/>
    <col min="2533" max="2533" width="12.54296875" bestFit="1" customWidth="1"/>
    <col min="2534" max="2534" width="12.6328125" bestFit="1" customWidth="1"/>
    <col min="2535" max="2535" width="13.26953125" bestFit="1" customWidth="1"/>
    <col min="2536" max="2537" width="12.6328125" bestFit="1" customWidth="1"/>
    <col min="2538" max="2538" width="13.08984375" bestFit="1" customWidth="1"/>
    <col min="2539" max="2539" width="13.1796875" bestFit="1" customWidth="1"/>
    <col min="2540" max="2540" width="12.7265625" bestFit="1" customWidth="1"/>
    <col min="2541" max="2541" width="12.54296875" bestFit="1" customWidth="1"/>
    <col min="2542" max="2542" width="13" bestFit="1" customWidth="1"/>
    <col min="2543" max="2543" width="12.90625" bestFit="1" customWidth="1"/>
    <col min="2544" max="2544" width="12.6328125" bestFit="1" customWidth="1"/>
    <col min="2545" max="2545" width="12.90625" bestFit="1" customWidth="1"/>
    <col min="2546" max="2546" width="12.7265625" bestFit="1" customWidth="1"/>
    <col min="2547" max="2547" width="13.08984375" bestFit="1" customWidth="1"/>
    <col min="2548" max="2548" width="13" bestFit="1" customWidth="1"/>
    <col min="2549" max="2549" width="12.90625" bestFit="1" customWidth="1"/>
    <col min="2550" max="2551" width="12.54296875" bestFit="1" customWidth="1"/>
    <col min="2552" max="2552" width="12.6328125" bestFit="1" customWidth="1"/>
    <col min="2553" max="2553" width="13.1796875" bestFit="1" customWidth="1"/>
    <col min="2554" max="2554" width="12.54296875" bestFit="1" customWidth="1"/>
    <col min="2555" max="2556" width="12.90625" bestFit="1" customWidth="1"/>
    <col min="2557" max="2557" width="13" bestFit="1" customWidth="1"/>
    <col min="2558" max="2558" width="12.6328125" bestFit="1" customWidth="1"/>
    <col min="2559" max="2559" width="13" bestFit="1" customWidth="1"/>
    <col min="2560" max="2560" width="12.7265625" bestFit="1" customWidth="1"/>
    <col min="2561" max="2561" width="12.54296875" bestFit="1" customWidth="1"/>
    <col min="2562" max="2562" width="12.6328125" bestFit="1" customWidth="1"/>
    <col min="2563" max="2563" width="12.54296875" bestFit="1" customWidth="1"/>
    <col min="2564" max="2564" width="12.7265625" bestFit="1" customWidth="1"/>
    <col min="2565" max="2565" width="12.90625" bestFit="1" customWidth="1"/>
    <col min="2566" max="2566" width="12.6328125" bestFit="1" customWidth="1"/>
    <col min="2567" max="2567" width="13.36328125" bestFit="1" customWidth="1"/>
    <col min="2568" max="2568" width="12.90625" bestFit="1" customWidth="1"/>
    <col min="2569" max="2570" width="13" bestFit="1" customWidth="1"/>
    <col min="2571" max="2571" width="13.1796875" bestFit="1" customWidth="1"/>
    <col min="2572" max="2572" width="12.6328125" bestFit="1" customWidth="1"/>
    <col min="2573" max="2573" width="12.90625" bestFit="1" customWidth="1"/>
    <col min="2574" max="2574" width="13" bestFit="1" customWidth="1"/>
    <col min="2575" max="2575" width="12.90625" bestFit="1" customWidth="1"/>
    <col min="2576" max="2576" width="13" bestFit="1" customWidth="1"/>
    <col min="2577" max="2577" width="13.1796875" bestFit="1" customWidth="1"/>
    <col min="2578" max="2578" width="13.08984375" bestFit="1" customWidth="1"/>
    <col min="2579" max="2579" width="13.1796875" bestFit="1" customWidth="1"/>
    <col min="2580" max="2580" width="12.90625" bestFit="1" customWidth="1"/>
    <col min="2581" max="2581" width="13.08984375" bestFit="1" customWidth="1"/>
    <col min="2582" max="2582" width="13" bestFit="1" customWidth="1"/>
    <col min="2583" max="2583" width="12.90625" bestFit="1" customWidth="1"/>
    <col min="2584" max="2584" width="13.36328125" bestFit="1" customWidth="1"/>
    <col min="2585" max="2585" width="13.54296875" bestFit="1" customWidth="1"/>
    <col min="2586" max="2586" width="13" bestFit="1" customWidth="1"/>
    <col min="2587" max="2587" width="12.90625" bestFit="1" customWidth="1"/>
    <col min="2588" max="2588" width="13" bestFit="1" customWidth="1"/>
    <col min="2589" max="2589" width="12.6328125" bestFit="1" customWidth="1"/>
    <col min="2590" max="2590" width="12.7265625" bestFit="1" customWidth="1"/>
    <col min="2591" max="2591" width="12.90625" bestFit="1" customWidth="1"/>
    <col min="2592" max="2592" width="13" bestFit="1" customWidth="1"/>
    <col min="2593" max="2593" width="13.1796875" bestFit="1" customWidth="1"/>
    <col min="2594" max="2594" width="12.90625" bestFit="1" customWidth="1"/>
    <col min="2595" max="2595" width="12.6328125" bestFit="1" customWidth="1"/>
    <col min="2596" max="2596" width="12.7265625" bestFit="1" customWidth="1"/>
    <col min="2597" max="2598" width="12.90625" bestFit="1" customWidth="1"/>
    <col min="2599" max="2599" width="13.08984375" bestFit="1" customWidth="1"/>
    <col min="2600" max="2600" width="13.26953125" bestFit="1" customWidth="1"/>
    <col min="2601" max="2601" width="13.08984375" bestFit="1" customWidth="1"/>
    <col min="2602" max="2602" width="12.7265625" bestFit="1" customWidth="1"/>
    <col min="2603" max="2603" width="13" bestFit="1" customWidth="1"/>
    <col min="2604" max="2604" width="12.6328125" bestFit="1" customWidth="1"/>
    <col min="2605" max="2605" width="13.1796875" bestFit="1" customWidth="1"/>
    <col min="2606" max="2606" width="13.08984375" bestFit="1" customWidth="1"/>
    <col min="2607" max="2608" width="12.90625" bestFit="1" customWidth="1"/>
    <col min="2609" max="2609" width="13.26953125" bestFit="1" customWidth="1"/>
    <col min="2610" max="2610" width="12.7265625" bestFit="1" customWidth="1"/>
    <col min="2611" max="2611" width="12.90625" bestFit="1" customWidth="1"/>
    <col min="2612" max="2612" width="13.08984375" bestFit="1" customWidth="1"/>
    <col min="2613" max="2614" width="13" bestFit="1" customWidth="1"/>
    <col min="2615" max="2615" width="12.7265625" bestFit="1" customWidth="1"/>
    <col min="2616" max="2616" width="12.6328125" bestFit="1" customWidth="1"/>
    <col min="2617" max="2617" width="12.90625" bestFit="1" customWidth="1"/>
    <col min="2618" max="2618" width="12.7265625" bestFit="1" customWidth="1"/>
    <col min="2619" max="2619" width="12.54296875" bestFit="1" customWidth="1"/>
    <col min="2620" max="2620" width="12.7265625" bestFit="1" customWidth="1"/>
    <col min="2621" max="2622" width="12.6328125" bestFit="1" customWidth="1"/>
    <col min="2623" max="2623" width="12.7265625" bestFit="1" customWidth="1"/>
    <col min="2624" max="2625" width="12.54296875" bestFit="1" customWidth="1"/>
    <col min="2626" max="2626" width="12.453125" bestFit="1" customWidth="1"/>
    <col min="2627" max="2627" width="12.7265625" bestFit="1" customWidth="1"/>
    <col min="2628" max="2628" width="13.36328125" bestFit="1" customWidth="1"/>
    <col min="2629" max="2629" width="12.6328125" bestFit="1" customWidth="1"/>
    <col min="2630" max="2630" width="12.90625" bestFit="1" customWidth="1"/>
    <col min="2631" max="2631" width="12.54296875" bestFit="1" customWidth="1"/>
    <col min="2632" max="2632" width="13.08984375" bestFit="1" customWidth="1"/>
    <col min="2633" max="2633" width="12.453125" bestFit="1" customWidth="1"/>
    <col min="2634" max="2634" width="12.7265625" bestFit="1" customWidth="1"/>
    <col min="2635" max="2635" width="13.1796875" bestFit="1" customWidth="1"/>
    <col min="2636" max="2636" width="13.08984375" bestFit="1" customWidth="1"/>
    <col min="2637" max="2637" width="12.7265625" bestFit="1" customWidth="1"/>
    <col min="2638" max="2638" width="12.6328125" bestFit="1" customWidth="1"/>
    <col min="2639" max="2639" width="13" bestFit="1" customWidth="1"/>
    <col min="2640" max="2640" width="12.90625" bestFit="1" customWidth="1"/>
    <col min="2641" max="2641" width="13.1796875" bestFit="1" customWidth="1"/>
    <col min="2642" max="2642" width="13" bestFit="1" customWidth="1"/>
    <col min="2643" max="2644" width="12.7265625" bestFit="1" customWidth="1"/>
    <col min="2645" max="2645" width="12.6328125" bestFit="1" customWidth="1"/>
    <col min="2646" max="2646" width="12.7265625" bestFit="1" customWidth="1"/>
    <col min="2647" max="2648" width="12.6328125" bestFit="1" customWidth="1"/>
    <col min="2649" max="2649" width="13.1796875" bestFit="1" customWidth="1"/>
    <col min="2650" max="2650" width="12.6328125" bestFit="1" customWidth="1"/>
    <col min="2651" max="2652" width="12.54296875" bestFit="1" customWidth="1"/>
    <col min="2653" max="2653" width="12.6328125" bestFit="1" customWidth="1"/>
    <col min="2654" max="2654" width="12.7265625" bestFit="1" customWidth="1"/>
    <col min="2655" max="2655" width="12.54296875" bestFit="1" customWidth="1"/>
    <col min="2656" max="2656" width="13.08984375" bestFit="1" customWidth="1"/>
    <col min="2657" max="2657" width="12.6328125" bestFit="1" customWidth="1"/>
    <col min="2658" max="2659" width="12.7265625" bestFit="1" customWidth="1"/>
    <col min="2660" max="2660" width="13.08984375" bestFit="1" customWidth="1"/>
    <col min="2661" max="2661" width="13" bestFit="1" customWidth="1"/>
    <col min="2662" max="2664" width="12.6328125" bestFit="1" customWidth="1"/>
    <col min="2665" max="2665" width="12.7265625" bestFit="1" customWidth="1"/>
    <col min="2666" max="2666" width="13" bestFit="1" customWidth="1"/>
    <col min="2667" max="2667" width="13.08984375" bestFit="1" customWidth="1"/>
    <col min="2668" max="2668" width="13" bestFit="1" customWidth="1"/>
    <col min="2669" max="2669" width="13.08984375" bestFit="1" customWidth="1"/>
    <col min="2670" max="2670" width="12.54296875" bestFit="1" customWidth="1"/>
    <col min="2671" max="2671" width="12.7265625" bestFit="1" customWidth="1"/>
    <col min="2672" max="2672" width="13" bestFit="1" customWidth="1"/>
    <col min="2673" max="2673" width="13.1796875" bestFit="1" customWidth="1"/>
    <col min="2674" max="2674" width="13.08984375" bestFit="1" customWidth="1"/>
    <col min="2675" max="2676" width="12.90625" bestFit="1" customWidth="1"/>
    <col min="2677" max="2677" width="13.1796875" bestFit="1" customWidth="1"/>
    <col min="2678" max="2678" width="12.6328125" bestFit="1" customWidth="1"/>
    <col min="2679" max="2679" width="12.26953125" bestFit="1" customWidth="1"/>
    <col min="2680" max="2681" width="12.7265625" bestFit="1" customWidth="1"/>
    <col min="2682" max="2683" width="13.08984375" bestFit="1" customWidth="1"/>
    <col min="2684" max="2684" width="12.90625" bestFit="1" customWidth="1"/>
    <col min="2685" max="2685" width="12.7265625" bestFit="1" customWidth="1"/>
    <col min="2686" max="2686" width="12.6328125" bestFit="1" customWidth="1"/>
    <col min="2687" max="2687" width="12.54296875" bestFit="1" customWidth="1"/>
    <col min="2688" max="2688" width="13.08984375" bestFit="1" customWidth="1"/>
    <col min="2689" max="2689" width="13" bestFit="1" customWidth="1"/>
    <col min="2690" max="2690" width="13.26953125" bestFit="1" customWidth="1"/>
    <col min="2691" max="2691" width="12.6328125" bestFit="1" customWidth="1"/>
    <col min="2692" max="2693" width="12.90625" bestFit="1" customWidth="1"/>
    <col min="2694" max="2694" width="12.54296875" bestFit="1" customWidth="1"/>
    <col min="2695" max="2695" width="12.6328125" bestFit="1" customWidth="1"/>
    <col min="2696" max="2696" width="12.90625" bestFit="1" customWidth="1"/>
    <col min="2697" max="2697" width="12.7265625" bestFit="1" customWidth="1"/>
    <col min="2698" max="2698" width="13.08984375" bestFit="1" customWidth="1"/>
    <col min="2699" max="2699" width="12.7265625" bestFit="1" customWidth="1"/>
    <col min="2700" max="2700" width="13.26953125" bestFit="1" customWidth="1"/>
    <col min="2701" max="2701" width="12.90625" bestFit="1" customWidth="1"/>
    <col min="2702" max="2702" width="13" bestFit="1" customWidth="1"/>
    <col min="2703" max="2703" width="12.7265625" bestFit="1" customWidth="1"/>
    <col min="2704" max="2704" width="12.54296875" bestFit="1" customWidth="1"/>
    <col min="2705" max="2705" width="12.6328125" bestFit="1" customWidth="1"/>
    <col min="2706" max="2707" width="13.1796875" bestFit="1" customWidth="1"/>
    <col min="2708" max="2708" width="13.26953125" bestFit="1" customWidth="1"/>
    <col min="2709" max="2709" width="12.90625" bestFit="1" customWidth="1"/>
    <col min="2710" max="2711" width="12.7265625" bestFit="1" customWidth="1"/>
    <col min="2712" max="2712" width="12.6328125" bestFit="1" customWidth="1"/>
    <col min="2713" max="2714" width="12.7265625" bestFit="1" customWidth="1"/>
    <col min="2715" max="2715" width="13.26953125" bestFit="1" customWidth="1"/>
    <col min="2716" max="2716" width="12.7265625" bestFit="1" customWidth="1"/>
    <col min="2717" max="2717" width="12.90625" bestFit="1" customWidth="1"/>
    <col min="2718" max="2718" width="12.7265625" bestFit="1" customWidth="1"/>
    <col min="2719" max="2719" width="12.90625" bestFit="1" customWidth="1"/>
    <col min="2720" max="2720" width="13.1796875" bestFit="1" customWidth="1"/>
    <col min="2721" max="2721" width="12.7265625" bestFit="1" customWidth="1"/>
    <col min="2722" max="2722" width="13.08984375" bestFit="1" customWidth="1"/>
    <col min="2723" max="2723" width="13.36328125" bestFit="1" customWidth="1"/>
    <col min="2724" max="2724" width="13.08984375" bestFit="1" customWidth="1"/>
    <col min="2725" max="2725" width="13.1796875" bestFit="1" customWidth="1"/>
    <col min="2726" max="2726" width="13.7265625" bestFit="1" customWidth="1"/>
    <col min="2727" max="2728" width="12.7265625" bestFit="1" customWidth="1"/>
    <col min="2729" max="2729" width="13" bestFit="1" customWidth="1"/>
    <col min="2730" max="2730" width="12.6328125" bestFit="1" customWidth="1"/>
    <col min="2731" max="2731" width="13.26953125" bestFit="1" customWidth="1"/>
    <col min="2732" max="2732" width="12.7265625" bestFit="1" customWidth="1"/>
    <col min="2733" max="2734" width="12.90625" bestFit="1" customWidth="1"/>
    <col min="2735" max="2735" width="13.1796875" bestFit="1" customWidth="1"/>
    <col min="2736" max="2736" width="13.36328125" bestFit="1" customWidth="1"/>
    <col min="2737" max="2737" width="12.90625" bestFit="1" customWidth="1"/>
    <col min="2738" max="2738" width="12.7265625" bestFit="1" customWidth="1"/>
    <col min="2739" max="2739" width="13.26953125" bestFit="1" customWidth="1"/>
    <col min="2740" max="2740" width="13.36328125" bestFit="1" customWidth="1"/>
    <col min="2741" max="2741" width="12.90625" bestFit="1" customWidth="1"/>
    <col min="2742" max="2742" width="13" bestFit="1" customWidth="1"/>
    <col min="2743" max="2743" width="12.6328125" bestFit="1" customWidth="1"/>
    <col min="2744" max="2744" width="13.26953125" bestFit="1" customWidth="1"/>
    <col min="2745" max="2745" width="12.90625" bestFit="1" customWidth="1"/>
    <col min="2746" max="2747" width="12.54296875" bestFit="1" customWidth="1"/>
    <col min="2748" max="2748" width="12.6328125" bestFit="1" customWidth="1"/>
    <col min="2749" max="2749" width="12.90625" bestFit="1" customWidth="1"/>
    <col min="2750" max="2751" width="12.6328125" bestFit="1" customWidth="1"/>
    <col min="2752" max="2754" width="12.453125" bestFit="1" customWidth="1"/>
    <col min="2755" max="2755" width="12.54296875" bestFit="1" customWidth="1"/>
    <col min="2756" max="2756" width="12.90625" bestFit="1" customWidth="1"/>
    <col min="2757" max="2757" width="12.54296875" bestFit="1" customWidth="1"/>
    <col min="2758" max="2758" width="12.7265625" bestFit="1" customWidth="1"/>
    <col min="2759" max="2759" width="13.1796875" bestFit="1" customWidth="1"/>
    <col min="2760" max="2760" width="12.6328125" bestFit="1" customWidth="1"/>
    <col min="2761" max="2761" width="12.7265625" bestFit="1" customWidth="1"/>
    <col min="2762" max="2762" width="12.90625" bestFit="1" customWidth="1"/>
    <col min="2763" max="2763" width="12.6328125" bestFit="1" customWidth="1"/>
    <col min="2764" max="2764" width="13" bestFit="1" customWidth="1"/>
    <col min="2765" max="2765" width="13.08984375" bestFit="1" customWidth="1"/>
    <col min="2766" max="2766" width="12.6328125" bestFit="1" customWidth="1"/>
    <col min="2767" max="2768" width="13.08984375" bestFit="1" customWidth="1"/>
    <col min="2769" max="2769" width="12.90625" bestFit="1" customWidth="1"/>
    <col min="2770" max="2770" width="13" bestFit="1" customWidth="1"/>
    <col min="2771" max="2771" width="12.7265625" bestFit="1" customWidth="1"/>
    <col min="2772" max="2772" width="12.54296875" bestFit="1" customWidth="1"/>
    <col min="2773" max="2773" width="12.453125" bestFit="1" customWidth="1"/>
    <col min="2774" max="2774" width="12.90625" bestFit="1" customWidth="1"/>
    <col min="2775" max="2775" width="12.54296875" bestFit="1" customWidth="1"/>
    <col min="2776" max="2776" width="13.08984375" bestFit="1" customWidth="1"/>
    <col min="2777" max="2777" width="12.54296875" bestFit="1" customWidth="1"/>
    <col min="2778" max="2778" width="13.1796875" bestFit="1" customWidth="1"/>
    <col min="2779" max="2779" width="12.54296875" bestFit="1" customWidth="1"/>
    <col min="2780" max="2780" width="13" bestFit="1" customWidth="1"/>
    <col min="2781" max="2781" width="13.08984375" bestFit="1" customWidth="1"/>
    <col min="2782" max="2782" width="12.6328125" bestFit="1" customWidth="1"/>
    <col min="2783" max="2784" width="12.54296875" bestFit="1" customWidth="1"/>
    <col min="2785" max="2785" width="12.7265625" bestFit="1" customWidth="1"/>
    <col min="2786" max="2786" width="13.26953125" bestFit="1" customWidth="1"/>
    <col min="2787" max="2787" width="12.90625" bestFit="1" customWidth="1"/>
    <col min="2788" max="2788" width="12.6328125" bestFit="1" customWidth="1"/>
    <col min="2789" max="2789" width="12.90625" bestFit="1" customWidth="1"/>
    <col min="2790" max="2790" width="12.7265625" bestFit="1" customWidth="1"/>
    <col min="2791" max="2791" width="12.54296875" bestFit="1" customWidth="1"/>
    <col min="2792" max="2792" width="12.6328125" bestFit="1" customWidth="1"/>
    <col min="2793" max="2793" width="13.1796875" bestFit="1" customWidth="1"/>
    <col min="2794" max="2794" width="12.7265625" bestFit="1" customWidth="1"/>
    <col min="2795" max="2796" width="12.6328125" bestFit="1" customWidth="1"/>
    <col min="2797" max="2797" width="12.7265625" bestFit="1" customWidth="1"/>
    <col min="2798" max="2798" width="12.6328125" bestFit="1" customWidth="1"/>
    <col min="2799" max="2799" width="13.08984375" bestFit="1" customWidth="1"/>
    <col min="2800" max="2800" width="12.7265625" bestFit="1" customWidth="1"/>
    <col min="2801" max="2802" width="12.54296875" bestFit="1" customWidth="1"/>
    <col min="2803" max="2803" width="12.6328125" bestFit="1" customWidth="1"/>
    <col min="2804" max="2804" width="12.453125" bestFit="1" customWidth="1"/>
    <col min="2805" max="2805" width="12.7265625" bestFit="1" customWidth="1"/>
    <col min="2806" max="2806" width="12.90625" bestFit="1" customWidth="1"/>
    <col min="2807" max="2807" width="13" bestFit="1" customWidth="1"/>
    <col min="2808" max="2808" width="12.6328125" bestFit="1" customWidth="1"/>
    <col min="2809" max="2809" width="12.54296875" bestFit="1" customWidth="1"/>
    <col min="2810" max="2810" width="12.7265625" bestFit="1" customWidth="1"/>
    <col min="2811" max="2811" width="12.90625" bestFit="1" customWidth="1"/>
    <col min="2812" max="2814" width="13.08984375" bestFit="1" customWidth="1"/>
    <col min="2815" max="2815" width="12.54296875" bestFit="1" customWidth="1"/>
    <col min="2816" max="2816" width="12.7265625" bestFit="1" customWidth="1"/>
    <col min="2817" max="2817" width="13.1796875" bestFit="1" customWidth="1"/>
    <col min="2818" max="2818" width="12.6328125" bestFit="1" customWidth="1"/>
    <col min="2819" max="2819" width="13" bestFit="1" customWidth="1"/>
    <col min="2820" max="2820" width="12.6328125" bestFit="1" customWidth="1"/>
    <col min="2821" max="2821" width="12.453125" bestFit="1" customWidth="1"/>
    <col min="2822" max="2822" width="12.90625" bestFit="1" customWidth="1"/>
    <col min="2823" max="2823" width="13.08984375" bestFit="1" customWidth="1"/>
    <col min="2824" max="2824" width="12.6328125" bestFit="1" customWidth="1"/>
    <col min="2825" max="2825" width="12.90625" bestFit="1" customWidth="1"/>
    <col min="2826" max="2826" width="12.7265625" bestFit="1" customWidth="1"/>
    <col min="2827" max="2828" width="12.54296875" bestFit="1" customWidth="1"/>
    <col min="2829" max="2829" width="12.90625" bestFit="1" customWidth="1"/>
    <col min="2830" max="2831" width="12.54296875" bestFit="1" customWidth="1"/>
    <col min="2832" max="2832" width="13.1796875" bestFit="1" customWidth="1"/>
    <col min="2833" max="2833" width="13" bestFit="1" customWidth="1"/>
    <col min="2834" max="2834" width="12.6328125" bestFit="1" customWidth="1"/>
    <col min="2835" max="2835" width="13.08984375" bestFit="1" customWidth="1"/>
    <col min="2836" max="2836" width="12.90625" bestFit="1" customWidth="1"/>
    <col min="2837" max="2837" width="12.7265625" bestFit="1" customWidth="1"/>
    <col min="2838" max="2838" width="13.08984375" bestFit="1" customWidth="1"/>
    <col min="2839" max="2839" width="13" bestFit="1" customWidth="1"/>
    <col min="2840" max="2840" width="12.6328125" bestFit="1" customWidth="1"/>
    <col min="2841" max="2841" width="12.90625" bestFit="1" customWidth="1"/>
    <col min="2842" max="2842" width="13.08984375" bestFit="1" customWidth="1"/>
    <col min="2843" max="2843" width="12.90625" bestFit="1" customWidth="1"/>
    <col min="2844" max="2844" width="13" bestFit="1" customWidth="1"/>
    <col min="2845" max="2845" width="13.1796875" bestFit="1" customWidth="1"/>
    <col min="2846" max="2846" width="13.08984375" bestFit="1" customWidth="1"/>
    <col min="2847" max="2847" width="12.54296875" bestFit="1" customWidth="1"/>
    <col min="2848" max="2848" width="12.7265625" bestFit="1" customWidth="1"/>
    <col min="2849" max="2849" width="13" bestFit="1" customWidth="1"/>
    <col min="2850" max="2850" width="12.6328125" bestFit="1" customWidth="1"/>
    <col min="2851" max="2851" width="12.36328125" bestFit="1" customWidth="1"/>
    <col min="2852" max="2852" width="12.90625" bestFit="1" customWidth="1"/>
    <col min="2853" max="2853" width="12.6328125" bestFit="1" customWidth="1"/>
    <col min="2854" max="2854" width="13.08984375" bestFit="1" customWidth="1"/>
    <col min="2855" max="2856" width="13" bestFit="1" customWidth="1"/>
    <col min="2857" max="2857" width="12.6328125" bestFit="1" customWidth="1"/>
    <col min="2858" max="2858" width="13" bestFit="1" customWidth="1"/>
    <col min="2859" max="2859" width="12.90625" bestFit="1" customWidth="1"/>
    <col min="2860" max="2862" width="13.08984375" bestFit="1" customWidth="1"/>
    <col min="2863" max="2863" width="12.90625" bestFit="1" customWidth="1"/>
    <col min="2864" max="2865" width="13.1796875" bestFit="1" customWidth="1"/>
    <col min="2866" max="2867" width="13.36328125" bestFit="1" customWidth="1"/>
    <col min="2868" max="2868" width="13" bestFit="1" customWidth="1"/>
    <col min="2869" max="2869" width="12.90625" bestFit="1" customWidth="1"/>
    <col min="2870" max="2870" width="12.7265625" bestFit="1" customWidth="1"/>
    <col min="2871" max="2871" width="12.36328125" bestFit="1" customWidth="1"/>
    <col min="2872" max="2872" width="12.54296875" bestFit="1" customWidth="1"/>
    <col min="2873" max="2873" width="12.453125" bestFit="1" customWidth="1"/>
    <col min="2874" max="2874" width="12.54296875" bestFit="1" customWidth="1"/>
    <col min="2875" max="2875" width="13.1796875" bestFit="1" customWidth="1"/>
    <col min="2876" max="2876" width="12.54296875" bestFit="1" customWidth="1"/>
    <col min="2877" max="2877" width="12.453125" bestFit="1" customWidth="1"/>
    <col min="2878" max="2878" width="12.54296875" bestFit="1" customWidth="1"/>
    <col min="2879" max="2879" width="13.08984375" bestFit="1" customWidth="1"/>
    <col min="2880" max="2880" width="12.26953125" bestFit="1" customWidth="1"/>
    <col min="2881" max="2881" width="12.90625" bestFit="1" customWidth="1"/>
    <col min="2882" max="2882" width="12.7265625" bestFit="1" customWidth="1"/>
    <col min="2883" max="2883" width="13.08984375" bestFit="1" customWidth="1"/>
    <col min="2884" max="2885" width="12.90625" bestFit="1" customWidth="1"/>
    <col min="2886" max="2886" width="13.08984375" bestFit="1" customWidth="1"/>
    <col min="2887" max="2887" width="12.6328125" bestFit="1" customWidth="1"/>
    <col min="2888" max="2888" width="12.7265625" bestFit="1" customWidth="1"/>
    <col min="2889" max="2889" width="12.54296875" bestFit="1" customWidth="1"/>
    <col min="2890" max="2891" width="12.90625" bestFit="1" customWidth="1"/>
    <col min="2892" max="2892" width="12.7265625" bestFit="1" customWidth="1"/>
    <col min="2893" max="2893" width="12.54296875" bestFit="1" customWidth="1"/>
    <col min="2894" max="2895" width="12.90625" bestFit="1" customWidth="1"/>
    <col min="2896" max="2896" width="13" bestFit="1" customWidth="1"/>
    <col min="2897" max="2897" width="12.453125" bestFit="1" customWidth="1"/>
    <col min="2898" max="2899" width="12.90625" bestFit="1" customWidth="1"/>
    <col min="2900" max="2900" width="13" bestFit="1" customWidth="1"/>
    <col min="2901" max="2901" width="12.90625" bestFit="1" customWidth="1"/>
    <col min="2902" max="2902" width="13.26953125" bestFit="1" customWidth="1"/>
    <col min="2903" max="2903" width="12.7265625" bestFit="1" customWidth="1"/>
    <col min="2904" max="2904" width="12.6328125" bestFit="1" customWidth="1"/>
    <col min="2905" max="2905" width="12.90625" bestFit="1" customWidth="1"/>
    <col min="2906" max="2906" width="13" bestFit="1" customWidth="1"/>
    <col min="2907" max="2907" width="12.90625" bestFit="1" customWidth="1"/>
    <col min="2908" max="2908" width="12.7265625" bestFit="1" customWidth="1"/>
    <col min="2909" max="2909" width="13.1796875" bestFit="1" customWidth="1"/>
    <col min="2910" max="2910" width="13" bestFit="1" customWidth="1"/>
    <col min="2911" max="2911" width="12.6328125" bestFit="1" customWidth="1"/>
    <col min="2912" max="2912" width="13" bestFit="1" customWidth="1"/>
    <col min="2913" max="2913" width="12.54296875" bestFit="1" customWidth="1"/>
    <col min="2914" max="2914" width="12.453125" bestFit="1" customWidth="1"/>
    <col min="2915" max="2915" width="12.7265625" bestFit="1" customWidth="1"/>
    <col min="2916" max="2916" width="13" bestFit="1" customWidth="1"/>
    <col min="2917" max="2917" width="13.1796875" bestFit="1" customWidth="1"/>
    <col min="2918" max="2918" width="12.6328125" bestFit="1" customWidth="1"/>
    <col min="2919" max="2919" width="12.7265625" bestFit="1" customWidth="1"/>
    <col min="2920" max="2920" width="12.90625" bestFit="1" customWidth="1"/>
    <col min="2921" max="2921" width="13.36328125" bestFit="1" customWidth="1"/>
    <col min="2922" max="2923" width="12.7265625" bestFit="1" customWidth="1"/>
    <col min="2924" max="2924" width="12.54296875" bestFit="1" customWidth="1"/>
    <col min="2925" max="2925" width="13.08984375" bestFit="1" customWidth="1"/>
    <col min="2926" max="2926" width="12.6328125" bestFit="1" customWidth="1"/>
    <col min="2927" max="2927" width="12.36328125" bestFit="1" customWidth="1"/>
    <col min="2928" max="2928" width="12.90625" bestFit="1" customWidth="1"/>
    <col min="2929" max="2931" width="13" bestFit="1" customWidth="1"/>
    <col min="2932" max="2932" width="12.6328125" bestFit="1" customWidth="1"/>
    <col min="2933" max="2933" width="12.7265625" bestFit="1" customWidth="1"/>
    <col min="2934" max="2934" width="13" bestFit="1" customWidth="1"/>
    <col min="2935" max="2935" width="12.7265625" bestFit="1" customWidth="1"/>
    <col min="2936" max="2936" width="12.90625" bestFit="1" customWidth="1"/>
    <col min="2937" max="2937" width="12.54296875" bestFit="1" customWidth="1"/>
    <col min="2938" max="2938" width="13.08984375" bestFit="1" customWidth="1"/>
    <col min="2939" max="2939" width="13" bestFit="1" customWidth="1"/>
    <col min="2940" max="2940" width="13.453125" bestFit="1" customWidth="1"/>
    <col min="2941" max="2941" width="13" bestFit="1" customWidth="1"/>
    <col min="2942" max="2942" width="12.7265625" bestFit="1" customWidth="1"/>
    <col min="2943" max="2943" width="13.1796875" bestFit="1" customWidth="1"/>
    <col min="2944" max="2944" width="12.90625" bestFit="1" customWidth="1"/>
    <col min="2945" max="2945" width="12.54296875" bestFit="1" customWidth="1"/>
    <col min="2946" max="2946" width="13.36328125" bestFit="1" customWidth="1"/>
    <col min="2947" max="2947" width="13.54296875" bestFit="1" customWidth="1"/>
    <col min="2948" max="2948" width="12.7265625" bestFit="1" customWidth="1"/>
    <col min="2949" max="2949" width="13.08984375" bestFit="1" customWidth="1"/>
    <col min="2950" max="2950" width="12.54296875" bestFit="1" customWidth="1"/>
    <col min="2951" max="2951" width="12.90625" bestFit="1" customWidth="1"/>
    <col min="2952" max="2952" width="13.1796875" bestFit="1" customWidth="1"/>
    <col min="2953" max="2953" width="13.08984375" bestFit="1" customWidth="1"/>
    <col min="2954" max="2954" width="12.7265625" bestFit="1" customWidth="1"/>
    <col min="2955" max="2955" width="13" bestFit="1" customWidth="1"/>
    <col min="2956" max="2958" width="12.90625" bestFit="1" customWidth="1"/>
    <col min="2959" max="2959" width="12.7265625" bestFit="1" customWidth="1"/>
    <col min="2960" max="2961" width="13" bestFit="1" customWidth="1"/>
    <col min="2962" max="2962" width="12.6328125" bestFit="1" customWidth="1"/>
    <col min="2963" max="2963" width="12.90625" bestFit="1" customWidth="1"/>
    <col min="2964" max="2964" width="12.7265625" bestFit="1" customWidth="1"/>
    <col min="2965" max="2965" width="12.6328125" bestFit="1" customWidth="1"/>
    <col min="2966" max="2966" width="12.54296875" bestFit="1" customWidth="1"/>
    <col min="2967" max="2967" width="12.6328125" bestFit="1" customWidth="1"/>
    <col min="2968" max="2968" width="12.54296875" bestFit="1" customWidth="1"/>
    <col min="2969" max="2969" width="13.1796875" bestFit="1" customWidth="1"/>
    <col min="2970" max="2971" width="12.6328125" bestFit="1" customWidth="1"/>
    <col min="2972" max="2973" width="13" bestFit="1" customWidth="1"/>
    <col min="2974" max="2974" width="13.08984375" bestFit="1" customWidth="1"/>
    <col min="2975" max="2975" width="12.6328125" bestFit="1" customWidth="1"/>
    <col min="2976" max="2976" width="13.26953125" bestFit="1" customWidth="1"/>
    <col min="2977" max="2977" width="13.08984375" bestFit="1" customWidth="1"/>
    <col min="2978" max="2978" width="12.6328125" bestFit="1" customWidth="1"/>
    <col min="2979" max="2980" width="13" bestFit="1" customWidth="1"/>
    <col min="2981" max="2981" width="13.36328125" bestFit="1" customWidth="1"/>
    <col min="2982" max="2982" width="13" bestFit="1" customWidth="1"/>
    <col min="2983" max="2983" width="12.6328125" bestFit="1" customWidth="1"/>
    <col min="2984" max="2984" width="12.54296875" bestFit="1" customWidth="1"/>
    <col min="2985" max="2985" width="13.08984375" bestFit="1" customWidth="1"/>
    <col min="2986" max="2986" width="12.7265625" bestFit="1" customWidth="1"/>
    <col min="2987" max="2987" width="13.26953125" bestFit="1" customWidth="1"/>
    <col min="2988" max="2988" width="13.453125" bestFit="1" customWidth="1"/>
    <col min="2989" max="2989" width="12.7265625" bestFit="1" customWidth="1"/>
    <col min="2990" max="2990" width="13.6328125" bestFit="1" customWidth="1"/>
    <col min="2991" max="2991" width="13.1796875" bestFit="1" customWidth="1"/>
    <col min="2992" max="2993" width="12.7265625" bestFit="1" customWidth="1"/>
    <col min="2994" max="2994" width="12.90625" bestFit="1" customWidth="1"/>
    <col min="2995" max="2995" width="12.54296875" bestFit="1" customWidth="1"/>
    <col min="2996" max="2996" width="12.90625" bestFit="1" customWidth="1"/>
    <col min="2997" max="2997" width="12.54296875" bestFit="1" customWidth="1"/>
    <col min="2998" max="2998" width="13.08984375" bestFit="1" customWidth="1"/>
    <col min="2999" max="2999" width="13.1796875" bestFit="1" customWidth="1"/>
    <col min="3000" max="3000" width="12.54296875" bestFit="1" customWidth="1"/>
    <col min="3001" max="3001" width="12.36328125" bestFit="1" customWidth="1"/>
    <col min="3002" max="3002" width="13.1796875" bestFit="1" customWidth="1"/>
    <col min="3003" max="3003" width="12.7265625" bestFit="1" customWidth="1"/>
    <col min="3004" max="3004" width="12.36328125" bestFit="1" customWidth="1"/>
    <col min="3005" max="3005" width="12.54296875" bestFit="1" customWidth="1"/>
    <col min="3006" max="3006" width="12.90625" bestFit="1" customWidth="1"/>
    <col min="3007" max="3008" width="12.7265625" bestFit="1" customWidth="1"/>
    <col min="3009" max="3009" width="12.90625" bestFit="1" customWidth="1"/>
    <col min="3010" max="3010" width="12.6328125" bestFit="1" customWidth="1"/>
    <col min="3011" max="3012" width="12.90625" bestFit="1" customWidth="1"/>
    <col min="3013" max="3013" width="13" bestFit="1" customWidth="1"/>
    <col min="3014" max="3014" width="12.6328125" bestFit="1" customWidth="1"/>
    <col min="3015" max="3015" width="13" bestFit="1" customWidth="1"/>
    <col min="3016" max="3016" width="13.08984375" bestFit="1" customWidth="1"/>
    <col min="3017" max="3017" width="12.90625" bestFit="1" customWidth="1"/>
    <col min="3018" max="3018" width="12.54296875" bestFit="1" customWidth="1"/>
    <col min="3019" max="3019" width="12.6328125" bestFit="1" customWidth="1"/>
    <col min="3020" max="3020" width="13" bestFit="1" customWidth="1"/>
    <col min="3021" max="3021" width="12.90625" bestFit="1" customWidth="1"/>
    <col min="3022" max="3022" width="12.7265625" bestFit="1" customWidth="1"/>
    <col min="3023" max="3023" width="12.36328125" bestFit="1" customWidth="1"/>
    <col min="3024" max="3024" width="13.453125" bestFit="1" customWidth="1"/>
    <col min="3025" max="3025" width="13.1796875" bestFit="1" customWidth="1"/>
    <col min="3026" max="3026" width="13" bestFit="1" customWidth="1"/>
    <col min="3027" max="3027" width="13.1796875" bestFit="1" customWidth="1"/>
    <col min="3028" max="3028" width="12.7265625" bestFit="1" customWidth="1"/>
    <col min="3029" max="3029" width="12.36328125" bestFit="1" customWidth="1"/>
    <col min="3030" max="3030" width="12.6328125" bestFit="1" customWidth="1"/>
    <col min="3031" max="3031" width="12.453125" bestFit="1" customWidth="1"/>
    <col min="3032" max="3032" width="12.90625" bestFit="1" customWidth="1"/>
    <col min="3033" max="3033" width="13" bestFit="1" customWidth="1"/>
    <col min="3034" max="3034" width="12.36328125" bestFit="1" customWidth="1"/>
    <col min="3035" max="3037" width="12.54296875" bestFit="1" customWidth="1"/>
    <col min="3038" max="3038" width="13" bestFit="1" customWidth="1"/>
    <col min="3039" max="3040" width="12.453125" bestFit="1" customWidth="1"/>
    <col min="3041" max="3041" width="12.7265625" bestFit="1" customWidth="1"/>
    <col min="3042" max="3042" width="12.54296875" bestFit="1" customWidth="1"/>
    <col min="3043" max="3043" width="12.7265625" bestFit="1" customWidth="1"/>
    <col min="3044" max="3044" width="13" bestFit="1" customWidth="1"/>
    <col min="3045" max="3045" width="12.90625" bestFit="1" customWidth="1"/>
    <col min="3046" max="3047" width="12.6328125" bestFit="1" customWidth="1"/>
    <col min="3048" max="3048" width="12.90625" bestFit="1" customWidth="1"/>
    <col min="3049" max="3049" width="12.7265625" bestFit="1" customWidth="1"/>
    <col min="3050" max="3050" width="12.6328125" bestFit="1" customWidth="1"/>
    <col min="3051" max="3052" width="12.54296875" bestFit="1" customWidth="1"/>
    <col min="3053" max="3054" width="12.7265625" bestFit="1" customWidth="1"/>
    <col min="3055" max="3056" width="13.26953125" bestFit="1" customWidth="1"/>
    <col min="3057" max="3057" width="13.453125" bestFit="1" customWidth="1"/>
    <col min="3058" max="3058" width="13.26953125" bestFit="1" customWidth="1"/>
    <col min="3059" max="3059" width="12.7265625" bestFit="1" customWidth="1"/>
    <col min="3060" max="3060" width="12.54296875" bestFit="1" customWidth="1"/>
    <col min="3061" max="3062" width="12.90625" bestFit="1" customWidth="1"/>
    <col min="3063" max="3063" width="13.08984375" bestFit="1" customWidth="1"/>
    <col min="3064" max="3064" width="13" bestFit="1" customWidth="1"/>
    <col min="3065" max="3065" width="12.54296875" bestFit="1" customWidth="1"/>
    <col min="3066" max="3066" width="12.7265625" bestFit="1" customWidth="1"/>
    <col min="3067" max="3067" width="12.54296875" bestFit="1" customWidth="1"/>
    <col min="3068" max="3068" width="12.90625" bestFit="1" customWidth="1"/>
    <col min="3069" max="3069" width="12.54296875" bestFit="1" customWidth="1"/>
    <col min="3070" max="3070" width="12.6328125" bestFit="1" customWidth="1"/>
    <col min="3071" max="3071" width="13.1796875" bestFit="1" customWidth="1"/>
    <col min="3072" max="3072" width="13" bestFit="1" customWidth="1"/>
    <col min="3073" max="3073" width="12.90625" bestFit="1" customWidth="1"/>
    <col min="3074" max="3074" width="12.54296875" bestFit="1" customWidth="1"/>
    <col min="3075" max="3075" width="12.453125" bestFit="1" customWidth="1"/>
    <col min="3076" max="3077" width="12.90625" bestFit="1" customWidth="1"/>
    <col min="3078" max="3078" width="12.6328125" bestFit="1" customWidth="1"/>
    <col min="3079" max="3079" width="12.54296875" bestFit="1" customWidth="1"/>
    <col min="3080" max="3080" width="12.7265625" bestFit="1" customWidth="1"/>
    <col min="3081" max="3081" width="12.453125" bestFit="1" customWidth="1"/>
    <col min="3082" max="3082" width="12.90625" bestFit="1" customWidth="1"/>
    <col min="3083" max="3083" width="12.54296875" bestFit="1" customWidth="1"/>
    <col min="3084" max="3084" width="13.08984375" bestFit="1" customWidth="1"/>
    <col min="3085" max="3085" width="12.6328125" bestFit="1" customWidth="1"/>
    <col min="3086" max="3086" width="12.54296875" bestFit="1" customWidth="1"/>
    <col min="3087" max="3087" width="12.6328125" bestFit="1" customWidth="1"/>
    <col min="3088" max="3088" width="13" bestFit="1" customWidth="1"/>
    <col min="3089" max="3089" width="12.6328125" bestFit="1" customWidth="1"/>
    <col min="3090" max="3090" width="12.7265625" bestFit="1" customWidth="1"/>
    <col min="3091" max="3092" width="12.90625" bestFit="1" customWidth="1"/>
    <col min="3093" max="3093" width="12.7265625" bestFit="1" customWidth="1"/>
    <col min="3094" max="3094" width="12.6328125" bestFit="1" customWidth="1"/>
    <col min="3095" max="3095" width="13.08984375" bestFit="1" customWidth="1"/>
    <col min="3096" max="3096" width="13" bestFit="1" customWidth="1"/>
    <col min="3097" max="3097" width="12.453125" bestFit="1" customWidth="1"/>
    <col min="3098" max="3098" width="12.6328125" bestFit="1" customWidth="1"/>
    <col min="3099" max="3099" width="13" bestFit="1" customWidth="1"/>
    <col min="3100" max="3100" width="12.90625" bestFit="1" customWidth="1"/>
    <col min="3101" max="3101" width="12.6328125" bestFit="1" customWidth="1"/>
    <col min="3102" max="3102" width="13" bestFit="1" customWidth="1"/>
    <col min="3103" max="3104" width="12.7265625" bestFit="1" customWidth="1"/>
    <col min="3105" max="3105" width="13" bestFit="1" customWidth="1"/>
    <col min="3106" max="3106" width="13.1796875" bestFit="1" customWidth="1"/>
    <col min="3107" max="3107" width="12.6328125" bestFit="1" customWidth="1"/>
    <col min="3108" max="3108" width="13.26953125" bestFit="1" customWidth="1"/>
    <col min="3109" max="3109" width="13.453125" bestFit="1" customWidth="1"/>
    <col min="3110" max="3110" width="12.54296875" bestFit="1" customWidth="1"/>
    <col min="3111" max="3111" width="13.1796875" bestFit="1" customWidth="1"/>
    <col min="3112" max="3112" width="12.6328125" bestFit="1" customWidth="1"/>
    <col min="3113" max="3113" width="13.26953125" bestFit="1" customWidth="1"/>
    <col min="3114" max="3114" width="13" bestFit="1" customWidth="1"/>
    <col min="3115" max="3115" width="12.54296875" bestFit="1" customWidth="1"/>
    <col min="3116" max="3116" width="12.90625" bestFit="1" customWidth="1"/>
    <col min="3117" max="3117" width="12.54296875" bestFit="1" customWidth="1"/>
    <col min="3118" max="3118" width="13.1796875" bestFit="1" customWidth="1"/>
    <col min="3119" max="3120" width="12.6328125" bestFit="1" customWidth="1"/>
    <col min="3121" max="3121" width="12.7265625" bestFit="1" customWidth="1"/>
    <col min="3122" max="3122" width="13.08984375" bestFit="1" customWidth="1"/>
    <col min="3123" max="3123" width="13.1796875" bestFit="1" customWidth="1"/>
    <col min="3124" max="3124" width="13.08984375" bestFit="1" customWidth="1"/>
    <col min="3125" max="3125" width="13.1796875" bestFit="1" customWidth="1"/>
    <col min="3126" max="3126" width="12.7265625" bestFit="1" customWidth="1"/>
    <col min="3127" max="3127" width="13.26953125" bestFit="1" customWidth="1"/>
    <col min="3128" max="3129" width="12.90625" bestFit="1" customWidth="1"/>
    <col min="3130" max="3130" width="13.26953125" bestFit="1" customWidth="1"/>
    <col min="3131" max="3131" width="13.36328125" bestFit="1" customWidth="1"/>
    <col min="3132" max="3132" width="13.08984375" bestFit="1" customWidth="1"/>
    <col min="3133" max="3133" width="12.6328125" bestFit="1" customWidth="1"/>
    <col min="3134" max="3134" width="12.90625" bestFit="1" customWidth="1"/>
    <col min="3135" max="3135" width="12.6328125" bestFit="1" customWidth="1"/>
    <col min="3136" max="3136" width="12.54296875" bestFit="1" customWidth="1"/>
    <col min="3137" max="3137" width="12.90625" bestFit="1" customWidth="1"/>
    <col min="3138" max="3138" width="12.6328125" bestFit="1" customWidth="1"/>
    <col min="3139" max="3139" width="12.7265625" bestFit="1" customWidth="1"/>
    <col min="3140" max="3140" width="13" bestFit="1" customWidth="1"/>
    <col min="3141" max="3141" width="12.7265625" bestFit="1" customWidth="1"/>
    <col min="3142" max="3142" width="12.90625" bestFit="1" customWidth="1"/>
    <col min="3143" max="3143" width="12.453125" bestFit="1" customWidth="1"/>
    <col min="3144" max="3144" width="13" bestFit="1" customWidth="1"/>
    <col min="3145" max="3145" width="12.90625" bestFit="1" customWidth="1"/>
    <col min="3146" max="3146" width="12.6328125" bestFit="1" customWidth="1"/>
    <col min="3147" max="3147" width="12.7265625" bestFit="1" customWidth="1"/>
    <col min="3148" max="3148" width="13" bestFit="1" customWidth="1"/>
    <col min="3149" max="3149" width="12.90625" bestFit="1" customWidth="1"/>
    <col min="3150" max="3150" width="12.54296875" bestFit="1" customWidth="1"/>
    <col min="3151" max="3152" width="12.6328125" bestFit="1" customWidth="1"/>
    <col min="3153" max="3153" width="12.36328125" bestFit="1" customWidth="1"/>
    <col min="3154" max="3154" width="12.7265625" bestFit="1" customWidth="1"/>
    <col min="3155" max="3155" width="13.26953125" bestFit="1" customWidth="1"/>
    <col min="3156" max="3156" width="12.54296875" bestFit="1" customWidth="1"/>
    <col min="3157" max="3157" width="12.6328125" bestFit="1" customWidth="1"/>
    <col min="3158" max="3158" width="12.453125" bestFit="1" customWidth="1"/>
    <col min="3159" max="3159" width="12.54296875" bestFit="1" customWidth="1"/>
    <col min="3160" max="3160" width="12.90625" bestFit="1" customWidth="1"/>
    <col min="3161" max="3161" width="13" bestFit="1" customWidth="1"/>
    <col min="3162" max="3162" width="12.26953125" bestFit="1" customWidth="1"/>
    <col min="3163" max="3163" width="13.36328125" bestFit="1" customWidth="1"/>
    <col min="3164" max="3165" width="12.7265625" bestFit="1" customWidth="1"/>
    <col min="3166" max="3166" width="12.6328125" bestFit="1" customWidth="1"/>
    <col min="3167" max="3167" width="12.36328125" bestFit="1" customWidth="1"/>
    <col min="3168" max="3168" width="13.08984375" bestFit="1" customWidth="1"/>
    <col min="3169" max="3169" width="12.90625" bestFit="1" customWidth="1"/>
    <col min="3170" max="3170" width="13.36328125" bestFit="1" customWidth="1"/>
    <col min="3171" max="3171" width="13.1796875" bestFit="1" customWidth="1"/>
    <col min="3172" max="3172" width="13.36328125" bestFit="1" customWidth="1"/>
    <col min="3173" max="3174" width="12.90625" bestFit="1" customWidth="1"/>
    <col min="3175" max="3175" width="13.1796875" bestFit="1" customWidth="1"/>
    <col min="3176" max="3176" width="12.6328125" bestFit="1" customWidth="1"/>
    <col min="3177" max="3177" width="12.7265625" bestFit="1" customWidth="1"/>
    <col min="3178" max="3178" width="12.90625" bestFit="1" customWidth="1"/>
    <col min="3179" max="3179" width="12.7265625" bestFit="1" customWidth="1"/>
    <col min="3180" max="3180" width="12.54296875" bestFit="1" customWidth="1"/>
    <col min="3181" max="3181" width="12.90625" bestFit="1" customWidth="1"/>
    <col min="3182" max="3182" width="13" bestFit="1" customWidth="1"/>
    <col min="3183" max="3184" width="12.90625" bestFit="1" customWidth="1"/>
    <col min="3185" max="3185" width="13.1796875" bestFit="1" customWidth="1"/>
    <col min="3186" max="3186" width="12.7265625" bestFit="1" customWidth="1"/>
    <col min="3187" max="3187" width="12.54296875" bestFit="1" customWidth="1"/>
    <col min="3188" max="3188" width="12.90625" bestFit="1" customWidth="1"/>
    <col min="3189" max="3189" width="13.08984375" bestFit="1" customWidth="1"/>
    <col min="3190" max="3190" width="12.90625" bestFit="1" customWidth="1"/>
    <col min="3191" max="3191" width="12.54296875" bestFit="1" customWidth="1"/>
    <col min="3192" max="3192" width="12.6328125" bestFit="1" customWidth="1"/>
    <col min="3193" max="3193" width="13.1796875" bestFit="1" customWidth="1"/>
    <col min="3194" max="3194" width="12.54296875" bestFit="1" customWidth="1"/>
    <col min="3195" max="3195" width="13.08984375" bestFit="1" customWidth="1"/>
    <col min="3196" max="3196" width="13.26953125" bestFit="1" customWidth="1"/>
    <col min="3197" max="3197" width="13" bestFit="1" customWidth="1"/>
    <col min="3198" max="3198" width="12.7265625" bestFit="1" customWidth="1"/>
    <col min="3199" max="3199" width="13" bestFit="1" customWidth="1"/>
    <col min="3200" max="3200" width="12.6328125" bestFit="1" customWidth="1"/>
    <col min="3201" max="3201" width="12.7265625" bestFit="1" customWidth="1"/>
    <col min="3202" max="3202" width="13" bestFit="1" customWidth="1"/>
    <col min="3203" max="3204" width="12.54296875" bestFit="1" customWidth="1"/>
    <col min="3205" max="3205" width="12.6328125" bestFit="1" customWidth="1"/>
    <col min="3206" max="3206" width="12.7265625" bestFit="1" customWidth="1"/>
    <col min="3207" max="3207" width="13.08984375" bestFit="1" customWidth="1"/>
    <col min="3208" max="3208" width="12.6328125" bestFit="1" customWidth="1"/>
    <col min="3209" max="3209" width="12.54296875" bestFit="1" customWidth="1"/>
    <col min="3210" max="3210" width="12.7265625" bestFit="1" customWidth="1"/>
    <col min="3211" max="3211" width="12.54296875" bestFit="1" customWidth="1"/>
    <col min="3212" max="3212" width="12.7265625" bestFit="1" customWidth="1"/>
    <col min="3213" max="3213" width="12.6328125" bestFit="1" customWidth="1"/>
    <col min="3214" max="3214" width="12.90625" bestFit="1" customWidth="1"/>
    <col min="3215" max="3215" width="12.54296875" bestFit="1" customWidth="1"/>
    <col min="3216" max="3216" width="12.90625" bestFit="1" customWidth="1"/>
    <col min="3217" max="3217" width="12.6328125" bestFit="1" customWidth="1"/>
    <col min="3218" max="3218" width="13" bestFit="1" customWidth="1"/>
    <col min="3219" max="3219" width="13.26953125" bestFit="1" customWidth="1"/>
    <col min="3220" max="3220" width="13.08984375" bestFit="1" customWidth="1"/>
    <col min="3221" max="3222" width="12.54296875" bestFit="1" customWidth="1"/>
    <col min="3223" max="3223" width="12.6328125" bestFit="1" customWidth="1"/>
    <col min="3224" max="3224" width="12.90625" bestFit="1" customWidth="1"/>
    <col min="3225" max="3225" width="13.1796875" bestFit="1" customWidth="1"/>
    <col min="3226" max="3226" width="13.54296875" bestFit="1" customWidth="1"/>
    <col min="3227" max="3227" width="12.453125" bestFit="1" customWidth="1"/>
    <col min="3228" max="3228" width="13.08984375" bestFit="1" customWidth="1"/>
    <col min="3229" max="3229" width="13.26953125" bestFit="1" customWidth="1"/>
    <col min="3230" max="3230" width="13" bestFit="1" customWidth="1"/>
    <col min="3231" max="3231" width="12.90625" bestFit="1" customWidth="1"/>
    <col min="3232" max="3232" width="13" bestFit="1" customWidth="1"/>
    <col min="3233" max="3233" width="13.1796875" bestFit="1" customWidth="1"/>
    <col min="3234" max="3234" width="12.6328125" bestFit="1" customWidth="1"/>
    <col min="3235" max="3235" width="12.90625" bestFit="1" customWidth="1"/>
    <col min="3236" max="3236" width="12.54296875" bestFit="1" customWidth="1"/>
    <col min="3237" max="3237" width="13" bestFit="1" customWidth="1"/>
    <col min="3238" max="3238" width="12.7265625" bestFit="1" customWidth="1"/>
    <col min="3239" max="3240" width="13.08984375" bestFit="1" customWidth="1"/>
    <col min="3241" max="3241" width="12.6328125" bestFit="1" customWidth="1"/>
    <col min="3242" max="3242" width="13.08984375" bestFit="1" customWidth="1"/>
    <col min="3243" max="3243" width="12.90625" bestFit="1" customWidth="1"/>
    <col min="3244" max="3245" width="13" bestFit="1" customWidth="1"/>
    <col min="3246" max="3246" width="12.90625" bestFit="1" customWidth="1"/>
    <col min="3247" max="3248" width="12.54296875" bestFit="1" customWidth="1"/>
    <col min="3249" max="3249" width="13.26953125" bestFit="1" customWidth="1"/>
    <col min="3250" max="3250" width="13.08984375" bestFit="1" customWidth="1"/>
    <col min="3251" max="3252" width="12.7265625" bestFit="1" customWidth="1"/>
    <col min="3253" max="3253" width="13.1796875" bestFit="1" customWidth="1"/>
    <col min="3254" max="3254" width="13.26953125" bestFit="1" customWidth="1"/>
    <col min="3255" max="3255" width="13.6328125" bestFit="1" customWidth="1"/>
    <col min="3256" max="3256" width="13.1796875" bestFit="1" customWidth="1"/>
    <col min="3257" max="3257" width="13.08984375" bestFit="1" customWidth="1"/>
    <col min="3258" max="3258" width="13" bestFit="1" customWidth="1"/>
    <col min="3259" max="3259" width="12.6328125" bestFit="1" customWidth="1"/>
    <col min="3260" max="3260" width="12.54296875" bestFit="1" customWidth="1"/>
    <col min="3261" max="3261" width="13.36328125" bestFit="1" customWidth="1"/>
    <col min="3262" max="3262" width="12.6328125" bestFit="1" customWidth="1"/>
    <col min="3263" max="3263" width="12.7265625" bestFit="1" customWidth="1"/>
    <col min="3264" max="3264" width="12.54296875" bestFit="1" customWidth="1"/>
    <col min="3265" max="3265" width="12.7265625" bestFit="1" customWidth="1"/>
    <col min="3266" max="3267" width="12.6328125" bestFit="1" customWidth="1"/>
    <col min="3268" max="3268" width="12.453125" bestFit="1" customWidth="1"/>
    <col min="3269" max="3269" width="12.6328125" bestFit="1" customWidth="1"/>
    <col min="3270" max="3270" width="12.7265625" bestFit="1" customWidth="1"/>
    <col min="3271" max="3271" width="13.08984375" bestFit="1" customWidth="1"/>
    <col min="3272" max="3272" width="13" bestFit="1" customWidth="1"/>
    <col min="3273" max="3273" width="13.26953125" bestFit="1" customWidth="1"/>
    <col min="3274" max="3274" width="13.36328125" bestFit="1" customWidth="1"/>
    <col min="3275" max="3277" width="13" bestFit="1" customWidth="1"/>
    <col min="3278" max="3278" width="12.90625" bestFit="1" customWidth="1"/>
    <col min="3279" max="3279" width="13.08984375" bestFit="1" customWidth="1"/>
    <col min="3280" max="3280" width="13.1796875" bestFit="1" customWidth="1"/>
    <col min="3281" max="3282" width="12.90625" bestFit="1" customWidth="1"/>
    <col min="3283" max="3283" width="13.1796875" bestFit="1" customWidth="1"/>
    <col min="3284" max="3284" width="12.7265625" bestFit="1" customWidth="1"/>
    <col min="3285" max="3285" width="13.26953125" bestFit="1" customWidth="1"/>
    <col min="3286" max="3287" width="12.7265625" bestFit="1" customWidth="1"/>
    <col min="3288" max="3288" width="13" bestFit="1" customWidth="1"/>
    <col min="3289" max="3289" width="13.453125" bestFit="1" customWidth="1"/>
    <col min="3290" max="3290" width="12.90625" bestFit="1" customWidth="1"/>
    <col min="3291" max="3291" width="13" bestFit="1" customWidth="1"/>
    <col min="3292" max="3293" width="13.36328125" bestFit="1" customWidth="1"/>
    <col min="3294" max="3294" width="12.90625" bestFit="1" customWidth="1"/>
    <col min="3295" max="3295" width="13.08984375" bestFit="1" customWidth="1"/>
    <col min="3296" max="3296" width="13" bestFit="1" customWidth="1"/>
    <col min="3297" max="3297" width="13.1796875" bestFit="1" customWidth="1"/>
    <col min="3298" max="3298" width="13.453125" bestFit="1" customWidth="1"/>
    <col min="3299" max="3299" width="13.1796875" bestFit="1" customWidth="1"/>
    <col min="3300" max="3300" width="12.7265625" bestFit="1" customWidth="1"/>
    <col min="3301" max="3301" width="13" bestFit="1" customWidth="1"/>
    <col min="3302" max="3302" width="13.08984375" bestFit="1" customWidth="1"/>
    <col min="3303" max="3303" width="13" bestFit="1" customWidth="1"/>
    <col min="3304" max="3304" width="12.90625" bestFit="1" customWidth="1"/>
    <col min="3305" max="3305" width="13.1796875" bestFit="1" customWidth="1"/>
    <col min="3306" max="3306" width="12.7265625" bestFit="1" customWidth="1"/>
    <col min="3307" max="3309" width="13.08984375" bestFit="1" customWidth="1"/>
    <col min="3310" max="3310" width="12.6328125" bestFit="1" customWidth="1"/>
    <col min="3311" max="3311" width="13.26953125" bestFit="1" customWidth="1"/>
    <col min="3312" max="3312" width="12.7265625" bestFit="1" customWidth="1"/>
    <col min="3313" max="3313" width="13.54296875" bestFit="1" customWidth="1"/>
    <col min="3314" max="3315" width="13.36328125" bestFit="1" customWidth="1"/>
    <col min="3316" max="3316" width="13.26953125" bestFit="1" customWidth="1"/>
    <col min="3317" max="3317" width="13.08984375" bestFit="1" customWidth="1"/>
    <col min="3318" max="3318" width="13.1796875" bestFit="1" customWidth="1"/>
    <col min="3319" max="3319" width="13.81640625" bestFit="1" customWidth="1"/>
    <col min="3320" max="3320" width="12.90625" bestFit="1" customWidth="1"/>
    <col min="3321" max="3321" width="13.26953125" bestFit="1" customWidth="1"/>
    <col min="3322" max="3322" width="12.7265625" bestFit="1" customWidth="1"/>
    <col min="3323" max="3323" width="12.90625" bestFit="1" customWidth="1"/>
    <col min="3324" max="3325" width="13.1796875" bestFit="1" customWidth="1"/>
    <col min="3326" max="3326" width="12.7265625" bestFit="1" customWidth="1"/>
    <col min="3327" max="3328" width="12.90625" bestFit="1" customWidth="1"/>
    <col min="3329" max="3329" width="13.1796875" bestFit="1" customWidth="1"/>
    <col min="3330" max="3330" width="12.7265625" bestFit="1" customWidth="1"/>
    <col min="3331" max="3331" width="13.54296875" bestFit="1" customWidth="1"/>
    <col min="3332" max="3332" width="13.1796875" bestFit="1" customWidth="1"/>
    <col min="3333" max="3333" width="13" bestFit="1" customWidth="1"/>
    <col min="3334" max="3334" width="12.7265625" bestFit="1" customWidth="1"/>
    <col min="3335" max="3335" width="13.08984375" bestFit="1" customWidth="1"/>
    <col min="3336" max="3337" width="13" bestFit="1" customWidth="1"/>
    <col min="3338" max="3338" width="13.08984375" bestFit="1" customWidth="1"/>
    <col min="3339" max="3339" width="13.1796875" bestFit="1" customWidth="1"/>
    <col min="3340" max="3340" width="13.08984375" bestFit="1" customWidth="1"/>
    <col min="3341" max="3341" width="13.1796875" bestFit="1" customWidth="1"/>
    <col min="3342" max="3342" width="13" bestFit="1" customWidth="1"/>
    <col min="3343" max="3343" width="13.1796875" bestFit="1" customWidth="1"/>
    <col min="3344" max="3344" width="13.26953125" bestFit="1" customWidth="1"/>
    <col min="3345" max="3345" width="13.1796875" bestFit="1" customWidth="1"/>
    <col min="3346" max="3348" width="12.90625" bestFit="1" customWidth="1"/>
    <col min="3349" max="3349" width="13.08984375" bestFit="1" customWidth="1"/>
    <col min="3350" max="3350" width="13" bestFit="1" customWidth="1"/>
    <col min="3351" max="3351" width="12.90625" bestFit="1" customWidth="1"/>
    <col min="3352" max="3352" width="13.08984375" bestFit="1" customWidth="1"/>
    <col min="3353" max="3353" width="13" bestFit="1" customWidth="1"/>
    <col min="3354" max="3354" width="13.1796875" bestFit="1" customWidth="1"/>
    <col min="3355" max="3355" width="13.26953125" bestFit="1" customWidth="1"/>
    <col min="3356" max="3356" width="13" bestFit="1" customWidth="1"/>
    <col min="3357" max="3357" width="13.1796875" bestFit="1" customWidth="1"/>
    <col min="3358" max="3358" width="12.7265625" bestFit="1" customWidth="1"/>
    <col min="3359" max="3359" width="13.08984375" bestFit="1" customWidth="1"/>
    <col min="3360" max="3360" width="13.36328125" bestFit="1" customWidth="1"/>
    <col min="3361" max="3362" width="13.08984375" bestFit="1" customWidth="1"/>
    <col min="3363" max="3363" width="13.36328125" bestFit="1" customWidth="1"/>
    <col min="3364" max="3364" width="13.26953125" bestFit="1" customWidth="1"/>
    <col min="3365" max="3365" width="13.54296875" bestFit="1" customWidth="1"/>
    <col min="3366" max="3368" width="13.1796875" bestFit="1" customWidth="1"/>
    <col min="3369" max="3369" width="12.90625" bestFit="1" customWidth="1"/>
    <col min="3370" max="3370" width="13" bestFit="1" customWidth="1"/>
    <col min="3371" max="3372" width="12.7265625" bestFit="1" customWidth="1"/>
    <col min="3373" max="3373" width="13.08984375" bestFit="1" customWidth="1"/>
    <col min="3374" max="3375" width="13" bestFit="1" customWidth="1"/>
    <col min="3376" max="3376" width="12.90625" bestFit="1" customWidth="1"/>
    <col min="3377" max="3377" width="12.7265625" bestFit="1" customWidth="1"/>
    <col min="3378" max="3378" width="12.6328125" bestFit="1" customWidth="1"/>
    <col min="3379" max="3379" width="13.26953125" bestFit="1" customWidth="1"/>
    <col min="3380" max="3380" width="13.1796875" bestFit="1" customWidth="1"/>
    <col min="3381" max="3383" width="12.7265625" bestFit="1" customWidth="1"/>
    <col min="3384" max="3384" width="12.6328125" bestFit="1" customWidth="1"/>
    <col min="3385" max="3385" width="13.26953125" bestFit="1" customWidth="1"/>
    <col min="3386" max="3386" width="12.90625" bestFit="1" customWidth="1"/>
    <col min="3387" max="3387" width="13" bestFit="1" customWidth="1"/>
    <col min="3388" max="3389" width="12.6328125" bestFit="1" customWidth="1"/>
    <col min="3390" max="3390" width="13.36328125" bestFit="1" customWidth="1"/>
    <col min="3391" max="3391" width="12.7265625" bestFit="1" customWidth="1"/>
    <col min="3392" max="3392" width="13.1796875" bestFit="1" customWidth="1"/>
    <col min="3393" max="3394" width="13.36328125" bestFit="1" customWidth="1"/>
    <col min="3395" max="3395" width="12.90625" bestFit="1" customWidth="1"/>
    <col min="3396" max="3396" width="13.1796875" bestFit="1" customWidth="1"/>
    <col min="3397" max="3397" width="13.08984375" bestFit="1" customWidth="1"/>
    <col min="3398" max="3398" width="12.7265625" bestFit="1" customWidth="1"/>
    <col min="3399" max="3399" width="13" bestFit="1" customWidth="1"/>
    <col min="3400" max="3400" width="12.6328125" bestFit="1" customWidth="1"/>
    <col min="3401" max="3401" width="13.08984375" bestFit="1" customWidth="1"/>
    <col min="3402" max="3402" width="13.36328125" bestFit="1" customWidth="1"/>
    <col min="3403" max="3403" width="13.08984375" bestFit="1" customWidth="1"/>
    <col min="3404" max="3404" width="13" bestFit="1" customWidth="1"/>
    <col min="3405" max="3405" width="12.90625" bestFit="1" customWidth="1"/>
    <col min="3406" max="3406" width="12.7265625" bestFit="1" customWidth="1"/>
    <col min="3407" max="3408" width="12.54296875" bestFit="1" customWidth="1"/>
    <col min="3409" max="3409" width="13" bestFit="1" customWidth="1"/>
    <col min="3410" max="3410" width="12.7265625" bestFit="1" customWidth="1"/>
    <col min="3411" max="3411" width="13.1796875" bestFit="1" customWidth="1"/>
    <col min="3412" max="3412" width="12.90625" bestFit="1" customWidth="1"/>
    <col min="3413" max="3413" width="12.6328125" bestFit="1" customWidth="1"/>
    <col min="3414" max="3414" width="12.90625" bestFit="1" customWidth="1"/>
    <col min="3415" max="3415" width="12.7265625" bestFit="1" customWidth="1"/>
    <col min="3416" max="3416" width="13.08984375" bestFit="1" customWidth="1"/>
    <col min="3417" max="3417" width="13.36328125" bestFit="1" customWidth="1"/>
    <col min="3418" max="3418" width="12.7265625" bestFit="1" customWidth="1"/>
    <col min="3419" max="3419" width="12.54296875" bestFit="1" customWidth="1"/>
    <col min="3420" max="3420" width="12.6328125" bestFit="1" customWidth="1"/>
    <col min="3421" max="3421" width="13.36328125" bestFit="1" customWidth="1"/>
    <col min="3422" max="3422" width="12.54296875" bestFit="1" customWidth="1"/>
    <col min="3423" max="3423" width="13" bestFit="1" customWidth="1"/>
    <col min="3424" max="3424" width="12.7265625" bestFit="1" customWidth="1"/>
    <col min="3425" max="3425" width="13.1796875" bestFit="1" customWidth="1"/>
    <col min="3426" max="3427" width="12.6328125" bestFit="1" customWidth="1"/>
    <col min="3428" max="3428" width="13.1796875" bestFit="1" customWidth="1"/>
    <col min="3429" max="3430" width="12.6328125" bestFit="1" customWidth="1"/>
    <col min="3431" max="3431" width="12.7265625" bestFit="1" customWidth="1"/>
    <col min="3432" max="3433" width="13" bestFit="1" customWidth="1"/>
    <col min="3434" max="3434" width="12.7265625" bestFit="1" customWidth="1"/>
    <col min="3435" max="3435" width="13.1796875" bestFit="1" customWidth="1"/>
    <col min="3436" max="3437" width="12.90625" bestFit="1" customWidth="1"/>
    <col min="3438" max="3438" width="12.7265625" bestFit="1" customWidth="1"/>
    <col min="3439" max="3439" width="12.453125" bestFit="1" customWidth="1"/>
    <col min="3440" max="3440" width="13.1796875" bestFit="1" customWidth="1"/>
    <col min="3441" max="3441" width="13.08984375" bestFit="1" customWidth="1"/>
    <col min="3442" max="3442" width="12.90625" bestFit="1" customWidth="1"/>
    <col min="3443" max="3443" width="12.7265625" bestFit="1" customWidth="1"/>
    <col min="3444" max="3444" width="12.6328125" bestFit="1" customWidth="1"/>
    <col min="3445" max="3445" width="13.08984375" bestFit="1" customWidth="1"/>
    <col min="3446" max="3446" width="13" bestFit="1" customWidth="1"/>
    <col min="3447" max="3447" width="12.54296875" bestFit="1" customWidth="1"/>
    <col min="3448" max="3448" width="12.6328125" bestFit="1" customWidth="1"/>
    <col min="3449" max="3449" width="13.08984375" bestFit="1" customWidth="1"/>
    <col min="3450" max="3450" width="12.7265625" bestFit="1" customWidth="1"/>
    <col min="3451" max="3452" width="13" bestFit="1" customWidth="1"/>
    <col min="3453" max="3453" width="13.26953125" bestFit="1" customWidth="1"/>
    <col min="3454" max="3454" width="13.453125" bestFit="1" customWidth="1"/>
    <col min="3455" max="3455" width="13" bestFit="1" customWidth="1"/>
    <col min="3456" max="3457" width="12.6328125" bestFit="1" customWidth="1"/>
    <col min="3458" max="3458" width="12.54296875" bestFit="1" customWidth="1"/>
    <col min="3459" max="3463" width="12.7265625" bestFit="1" customWidth="1"/>
    <col min="3464" max="3464" width="12.90625" bestFit="1" customWidth="1"/>
    <col min="3465" max="3465" width="13.08984375" bestFit="1" customWidth="1"/>
    <col min="3466" max="3466" width="12.6328125" bestFit="1" customWidth="1"/>
    <col min="3467" max="3467" width="13.08984375" bestFit="1" customWidth="1"/>
    <col min="3468" max="3468" width="13" bestFit="1" customWidth="1"/>
    <col min="3469" max="3469" width="13.1796875" bestFit="1" customWidth="1"/>
    <col min="3470" max="3470" width="13.26953125" bestFit="1" customWidth="1"/>
    <col min="3471" max="3471" width="12.54296875" bestFit="1" customWidth="1"/>
    <col min="3472" max="3472" width="12.6328125" bestFit="1" customWidth="1"/>
    <col min="3473" max="3473" width="12.7265625" bestFit="1" customWidth="1"/>
    <col min="3474" max="3474" width="13.1796875" bestFit="1" customWidth="1"/>
    <col min="3475" max="3475" width="13" bestFit="1" customWidth="1"/>
    <col min="3476" max="3476" width="13.08984375" bestFit="1" customWidth="1"/>
    <col min="3477" max="3477" width="13.1796875" bestFit="1" customWidth="1"/>
    <col min="3478" max="3478" width="12.90625" bestFit="1" customWidth="1"/>
    <col min="3479" max="3479" width="12.7265625" bestFit="1" customWidth="1"/>
    <col min="3480" max="3480" width="13.36328125" bestFit="1" customWidth="1"/>
    <col min="3481" max="3482" width="12.90625" bestFit="1" customWidth="1"/>
    <col min="3483" max="3483" width="13.08984375" bestFit="1" customWidth="1"/>
    <col min="3484" max="3484" width="13.36328125" bestFit="1" customWidth="1"/>
    <col min="3485" max="3485" width="13.54296875" bestFit="1" customWidth="1"/>
    <col min="3486" max="3486" width="13.1796875" bestFit="1" customWidth="1"/>
    <col min="3487" max="3487" width="13.453125" bestFit="1" customWidth="1"/>
    <col min="3488" max="3488" width="12.90625" bestFit="1" customWidth="1"/>
    <col min="3489" max="3491" width="13" bestFit="1" customWidth="1"/>
    <col min="3492" max="3492" width="12.90625" bestFit="1" customWidth="1"/>
    <col min="3493" max="3493" width="13" bestFit="1" customWidth="1"/>
    <col min="3494" max="3494" width="12.7265625" bestFit="1" customWidth="1"/>
    <col min="3495" max="3495" width="12.90625" bestFit="1" customWidth="1"/>
    <col min="3496" max="3496" width="12.7265625" bestFit="1" customWidth="1"/>
    <col min="3497" max="3497" width="13" bestFit="1" customWidth="1"/>
    <col min="3498" max="3498" width="12.6328125" bestFit="1" customWidth="1"/>
    <col min="3499" max="3499" width="12.7265625" bestFit="1" customWidth="1"/>
    <col min="3500" max="3501" width="13.1796875" bestFit="1" customWidth="1"/>
    <col min="3502" max="3502" width="12.90625" bestFit="1" customWidth="1"/>
    <col min="3503" max="3503" width="12.7265625" bestFit="1" customWidth="1"/>
    <col min="3504" max="3505" width="13.08984375" bestFit="1" customWidth="1"/>
    <col min="3506" max="3506" width="13.26953125" bestFit="1" customWidth="1"/>
    <col min="3507" max="3507" width="12.7265625" bestFit="1" customWidth="1"/>
    <col min="3508" max="3508" width="13" bestFit="1" customWidth="1"/>
    <col min="3509" max="3509" width="13.1796875" bestFit="1" customWidth="1"/>
    <col min="3510" max="3510" width="13" bestFit="1" customWidth="1"/>
    <col min="3511" max="3511" width="13.08984375" bestFit="1" customWidth="1"/>
    <col min="3512" max="3513" width="13.36328125" bestFit="1" customWidth="1"/>
    <col min="3514" max="3514" width="13.54296875" bestFit="1" customWidth="1"/>
    <col min="3515" max="3515" width="13.7265625" bestFit="1" customWidth="1"/>
    <col min="3516" max="3516" width="13.36328125" bestFit="1" customWidth="1"/>
    <col min="3517" max="3517" width="13.26953125" bestFit="1" customWidth="1"/>
    <col min="3518" max="3518" width="13.1796875" bestFit="1" customWidth="1"/>
    <col min="3519" max="3519" width="13.36328125" bestFit="1" customWidth="1"/>
    <col min="3520" max="3520" width="13" bestFit="1" customWidth="1"/>
    <col min="3521" max="3521" width="13.26953125" bestFit="1" customWidth="1"/>
    <col min="3522" max="3522" width="13" bestFit="1" customWidth="1"/>
    <col min="3523" max="3523" width="12.6328125" bestFit="1" customWidth="1"/>
    <col min="3524" max="3524" width="13.08984375" bestFit="1" customWidth="1"/>
    <col min="3525" max="3525" width="12.90625" bestFit="1" customWidth="1"/>
    <col min="3526" max="3526" width="13" bestFit="1" customWidth="1"/>
    <col min="3527" max="3527" width="12.7265625" bestFit="1" customWidth="1"/>
    <col min="3528" max="3528" width="13.08984375" bestFit="1" customWidth="1"/>
    <col min="3529" max="3529" width="13.36328125" bestFit="1" customWidth="1"/>
    <col min="3530" max="3530" width="12.90625" bestFit="1" customWidth="1"/>
    <col min="3531" max="3531" width="12.7265625" bestFit="1" customWidth="1"/>
    <col min="3532" max="3532" width="13" bestFit="1" customWidth="1"/>
    <col min="3533" max="3533" width="12.7265625" bestFit="1" customWidth="1"/>
    <col min="3534" max="3534" width="13.1796875" bestFit="1" customWidth="1"/>
    <col min="3535" max="3535" width="12.90625" bestFit="1" customWidth="1"/>
    <col min="3536" max="3536" width="13.1796875" bestFit="1" customWidth="1"/>
    <col min="3537" max="3537" width="13.54296875" bestFit="1" customWidth="1"/>
    <col min="3538" max="3539" width="12.90625" bestFit="1" customWidth="1"/>
    <col min="3540" max="3540" width="12.6328125" bestFit="1" customWidth="1"/>
    <col min="3541" max="3541" width="13.1796875" bestFit="1" customWidth="1"/>
    <col min="3542" max="3543" width="12.7265625" bestFit="1" customWidth="1"/>
    <col min="3544" max="3544" width="13.54296875" bestFit="1" customWidth="1"/>
    <col min="3545" max="3545" width="12.7265625" bestFit="1" customWidth="1"/>
    <col min="3546" max="3546" width="13.1796875" bestFit="1" customWidth="1"/>
    <col min="3547" max="3547" width="13" bestFit="1" customWidth="1"/>
    <col min="3548" max="3548" width="13.26953125" bestFit="1" customWidth="1"/>
    <col min="3549" max="3549" width="13" bestFit="1" customWidth="1"/>
    <col min="3550" max="3550" width="12.6328125" bestFit="1" customWidth="1"/>
    <col min="3551" max="3551" width="12.90625" bestFit="1" customWidth="1"/>
    <col min="3552" max="3552" width="13.26953125" bestFit="1" customWidth="1"/>
    <col min="3553" max="3553" width="12.90625" bestFit="1" customWidth="1"/>
    <col min="3554" max="3555" width="13" bestFit="1" customWidth="1"/>
    <col min="3556" max="3556" width="13.453125" bestFit="1" customWidth="1"/>
    <col min="3557" max="3557" width="12.7265625" bestFit="1" customWidth="1"/>
    <col min="3558" max="3558" width="12.6328125" bestFit="1" customWidth="1"/>
    <col min="3559" max="3560" width="13.1796875" bestFit="1" customWidth="1"/>
    <col min="3561" max="3561" width="12.90625" bestFit="1" customWidth="1"/>
    <col min="3562" max="3563" width="13.08984375" bestFit="1" customWidth="1"/>
    <col min="3564" max="3564" width="12.6328125" bestFit="1" customWidth="1"/>
    <col min="3565" max="3565" width="13.36328125" bestFit="1" customWidth="1"/>
    <col min="3566" max="3566" width="13" bestFit="1" customWidth="1"/>
    <col min="3567" max="3568" width="13.1796875" bestFit="1" customWidth="1"/>
    <col min="3569" max="3570" width="12.7265625" bestFit="1" customWidth="1"/>
    <col min="3571" max="3571" width="13" bestFit="1" customWidth="1"/>
    <col min="3572" max="3572" width="13.36328125" bestFit="1" customWidth="1"/>
    <col min="3573" max="3578" width="12.6328125" bestFit="1" customWidth="1"/>
    <col min="3579" max="3579" width="12.7265625" bestFit="1" customWidth="1"/>
    <col min="3580" max="3580" width="12.90625" bestFit="1" customWidth="1"/>
    <col min="3581" max="3581" width="12.6328125" bestFit="1" customWidth="1"/>
    <col min="3582" max="3582" width="13.1796875" bestFit="1" customWidth="1"/>
    <col min="3583" max="3583" width="13.08984375" bestFit="1" customWidth="1"/>
    <col min="3584" max="3585" width="12.7265625" bestFit="1" customWidth="1"/>
    <col min="3586" max="3586" width="12.90625" bestFit="1" customWidth="1"/>
    <col min="3587" max="3587" width="12.7265625" bestFit="1" customWidth="1"/>
    <col min="3588" max="3589" width="13" bestFit="1" customWidth="1"/>
    <col min="3590" max="3590" width="12.7265625" bestFit="1" customWidth="1"/>
    <col min="3591" max="3591" width="12.54296875" bestFit="1" customWidth="1"/>
    <col min="3592" max="3592" width="13.26953125" bestFit="1" customWidth="1"/>
    <col min="3593" max="3594" width="12.7265625" bestFit="1" customWidth="1"/>
    <col min="3595" max="3595" width="12.453125" bestFit="1" customWidth="1"/>
    <col min="3596" max="3596" width="12.90625" bestFit="1" customWidth="1"/>
    <col min="3597" max="3597" width="13" bestFit="1" customWidth="1"/>
    <col min="3598" max="3598" width="13.08984375" bestFit="1" customWidth="1"/>
    <col min="3599" max="3599" width="12.90625" bestFit="1" customWidth="1"/>
    <col min="3600" max="3601" width="13.26953125" bestFit="1" customWidth="1"/>
    <col min="3602" max="3602" width="13.08984375" bestFit="1" customWidth="1"/>
    <col min="3603" max="3603" width="13.1796875" bestFit="1" customWidth="1"/>
    <col min="3604" max="3605" width="13" bestFit="1" customWidth="1"/>
    <col min="3606" max="3606" width="12.7265625" bestFit="1" customWidth="1"/>
    <col min="3607" max="3607" width="13.26953125" bestFit="1" customWidth="1"/>
    <col min="3608" max="3608" width="13.1796875" bestFit="1" customWidth="1"/>
    <col min="3609" max="3610" width="13.08984375" bestFit="1" customWidth="1"/>
    <col min="3611" max="3611" width="13.26953125" bestFit="1" customWidth="1"/>
    <col min="3612" max="3613" width="12.7265625" bestFit="1" customWidth="1"/>
    <col min="3614" max="3614" width="13.08984375" bestFit="1" customWidth="1"/>
    <col min="3615" max="3615" width="12.90625" bestFit="1" customWidth="1"/>
    <col min="3616" max="3616" width="13.26953125" bestFit="1" customWidth="1"/>
    <col min="3617" max="3617" width="13.1796875" bestFit="1" customWidth="1"/>
    <col min="3618" max="3618" width="13.26953125" bestFit="1" customWidth="1"/>
    <col min="3619" max="3619" width="12.7265625" bestFit="1" customWidth="1"/>
    <col min="3620" max="3620" width="13.1796875" bestFit="1" customWidth="1"/>
    <col min="3621" max="3621" width="13.26953125" bestFit="1" customWidth="1"/>
    <col min="3622" max="3622" width="13.08984375" bestFit="1" customWidth="1"/>
    <col min="3623" max="3623" width="13.453125" bestFit="1" customWidth="1"/>
    <col min="3624" max="3624" width="12.90625" bestFit="1" customWidth="1"/>
    <col min="3625" max="3625" width="13.26953125" bestFit="1" customWidth="1"/>
    <col min="3626" max="3626" width="12.7265625" bestFit="1" customWidth="1"/>
    <col min="3627" max="3627" width="12.90625" bestFit="1" customWidth="1"/>
    <col min="3628" max="3628" width="13.08984375" bestFit="1" customWidth="1"/>
    <col min="3629" max="3629" width="13.1796875" bestFit="1" customWidth="1"/>
    <col min="3630" max="3630" width="13.36328125" bestFit="1" customWidth="1"/>
    <col min="3631" max="3631" width="12.90625" bestFit="1" customWidth="1"/>
    <col min="3632" max="3632" width="12.54296875" bestFit="1" customWidth="1"/>
    <col min="3633" max="3633" width="13" bestFit="1" customWidth="1"/>
    <col min="3634" max="3634" width="12.6328125" bestFit="1" customWidth="1"/>
    <col min="3635" max="3635" width="13" bestFit="1" customWidth="1"/>
    <col min="3636" max="3636" width="13.26953125" bestFit="1" customWidth="1"/>
    <col min="3637" max="3637" width="13.1796875" bestFit="1" customWidth="1"/>
    <col min="3638" max="3638" width="12.90625" bestFit="1" customWidth="1"/>
    <col min="3639" max="3639" width="13.1796875" bestFit="1" customWidth="1"/>
    <col min="3640" max="3640" width="12.6328125" bestFit="1" customWidth="1"/>
    <col min="3641" max="3641" width="13.08984375" bestFit="1" customWidth="1"/>
    <col min="3642" max="3642" width="12.7265625" bestFit="1" customWidth="1"/>
    <col min="3643" max="3644" width="13" bestFit="1" customWidth="1"/>
    <col min="3645" max="3645" width="12.7265625" bestFit="1" customWidth="1"/>
    <col min="3646" max="3646" width="12.453125" bestFit="1" customWidth="1"/>
    <col min="3647" max="3647" width="12.6328125" bestFit="1" customWidth="1"/>
    <col min="3648" max="3648" width="13" bestFit="1" customWidth="1"/>
    <col min="3649" max="3649" width="12.54296875" bestFit="1" customWidth="1"/>
    <col min="3650" max="3650" width="13" bestFit="1" customWidth="1"/>
    <col min="3651" max="3651" width="12.90625" bestFit="1" customWidth="1"/>
    <col min="3652" max="3652" width="13.26953125" bestFit="1" customWidth="1"/>
    <col min="3653" max="3653" width="13" bestFit="1" customWidth="1"/>
    <col min="3654" max="3654" width="12.6328125" bestFit="1" customWidth="1"/>
    <col min="3655" max="3655" width="13.26953125" bestFit="1" customWidth="1"/>
    <col min="3656" max="3656" width="12.90625" bestFit="1" customWidth="1"/>
    <col min="3657" max="3657" width="13.1796875" bestFit="1" customWidth="1"/>
    <col min="3658" max="3658" width="13" bestFit="1" customWidth="1"/>
    <col min="3659" max="3659" width="12.90625" bestFit="1" customWidth="1"/>
    <col min="3660" max="3660" width="13.1796875" bestFit="1" customWidth="1"/>
    <col min="3661" max="3662" width="13" bestFit="1" customWidth="1"/>
    <col min="3663" max="3663" width="12.7265625" bestFit="1" customWidth="1"/>
    <col min="3664" max="3664" width="12.90625" bestFit="1" customWidth="1"/>
    <col min="3665" max="3665" width="13.26953125" bestFit="1" customWidth="1"/>
    <col min="3666" max="3667" width="12.90625" bestFit="1" customWidth="1"/>
    <col min="3668" max="3668" width="13.1796875" bestFit="1" customWidth="1"/>
    <col min="3669" max="3669" width="13" bestFit="1" customWidth="1"/>
    <col min="3670" max="3670" width="12.90625" bestFit="1" customWidth="1"/>
    <col min="3671" max="3671" width="13" bestFit="1" customWidth="1"/>
    <col min="3672" max="3672" width="13.08984375" bestFit="1" customWidth="1"/>
    <col min="3673" max="3673" width="13.1796875" bestFit="1" customWidth="1"/>
    <col min="3674" max="3674" width="12.7265625" bestFit="1" customWidth="1"/>
    <col min="3675" max="3675" width="13.08984375" bestFit="1" customWidth="1"/>
    <col min="3676" max="3676" width="12.7265625" bestFit="1" customWidth="1"/>
    <col min="3677" max="3677" width="13.1796875" bestFit="1" customWidth="1"/>
    <col min="3678" max="3678" width="13.08984375" bestFit="1" customWidth="1"/>
    <col min="3679" max="3680" width="13.26953125" bestFit="1" customWidth="1"/>
    <col min="3681" max="3681" width="13.81640625" bestFit="1" customWidth="1"/>
    <col min="3682" max="3682" width="13.1796875" bestFit="1" customWidth="1"/>
    <col min="3683" max="3683" width="13.26953125" bestFit="1" customWidth="1"/>
    <col min="3684" max="3684" width="13.36328125" bestFit="1" customWidth="1"/>
    <col min="3685" max="3685" width="13" bestFit="1" customWidth="1"/>
    <col min="3686" max="3686" width="13.453125" bestFit="1" customWidth="1"/>
    <col min="3687" max="3687" width="13" bestFit="1" customWidth="1"/>
    <col min="3688" max="3688" width="12.7265625" bestFit="1" customWidth="1"/>
    <col min="3689" max="3689" width="13.1796875" bestFit="1" customWidth="1"/>
    <col min="3690" max="3690" width="13.26953125" bestFit="1" customWidth="1"/>
    <col min="3691" max="3691" width="12.90625" bestFit="1" customWidth="1"/>
    <col min="3692" max="3692" width="13.453125" bestFit="1" customWidth="1"/>
    <col min="3693" max="3693" width="13.08984375" bestFit="1" customWidth="1"/>
    <col min="3694" max="3694" width="13.54296875" bestFit="1" customWidth="1"/>
    <col min="3695" max="3695" width="12.7265625" bestFit="1" customWidth="1"/>
    <col min="3696" max="3696" width="13.1796875" bestFit="1" customWidth="1"/>
    <col min="3697" max="3697" width="12.90625" bestFit="1" customWidth="1"/>
    <col min="3698" max="3698" width="13" bestFit="1" customWidth="1"/>
    <col min="3699" max="3699" width="13.1796875" bestFit="1" customWidth="1"/>
    <col min="3700" max="3700" width="13.08984375" bestFit="1" customWidth="1"/>
    <col min="3701" max="3701" width="12.54296875" bestFit="1" customWidth="1"/>
    <col min="3702" max="3702" width="13.1796875" bestFit="1" customWidth="1"/>
    <col min="3703" max="3703" width="13.54296875" bestFit="1" customWidth="1"/>
    <col min="3704" max="3704" width="13.08984375" bestFit="1" customWidth="1"/>
    <col min="3705" max="3706" width="12.90625" bestFit="1" customWidth="1"/>
    <col min="3707" max="3708" width="13.36328125" bestFit="1" customWidth="1"/>
    <col min="3709" max="3709" width="13.453125" bestFit="1" customWidth="1"/>
    <col min="3710" max="3710" width="12.90625" bestFit="1" customWidth="1"/>
    <col min="3711" max="3711" width="13.1796875" bestFit="1" customWidth="1"/>
    <col min="3712" max="3712" width="12.7265625" bestFit="1" customWidth="1"/>
    <col min="3713" max="3713" width="13.08984375" bestFit="1" customWidth="1"/>
    <col min="3714" max="3714" width="13" bestFit="1" customWidth="1"/>
    <col min="3715" max="3715" width="13.26953125" bestFit="1" customWidth="1"/>
    <col min="3716" max="3716" width="13.453125" bestFit="1" customWidth="1"/>
    <col min="3717" max="3717" width="12.90625" bestFit="1" customWidth="1"/>
    <col min="3718" max="3718" width="13.08984375" bestFit="1" customWidth="1"/>
    <col min="3719" max="3719" width="12.90625" bestFit="1" customWidth="1"/>
    <col min="3720" max="3720" width="13" bestFit="1" customWidth="1"/>
    <col min="3721" max="3721" width="13.26953125" bestFit="1" customWidth="1"/>
    <col min="3722" max="3722" width="12.7265625" bestFit="1" customWidth="1"/>
    <col min="3723" max="3723" width="13.453125" bestFit="1" customWidth="1"/>
    <col min="3724" max="3724" width="13.1796875" bestFit="1" customWidth="1"/>
    <col min="3725" max="3725" width="12.90625" bestFit="1" customWidth="1"/>
    <col min="3726" max="3726" width="13" bestFit="1" customWidth="1"/>
    <col min="3727" max="3727" width="13.08984375" bestFit="1" customWidth="1"/>
    <col min="3728" max="3728" width="13.453125" bestFit="1" customWidth="1"/>
    <col min="3729" max="3729" width="14" bestFit="1" customWidth="1"/>
    <col min="3730" max="3730" width="13.08984375" bestFit="1" customWidth="1"/>
    <col min="3731" max="3731" width="13.1796875" bestFit="1" customWidth="1"/>
    <col min="3732" max="3732" width="13.36328125" bestFit="1" customWidth="1"/>
    <col min="3733" max="3733" width="13.453125" bestFit="1" customWidth="1"/>
    <col min="3734" max="3734" width="13.26953125" bestFit="1" customWidth="1"/>
    <col min="3735" max="3735" width="13" bestFit="1" customWidth="1"/>
    <col min="3736" max="3736" width="13.26953125" bestFit="1" customWidth="1"/>
    <col min="3737" max="3737" width="13.08984375" bestFit="1" customWidth="1"/>
    <col min="3738" max="3738" width="13.26953125" bestFit="1" customWidth="1"/>
    <col min="3739" max="3739" width="13" bestFit="1" customWidth="1"/>
    <col min="3740" max="3740" width="13.1796875" bestFit="1" customWidth="1"/>
    <col min="3741" max="3741" width="13.08984375" bestFit="1" customWidth="1"/>
    <col min="3742" max="3742" width="13.453125" bestFit="1" customWidth="1"/>
    <col min="3743" max="3743" width="13.36328125" bestFit="1" customWidth="1"/>
    <col min="3744" max="3744" width="12.7265625" bestFit="1" customWidth="1"/>
    <col min="3745" max="3745" width="13" bestFit="1" customWidth="1"/>
    <col min="3746" max="3746" width="13.1796875" bestFit="1" customWidth="1"/>
    <col min="3747" max="3747" width="13.7265625" bestFit="1" customWidth="1"/>
    <col min="3748" max="3748" width="14.08984375" bestFit="1" customWidth="1"/>
    <col min="3749" max="3749" width="13.81640625" bestFit="1" customWidth="1"/>
    <col min="3750" max="3750" width="13" bestFit="1" customWidth="1"/>
    <col min="3751" max="3752" width="12.90625" bestFit="1" customWidth="1"/>
    <col min="3753" max="3753" width="12.7265625" bestFit="1" customWidth="1"/>
    <col min="3754" max="3754" width="12.90625" bestFit="1" customWidth="1"/>
    <col min="3755" max="3755" width="13" bestFit="1" customWidth="1"/>
    <col min="3756" max="3758" width="12.90625" bestFit="1" customWidth="1"/>
    <col min="3759" max="3759" width="13" bestFit="1" customWidth="1"/>
    <col min="3760" max="3760" width="13.26953125" bestFit="1" customWidth="1"/>
    <col min="3761" max="3762" width="13.08984375" bestFit="1" customWidth="1"/>
    <col min="3763" max="3763" width="13.26953125" bestFit="1" customWidth="1"/>
    <col min="3764" max="3764" width="12.90625" bestFit="1" customWidth="1"/>
    <col min="3765" max="3765" width="12.6328125" bestFit="1" customWidth="1"/>
    <col min="3766" max="3766" width="12.54296875" bestFit="1" customWidth="1"/>
    <col min="3767" max="3767" width="12.90625" bestFit="1" customWidth="1"/>
    <col min="3768" max="3769" width="12.54296875" bestFit="1" customWidth="1"/>
    <col min="3770" max="3770" width="12.6328125" bestFit="1" customWidth="1"/>
    <col min="3771" max="3771" width="12.54296875" bestFit="1" customWidth="1"/>
    <col min="3772" max="3773" width="12.90625" bestFit="1" customWidth="1"/>
    <col min="3774" max="3774" width="12.54296875" bestFit="1" customWidth="1"/>
    <col min="3775" max="3775" width="12.6328125" bestFit="1" customWidth="1"/>
    <col min="3776" max="3777" width="12.54296875" bestFit="1" customWidth="1"/>
    <col min="3778" max="3779" width="12.7265625" bestFit="1" customWidth="1"/>
    <col min="3780" max="3781" width="12.90625" bestFit="1" customWidth="1"/>
    <col min="3782" max="3783" width="12.453125" bestFit="1" customWidth="1"/>
    <col min="3784" max="3784" width="12.90625" bestFit="1" customWidth="1"/>
    <col min="3785" max="3785" width="12.7265625" bestFit="1" customWidth="1"/>
    <col min="3786" max="3786" width="12.90625" bestFit="1" customWidth="1"/>
    <col min="3787" max="3787" width="12.6328125" bestFit="1" customWidth="1"/>
    <col min="3788" max="3788" width="13" bestFit="1" customWidth="1"/>
    <col min="3789" max="3792" width="12.54296875" bestFit="1" customWidth="1"/>
    <col min="3793" max="3793" width="12.6328125" bestFit="1" customWidth="1"/>
    <col min="3794" max="3794" width="12.90625" bestFit="1" customWidth="1"/>
    <col min="3795" max="3796" width="12.7265625" bestFit="1" customWidth="1"/>
    <col min="3797" max="3797" width="12.6328125" bestFit="1" customWidth="1"/>
    <col min="3798" max="3798" width="12.90625" bestFit="1" customWidth="1"/>
    <col min="3799" max="3799" width="12.54296875" bestFit="1" customWidth="1"/>
    <col min="3800" max="3800" width="12.7265625" bestFit="1" customWidth="1"/>
    <col min="3801" max="3801" width="12.6328125" bestFit="1" customWidth="1"/>
    <col min="3802" max="3802" width="12.36328125" bestFit="1" customWidth="1"/>
    <col min="3803" max="3803" width="12.6328125" bestFit="1" customWidth="1"/>
    <col min="3804" max="3804" width="12.54296875" bestFit="1" customWidth="1"/>
    <col min="3805" max="3805" width="12.26953125" bestFit="1" customWidth="1"/>
    <col min="3806" max="3806" width="12.54296875" bestFit="1" customWidth="1"/>
    <col min="3807" max="3807" width="13.1796875" bestFit="1" customWidth="1"/>
    <col min="3808" max="3808" width="12.6328125" bestFit="1" customWidth="1"/>
    <col min="3809" max="3809" width="12.7265625" bestFit="1" customWidth="1"/>
    <col min="3810" max="3810" width="12.90625" bestFit="1" customWidth="1"/>
    <col min="3811" max="3811" width="12.6328125" bestFit="1" customWidth="1"/>
    <col min="3812" max="3813" width="13" bestFit="1" customWidth="1"/>
    <col min="3814" max="3814" width="12.90625" bestFit="1" customWidth="1"/>
    <col min="3815" max="3815" width="12.6328125" bestFit="1" customWidth="1"/>
    <col min="3816" max="3816" width="13" bestFit="1" customWidth="1"/>
    <col min="3817" max="3818" width="12.453125" bestFit="1" customWidth="1"/>
    <col min="3819" max="3819" width="12.54296875" bestFit="1" customWidth="1"/>
    <col min="3820" max="3820" width="13.1796875" bestFit="1" customWidth="1"/>
    <col min="3821" max="3821" width="12.7265625" bestFit="1" customWidth="1"/>
    <col min="3822" max="3822" width="12.6328125" bestFit="1" customWidth="1"/>
    <col min="3823" max="3823" width="12.54296875" bestFit="1" customWidth="1"/>
    <col min="3824" max="3824" width="13.08984375" bestFit="1" customWidth="1"/>
    <col min="3825" max="3826" width="12.6328125" bestFit="1" customWidth="1"/>
    <col min="3827" max="3827" width="12.54296875" bestFit="1" customWidth="1"/>
    <col min="3828" max="3828" width="12.6328125" bestFit="1" customWidth="1"/>
    <col min="3829" max="3829" width="12.7265625" bestFit="1" customWidth="1"/>
    <col min="3830" max="3830" width="13" bestFit="1" customWidth="1"/>
    <col min="3831" max="3831" width="12.7265625" bestFit="1" customWidth="1"/>
    <col min="3832" max="3832" width="13" bestFit="1" customWidth="1"/>
    <col min="3833" max="3833" width="12.6328125" bestFit="1" customWidth="1"/>
    <col min="3834" max="3834" width="13" bestFit="1" customWidth="1"/>
    <col min="3835" max="3835" width="12.6328125" bestFit="1" customWidth="1"/>
    <col min="3836" max="3836" width="12.54296875" bestFit="1" customWidth="1"/>
    <col min="3837" max="3837" width="12.7265625" bestFit="1" customWidth="1"/>
    <col min="3838" max="3838" width="13" bestFit="1" customWidth="1"/>
    <col min="3839" max="3840" width="12.90625" bestFit="1" customWidth="1"/>
    <col min="3841" max="3841" width="13.08984375" bestFit="1" customWidth="1"/>
    <col min="3842" max="3843" width="13.36328125" bestFit="1" customWidth="1"/>
    <col min="3844" max="3844" width="13.08984375" bestFit="1" customWidth="1"/>
    <col min="3845" max="3845" width="13" bestFit="1" customWidth="1"/>
    <col min="3846" max="3846" width="13.26953125" bestFit="1" customWidth="1"/>
    <col min="3847" max="3847" width="12.90625" bestFit="1" customWidth="1"/>
    <col min="3848" max="3848" width="13.08984375" bestFit="1" customWidth="1"/>
    <col min="3849" max="3849" width="12.6328125" bestFit="1" customWidth="1"/>
    <col min="3850" max="3850" width="13" bestFit="1" customWidth="1"/>
    <col min="3851" max="3851" width="12.90625" bestFit="1" customWidth="1"/>
    <col min="3852" max="3852" width="12.6328125" bestFit="1" customWidth="1"/>
    <col min="3853" max="3853" width="13.08984375" bestFit="1" customWidth="1"/>
    <col min="3854" max="3854" width="12.7265625" bestFit="1" customWidth="1"/>
    <col min="3855" max="3855" width="12.90625" bestFit="1" customWidth="1"/>
    <col min="3856" max="3856" width="13.1796875" bestFit="1" customWidth="1"/>
    <col min="3857" max="3857" width="12.90625" bestFit="1" customWidth="1"/>
    <col min="3858" max="3858" width="12.7265625" bestFit="1" customWidth="1"/>
    <col min="3859" max="3859" width="12.90625" bestFit="1" customWidth="1"/>
    <col min="3860" max="3860" width="12.54296875" bestFit="1" customWidth="1"/>
    <col min="3861" max="3861" width="12.7265625" bestFit="1" customWidth="1"/>
    <col min="3862" max="3862" width="13.26953125" bestFit="1" customWidth="1"/>
    <col min="3863" max="3863" width="13.1796875" bestFit="1" customWidth="1"/>
    <col min="3864" max="3864" width="12.90625" bestFit="1" customWidth="1"/>
    <col min="3865" max="3866" width="13.08984375" bestFit="1" customWidth="1"/>
    <col min="3867" max="3867" width="12.90625" bestFit="1" customWidth="1"/>
    <col min="3868" max="3868" width="13.08984375" bestFit="1" customWidth="1"/>
    <col min="3869" max="3869" width="13.453125" bestFit="1" customWidth="1"/>
    <col min="3870" max="3870" width="12.7265625" bestFit="1" customWidth="1"/>
    <col min="3871" max="3871" width="12.54296875" bestFit="1" customWidth="1"/>
    <col min="3872" max="3872" width="12.90625" bestFit="1" customWidth="1"/>
    <col min="3873" max="3873" width="12.54296875" bestFit="1" customWidth="1"/>
    <col min="3874" max="3874" width="13" bestFit="1" customWidth="1"/>
    <col min="3875" max="3875" width="12.54296875" bestFit="1" customWidth="1"/>
    <col min="3876" max="3876" width="13" bestFit="1" customWidth="1"/>
    <col min="3877" max="3877" width="12.6328125" bestFit="1" customWidth="1"/>
    <col min="3878" max="3878" width="12.90625" bestFit="1" customWidth="1"/>
    <col min="3879" max="3879" width="12.7265625" bestFit="1" customWidth="1"/>
    <col min="3880" max="3880" width="13" bestFit="1" customWidth="1"/>
    <col min="3881" max="3881" width="12.36328125" bestFit="1" customWidth="1"/>
    <col min="3882" max="3882" width="12.6328125" bestFit="1" customWidth="1"/>
    <col min="3883" max="3883" width="12.90625" bestFit="1" customWidth="1"/>
    <col min="3884" max="3884" width="12.6328125" bestFit="1" customWidth="1"/>
    <col min="3885" max="3887" width="12.7265625" bestFit="1" customWidth="1"/>
    <col min="3888" max="3889" width="12.453125" bestFit="1" customWidth="1"/>
    <col min="3890" max="3890" width="12.6328125" bestFit="1" customWidth="1"/>
    <col min="3891" max="3891" width="12.7265625" bestFit="1" customWidth="1"/>
    <col min="3892" max="3892" width="13" bestFit="1" customWidth="1"/>
    <col min="3893" max="3893" width="12.90625" bestFit="1" customWidth="1"/>
    <col min="3894" max="3894" width="12.7265625" bestFit="1" customWidth="1"/>
    <col min="3895" max="3895" width="13.08984375" bestFit="1" customWidth="1"/>
    <col min="3896" max="3896" width="12.7265625" bestFit="1" customWidth="1"/>
    <col min="3897" max="3897" width="13" bestFit="1" customWidth="1"/>
    <col min="3898" max="3898" width="12.6328125" bestFit="1" customWidth="1"/>
    <col min="3899" max="3899" width="12.90625" bestFit="1" customWidth="1"/>
    <col min="3900" max="3900" width="12.6328125" bestFit="1" customWidth="1"/>
    <col min="3901" max="3901" width="12.54296875" bestFit="1" customWidth="1"/>
    <col min="3902" max="3902" width="12.6328125" bestFit="1" customWidth="1"/>
    <col min="3903" max="3903" width="12.36328125" bestFit="1" customWidth="1"/>
    <col min="3904" max="3904" width="12.453125" bestFit="1" customWidth="1"/>
    <col min="3905" max="3905" width="12.7265625" bestFit="1" customWidth="1"/>
    <col min="3906" max="3906" width="12.453125" bestFit="1" customWidth="1"/>
    <col min="3907" max="3908" width="12.6328125" bestFit="1" customWidth="1"/>
    <col min="3909" max="3910" width="12.54296875" bestFit="1" customWidth="1"/>
    <col min="3911" max="3911" width="13" bestFit="1" customWidth="1"/>
    <col min="3912" max="3912" width="12.6328125" bestFit="1" customWidth="1"/>
    <col min="3913" max="3914" width="12.7265625" bestFit="1" customWidth="1"/>
    <col min="3915" max="3915" width="12.453125" bestFit="1" customWidth="1"/>
    <col min="3916" max="3916" width="12.6328125" bestFit="1" customWidth="1"/>
    <col min="3917" max="3917" width="12.54296875" bestFit="1" customWidth="1"/>
    <col min="3918" max="3918" width="12.6328125" bestFit="1" customWidth="1"/>
    <col min="3919" max="3919" width="12.90625" bestFit="1" customWidth="1"/>
    <col min="3920" max="3920" width="13.1796875" bestFit="1" customWidth="1"/>
    <col min="3921" max="3921" width="13" bestFit="1" customWidth="1"/>
    <col min="3922" max="3922" width="12.90625" bestFit="1" customWidth="1"/>
    <col min="3923" max="3923" width="12.6328125" bestFit="1" customWidth="1"/>
    <col min="3924" max="3924" width="12.36328125" bestFit="1" customWidth="1"/>
    <col min="3925" max="3925" width="12.453125" bestFit="1" customWidth="1"/>
    <col min="3926" max="3928" width="12.6328125" bestFit="1" customWidth="1"/>
    <col min="3929" max="3929" width="12.453125" bestFit="1" customWidth="1"/>
    <col min="3930" max="3930" width="12.26953125" bestFit="1" customWidth="1"/>
    <col min="3931" max="3931" width="12.6328125" bestFit="1" customWidth="1"/>
    <col min="3932" max="3932" width="12.7265625" bestFit="1" customWidth="1"/>
    <col min="3933" max="3935" width="12.54296875" bestFit="1" customWidth="1"/>
    <col min="3936" max="3936" width="12.90625" bestFit="1" customWidth="1"/>
    <col min="3937" max="3937" width="12.6328125" bestFit="1" customWidth="1"/>
    <col min="3938" max="3938" width="12.54296875" bestFit="1" customWidth="1"/>
    <col min="3939" max="3939" width="12.453125" bestFit="1" customWidth="1"/>
    <col min="3940" max="3941" width="12.6328125" bestFit="1" customWidth="1"/>
    <col min="3942" max="3942" width="12.7265625" bestFit="1" customWidth="1"/>
    <col min="3943" max="3943" width="12.54296875" bestFit="1" customWidth="1"/>
    <col min="3944" max="3944" width="12.6328125" bestFit="1" customWidth="1"/>
    <col min="3945" max="3946" width="13" bestFit="1" customWidth="1"/>
    <col min="3947" max="3947" width="12.36328125" bestFit="1" customWidth="1"/>
    <col min="3948" max="3948" width="12.6328125" bestFit="1" customWidth="1"/>
    <col min="3949" max="3950" width="12.54296875" bestFit="1" customWidth="1"/>
    <col min="3951" max="3951" width="12.453125" bestFit="1" customWidth="1"/>
    <col min="3952" max="3952" width="12.7265625" bestFit="1" customWidth="1"/>
    <col min="3953" max="3953" width="12.453125" bestFit="1" customWidth="1"/>
    <col min="3954" max="3954" width="12.36328125" bestFit="1" customWidth="1"/>
    <col min="3955" max="3955" width="12.90625" bestFit="1" customWidth="1"/>
    <col min="3956" max="3956" width="12.6328125" bestFit="1" customWidth="1"/>
    <col min="3957" max="3957" width="12.453125" bestFit="1" customWidth="1"/>
    <col min="3958" max="3958" width="12.7265625" bestFit="1" customWidth="1"/>
    <col min="3959" max="3960" width="12.54296875" bestFit="1" customWidth="1"/>
    <col min="3961" max="3961" width="12.7265625" bestFit="1" customWidth="1"/>
    <col min="3962" max="3962" width="13" bestFit="1" customWidth="1"/>
    <col min="3963" max="3963" width="12.453125" bestFit="1" customWidth="1"/>
    <col min="3964" max="3964" width="12.7265625" bestFit="1" customWidth="1"/>
    <col min="3965" max="3965" width="12.54296875" bestFit="1" customWidth="1"/>
    <col min="3966" max="3966" width="13" bestFit="1" customWidth="1"/>
    <col min="3967" max="3967" width="12.90625" bestFit="1" customWidth="1"/>
    <col min="3968" max="3968" width="12.36328125" bestFit="1" customWidth="1"/>
    <col min="3969" max="3969" width="13.1796875" bestFit="1" customWidth="1"/>
    <col min="3970" max="3970" width="12.6328125" bestFit="1" customWidth="1"/>
    <col min="3971" max="3971" width="12.453125" bestFit="1" customWidth="1"/>
    <col min="3972" max="3972" width="12.90625" bestFit="1" customWidth="1"/>
    <col min="3973" max="3973" width="13.26953125" bestFit="1" customWidth="1"/>
    <col min="3974" max="3975" width="12.90625" bestFit="1" customWidth="1"/>
    <col min="3976" max="3976" width="13.08984375" bestFit="1" customWidth="1"/>
    <col min="3977" max="3977" width="12.7265625" bestFit="1" customWidth="1"/>
    <col min="3978" max="3978" width="12.90625" bestFit="1" customWidth="1"/>
    <col min="3979" max="3979" width="12.54296875" bestFit="1" customWidth="1"/>
    <col min="3980" max="3980" width="12.7265625" bestFit="1" customWidth="1"/>
    <col min="3981" max="3982" width="12.6328125" bestFit="1" customWidth="1"/>
    <col min="3983" max="3983" width="13" bestFit="1" customWidth="1"/>
    <col min="3984" max="3984" width="12.7265625" bestFit="1" customWidth="1"/>
    <col min="3985" max="3985" width="13" bestFit="1" customWidth="1"/>
    <col min="3986" max="3986" width="13.1796875" bestFit="1" customWidth="1"/>
    <col min="3987" max="3987" width="12.54296875" bestFit="1" customWidth="1"/>
    <col min="3988" max="3988" width="12.90625" bestFit="1" customWidth="1"/>
    <col min="3989" max="3989" width="12.453125" bestFit="1" customWidth="1"/>
    <col min="3990" max="3990" width="13" bestFit="1" customWidth="1"/>
    <col min="3991" max="3991" width="12.54296875" bestFit="1" customWidth="1"/>
    <col min="3992" max="3992" width="13" bestFit="1" customWidth="1"/>
    <col min="3993" max="3993" width="12.54296875" bestFit="1" customWidth="1"/>
    <col min="3994" max="3994" width="12.7265625" bestFit="1" customWidth="1"/>
    <col min="3995" max="3995" width="13.08984375" bestFit="1" customWidth="1"/>
    <col min="3996" max="3996" width="12.6328125" bestFit="1" customWidth="1"/>
    <col min="3997" max="3997" width="13" bestFit="1" customWidth="1"/>
    <col min="3998" max="3998" width="13.1796875" bestFit="1" customWidth="1"/>
    <col min="3999" max="3999" width="13" bestFit="1" customWidth="1"/>
    <col min="4000" max="4001" width="13.1796875" bestFit="1" customWidth="1"/>
    <col min="4002" max="4002" width="12.6328125" bestFit="1" customWidth="1"/>
    <col min="4003" max="4004" width="12.453125" bestFit="1" customWidth="1"/>
    <col min="4005" max="4005" width="12.36328125" bestFit="1" customWidth="1"/>
    <col min="4006" max="4006" width="13" bestFit="1" customWidth="1"/>
    <col min="4007" max="4007" width="12.453125" bestFit="1" customWidth="1"/>
    <col min="4008" max="4008" width="12.54296875" bestFit="1" customWidth="1"/>
    <col min="4009" max="4009" width="12.36328125" bestFit="1" customWidth="1"/>
    <col min="4010" max="4010" width="12.54296875" bestFit="1" customWidth="1"/>
    <col min="4011" max="4012" width="24.54296875" bestFit="1" customWidth="1"/>
  </cols>
  <sheetData>
    <row r="2" spans="2:4" x14ac:dyDescent="0.35">
      <c r="B2" s="1" t="s">
        <v>0</v>
      </c>
      <c r="C2" t="s">
        <v>4174</v>
      </c>
    </row>
    <row r="4" spans="2:4" x14ac:dyDescent="0.35">
      <c r="B4" s="1" t="s">
        <v>4172</v>
      </c>
      <c r="C4" t="s">
        <v>4178</v>
      </c>
      <c r="D4" t="s">
        <v>4170</v>
      </c>
    </row>
    <row r="5" spans="2:4" x14ac:dyDescent="0.35">
      <c r="B5" s="2" t="s">
        <v>38</v>
      </c>
      <c r="C5" s="4">
        <v>203</v>
      </c>
      <c r="D5" s="4">
        <v>15684672.829999994</v>
      </c>
    </row>
    <row r="6" spans="2:4" x14ac:dyDescent="0.35">
      <c r="B6" s="2" t="s">
        <v>17</v>
      </c>
      <c r="C6" s="4">
        <v>203</v>
      </c>
      <c r="D6" s="4">
        <v>16434945.619999994</v>
      </c>
    </row>
    <row r="7" spans="2:4" x14ac:dyDescent="0.35">
      <c r="B7" s="2" t="s">
        <v>56</v>
      </c>
      <c r="C7" s="4">
        <v>196</v>
      </c>
      <c r="D7" s="4">
        <v>14954775.390000004</v>
      </c>
    </row>
    <row r="8" spans="2:4" x14ac:dyDescent="0.35">
      <c r="B8" s="2" t="s">
        <v>72</v>
      </c>
      <c r="C8" s="4">
        <v>181</v>
      </c>
      <c r="D8" s="4">
        <v>14077366.259999998</v>
      </c>
    </row>
    <row r="9" spans="2:4" x14ac:dyDescent="0.35">
      <c r="B9" s="2" t="s">
        <v>12</v>
      </c>
      <c r="C9" s="4">
        <v>191</v>
      </c>
      <c r="D9" s="4">
        <v>15259037.160000002</v>
      </c>
    </row>
    <row r="10" spans="2:4" x14ac:dyDescent="0.35">
      <c r="B10" s="2" t="s">
        <v>53</v>
      </c>
      <c r="C10" s="4">
        <v>197</v>
      </c>
      <c r="D10" s="4">
        <v>14955276.180000002</v>
      </c>
    </row>
    <row r="11" spans="2:4" x14ac:dyDescent="0.35">
      <c r="B11" s="2" t="s">
        <v>47</v>
      </c>
      <c r="C11" s="4">
        <v>215</v>
      </c>
      <c r="D11" s="4">
        <v>16888529.639999993</v>
      </c>
    </row>
    <row r="12" spans="2:4" x14ac:dyDescent="0.35">
      <c r="B12" s="2" t="s">
        <v>22</v>
      </c>
      <c r="C12" s="4">
        <v>193</v>
      </c>
      <c r="D12" s="4">
        <v>15681054.440000001</v>
      </c>
    </row>
    <row r="13" spans="2:4" x14ac:dyDescent="0.35">
      <c r="B13" s="2" t="s">
        <v>75</v>
      </c>
      <c r="C13" s="4">
        <v>210</v>
      </c>
      <c r="D13" s="4">
        <v>16079030.01</v>
      </c>
    </row>
    <row r="14" spans="2:4" x14ac:dyDescent="0.35">
      <c r="B14" s="2" t="s">
        <v>32</v>
      </c>
      <c r="C14" s="4">
        <v>215</v>
      </c>
      <c r="D14" s="4">
        <v>15803624.330000008</v>
      </c>
    </row>
    <row r="15" spans="2:4" x14ac:dyDescent="0.35">
      <c r="B15" s="2" t="s">
        <v>4173</v>
      </c>
      <c r="C15" s="4">
        <v>2004</v>
      </c>
      <c r="D15" s="4">
        <v>155818311.86000016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0684E-C480-4D0E-9C75-4D62D2050E38}">
  <dimension ref="B3:D8"/>
  <sheetViews>
    <sheetView workbookViewId="0">
      <selection activeCell="N9" sqref="N9"/>
    </sheetView>
  </sheetViews>
  <sheetFormatPr defaultRowHeight="14.5" x14ac:dyDescent="0.35"/>
  <cols>
    <col min="2" max="2" width="12.36328125" bestFit="1" customWidth="1"/>
    <col min="3" max="3" width="15.26953125" bestFit="1" customWidth="1"/>
    <col min="4" max="4" width="19.7265625" bestFit="1" customWidth="1"/>
    <col min="5" max="5" width="15.81640625" bestFit="1" customWidth="1"/>
  </cols>
  <sheetData>
    <row r="3" spans="2:4" x14ac:dyDescent="0.35">
      <c r="B3" s="1" t="s">
        <v>4172</v>
      </c>
      <c r="C3" t="s">
        <v>4175</v>
      </c>
      <c r="D3" t="s">
        <v>4170</v>
      </c>
    </row>
    <row r="4" spans="2:4" x14ac:dyDescent="0.35">
      <c r="B4" s="2" t="s">
        <v>42</v>
      </c>
      <c r="C4" s="4">
        <v>505</v>
      </c>
      <c r="D4" s="4">
        <v>39859684.219999999</v>
      </c>
    </row>
    <row r="5" spans="2:4" x14ac:dyDescent="0.35">
      <c r="B5" s="2" t="s">
        <v>13</v>
      </c>
      <c r="C5" s="4">
        <v>502</v>
      </c>
      <c r="D5" s="4">
        <v>41196553.629999995</v>
      </c>
    </row>
    <row r="6" spans="2:4" x14ac:dyDescent="0.35">
      <c r="B6" s="2" t="s">
        <v>18</v>
      </c>
      <c r="C6" s="4">
        <v>495</v>
      </c>
      <c r="D6" s="4">
        <v>36630419.240000032</v>
      </c>
    </row>
    <row r="7" spans="2:4" x14ac:dyDescent="0.35">
      <c r="B7" s="2" t="s">
        <v>23</v>
      </c>
      <c r="C7" s="4">
        <v>502</v>
      </c>
      <c r="D7" s="4">
        <v>38131654.770000003</v>
      </c>
    </row>
    <row r="8" spans="2:4" x14ac:dyDescent="0.35">
      <c r="B8" s="2" t="s">
        <v>4173</v>
      </c>
      <c r="C8" s="4">
        <v>2004</v>
      </c>
      <c r="D8" s="4">
        <v>155818311.86000049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817C8-2F14-4BBE-A730-825550B2CEBC}">
  <dimension ref="B1:H6"/>
  <sheetViews>
    <sheetView tabSelected="1" workbookViewId="0">
      <selection activeCell="D23" sqref="D23"/>
    </sheetView>
  </sheetViews>
  <sheetFormatPr defaultRowHeight="14.5" x14ac:dyDescent="0.35"/>
  <cols>
    <col min="1" max="1" width="3.453125" style="8" customWidth="1"/>
    <col min="2" max="2" width="34.26953125" style="8" customWidth="1"/>
    <col min="3" max="3" width="4.6328125" style="8" customWidth="1"/>
    <col min="4" max="4" width="37" style="8" customWidth="1"/>
    <col min="5" max="5" width="5.90625" style="8" customWidth="1"/>
    <col min="6" max="6" width="37.1796875" style="8" customWidth="1"/>
    <col min="7" max="7" width="4" style="8" customWidth="1"/>
    <col min="8" max="8" width="37.36328125" style="8" customWidth="1"/>
    <col min="9" max="16384" width="8.7265625" style="8"/>
  </cols>
  <sheetData>
    <row r="1" spans="2:8" ht="6" customHeight="1" x14ac:dyDescent="0.35"/>
    <row r="4" spans="2:8" ht="8" customHeight="1" x14ac:dyDescent="0.35"/>
    <row r="5" spans="2:8" ht="20.5" customHeight="1" x14ac:dyDescent="0.5">
      <c r="B5" s="12" t="s">
        <v>4207</v>
      </c>
      <c r="D5" s="12" t="s">
        <v>4210</v>
      </c>
      <c r="F5" s="12" t="s">
        <v>4208</v>
      </c>
      <c r="H5" s="13" t="s">
        <v>4209</v>
      </c>
    </row>
    <row r="6" spans="2:8" ht="29.5" customHeight="1" x14ac:dyDescent="0.35">
      <c r="B6" s="10">
        <f>SUM(Retail_Sales_2025_Detailed!M17)</f>
        <v>155818311.86000037</v>
      </c>
      <c r="D6" s="11">
        <f>AVERAGE(Retail_Sales_2025_Detailed!M17/Retail_Sales_2025_Detailed!M18)/100000</f>
        <v>0.77753648632734718</v>
      </c>
      <c r="F6" s="9">
        <f>COUNT(Table1[Units_Sold])</f>
        <v>2004</v>
      </c>
      <c r="H6" s="10">
        <f>MAX(Retail_Sales_2025_Detailed!M16)</f>
        <v>249953.65</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Sheet3</vt:lpstr>
      <vt:lpstr>Retail_Sales_2025_Detailed</vt:lpstr>
      <vt:lpstr>Sales_OverView</vt:lpstr>
      <vt:lpstr>Product_Performance</vt:lpstr>
      <vt:lpstr>Customer_Analysis</vt:lpstr>
      <vt:lpstr>Regional_Sales</vt:lpstr>
      <vt:lpstr>Dashboards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Rahul Pothuraju</cp:lastModifiedBy>
  <dcterms:created xsi:type="dcterms:W3CDTF">2026-02-16T06:45:09Z</dcterms:created>
  <dcterms:modified xsi:type="dcterms:W3CDTF">2026-03-03T08:13:31Z</dcterms:modified>
</cp:coreProperties>
</file>